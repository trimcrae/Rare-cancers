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SPICE\Praveena\Files\JPCR_215\supinfo\"/>
    </mc:Choice>
  </mc:AlternateContent>
  <xr:revisionPtr revIDLastSave="0" documentId="13_ncr:1_{0430B99F-7DDE-43AF-A473-8C9442E360E5}" xr6:coauthVersionLast="46" xr6:coauthVersionMax="46" xr10:uidLastSave="{00000000-0000-0000-0000-000000000000}"/>
  <bookViews>
    <workbookView xWindow="-120" yWindow="-120" windowWidth="24240" windowHeight="13140" activeTab="5" xr2:uid="{00000000-000D-0000-FFFF-FFFF00000000}"/>
  </bookViews>
  <sheets>
    <sheet name="Cover sheet" sheetId="6" r:id="rId1"/>
    <sheet name="Table S1" sheetId="1" r:id="rId2"/>
    <sheet name="Table S2" sheetId="2" r:id="rId3"/>
    <sheet name="Table S3" sheetId="3" r:id="rId4"/>
    <sheet name="Table S4" sheetId="4" r:id="rId5"/>
    <sheet name="Table S5" sheetId="5" r:id="rId6"/>
  </sheets>
  <definedNames>
    <definedName name="_xlnm._FilterDatabase" localSheetId="1" hidden="1">'Table S1'!$A$3:$CN$989</definedName>
    <definedName name="_xlnm._FilterDatabase" localSheetId="5" hidden="1">'Table S5'!$A$3:$C$3</definedName>
    <definedName name="Sentrix_I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2" l="1"/>
  <c r="E25" i="2"/>
  <c r="C25" i="2"/>
  <c r="I24" i="2"/>
  <c r="H24" i="2"/>
  <c r="F24" i="2"/>
  <c r="E24" i="2"/>
  <c r="C24" i="2"/>
  <c r="I23" i="2"/>
  <c r="H23" i="2"/>
  <c r="F23" i="2"/>
  <c r="E23" i="2"/>
  <c r="C23" i="2"/>
  <c r="I22" i="2"/>
  <c r="H22" i="2"/>
  <c r="F22" i="2"/>
  <c r="E22" i="2"/>
  <c r="C22" i="2"/>
  <c r="I21" i="2"/>
  <c r="H21" i="2"/>
  <c r="F21" i="2"/>
  <c r="E21" i="2"/>
  <c r="C21" i="2"/>
  <c r="I20" i="2"/>
  <c r="H20" i="2"/>
  <c r="F20" i="2"/>
  <c r="E20" i="2"/>
  <c r="C20" i="2"/>
  <c r="I19" i="2"/>
  <c r="H19" i="2"/>
  <c r="F19" i="2"/>
  <c r="E19" i="2"/>
  <c r="C19" i="2"/>
  <c r="I18" i="2"/>
  <c r="H18" i="2"/>
  <c r="F18" i="2"/>
  <c r="E18" i="2"/>
  <c r="C18" i="2"/>
  <c r="I17" i="2"/>
  <c r="H17" i="2"/>
  <c r="F17" i="2"/>
  <c r="E17" i="2"/>
  <c r="C17" i="2"/>
  <c r="I16" i="2"/>
  <c r="H16" i="2"/>
  <c r="F16" i="2"/>
  <c r="E16" i="2"/>
  <c r="C16" i="2"/>
  <c r="I15" i="2"/>
  <c r="H15" i="2"/>
  <c r="F15" i="2"/>
  <c r="E15" i="2"/>
  <c r="C15" i="2"/>
  <c r="I14" i="2"/>
  <c r="H14" i="2"/>
  <c r="F14" i="2"/>
  <c r="E14" i="2"/>
  <c r="C14" i="2"/>
  <c r="I13" i="2"/>
  <c r="H13" i="2"/>
  <c r="F13" i="2"/>
  <c r="E13" i="2"/>
  <c r="C13" i="2"/>
  <c r="I12" i="2"/>
  <c r="H12" i="2"/>
  <c r="F12" i="2"/>
  <c r="E12" i="2"/>
  <c r="C12" i="2"/>
  <c r="I11" i="2"/>
  <c r="H11" i="2"/>
  <c r="F11" i="2"/>
  <c r="E11" i="2"/>
  <c r="C11" i="2"/>
  <c r="I10" i="2"/>
  <c r="H10" i="2"/>
  <c r="F10" i="2"/>
  <c r="E10" i="2"/>
  <c r="C10" i="2"/>
  <c r="I9" i="2"/>
  <c r="H9" i="2"/>
  <c r="F9" i="2"/>
  <c r="E9" i="2"/>
  <c r="C9" i="2"/>
  <c r="I8" i="2"/>
  <c r="H8" i="2"/>
  <c r="F8" i="2"/>
  <c r="E8" i="2"/>
  <c r="C8" i="2"/>
  <c r="I7" i="2"/>
  <c r="H7" i="2"/>
  <c r="F7" i="2"/>
  <c r="E7" i="2"/>
  <c r="C7" i="2"/>
  <c r="I6" i="2"/>
  <c r="H6" i="2"/>
  <c r="F6" i="2"/>
  <c r="E6" i="2"/>
  <c r="C6" i="2"/>
  <c r="I5" i="2"/>
  <c r="H5" i="2"/>
  <c r="F5" i="2"/>
  <c r="E5" i="2"/>
  <c r="C5" i="2"/>
  <c r="I4" i="2"/>
  <c r="H4" i="2"/>
  <c r="F4" i="2"/>
  <c r="E4" i="2"/>
  <c r="C4" i="2"/>
  <c r="Q393" i="1" l="1"/>
  <c r="Q404" i="1"/>
  <c r="Q388" i="1"/>
  <c r="Q379" i="1"/>
  <c r="Q378" i="1"/>
  <c r="Q363" i="1"/>
  <c r="Q373" i="1"/>
  <c r="Q360" i="1"/>
  <c r="Q32" i="1"/>
  <c r="Q362" i="1"/>
  <c r="Q347" i="1"/>
  <c r="Q381" i="1"/>
  <c r="Q377" i="1"/>
  <c r="Q348" i="1"/>
  <c r="Q383" i="1"/>
  <c r="Q365" i="1"/>
  <c r="Q394" i="1"/>
  <c r="Q407" i="1"/>
  <c r="Q386" i="1"/>
  <c r="Q370" i="1"/>
  <c r="Q973" i="1"/>
  <c r="Q978" i="1"/>
  <c r="Q989" i="1"/>
  <c r="Q979" i="1"/>
  <c r="Q409" i="1"/>
  <c r="Q410" i="1"/>
  <c r="Q66" i="1"/>
  <c r="Q975" i="1"/>
  <c r="Q356" i="1"/>
  <c r="Q419" i="1"/>
  <c r="Q981" i="1"/>
  <c r="Q980" i="1"/>
  <c r="Q357" i="1"/>
  <c r="Q963" i="1"/>
  <c r="Q390" i="1"/>
  <c r="Q372" i="1"/>
  <c r="Q391" i="1"/>
  <c r="Q411" i="1"/>
  <c r="Q376" i="1"/>
  <c r="Q355" i="1"/>
  <c r="Q420" i="1"/>
  <c r="Q400" i="1"/>
  <c r="Q399" i="1"/>
  <c r="Q969" i="1"/>
  <c r="Q972" i="1"/>
  <c r="Q971" i="1"/>
  <c r="Q392" i="1"/>
  <c r="Q401" i="1"/>
  <c r="Q966" i="1"/>
  <c r="Q985" i="1"/>
  <c r="Q364" i="1"/>
  <c r="Q406" i="1"/>
  <c r="Q987" i="1"/>
  <c r="Q965" i="1"/>
  <c r="Q359" i="1"/>
</calcChain>
</file>

<file path=xl/sharedStrings.xml><?xml version="1.0" encoding="utf-8"?>
<sst xmlns="http://schemas.openxmlformats.org/spreadsheetml/2006/main" count="19530" uniqueCount="1800">
  <si>
    <t>Gender</t>
  </si>
  <si>
    <t>Location</t>
  </si>
  <si>
    <t>Grade</t>
  </si>
  <si>
    <t>Age</t>
  </si>
  <si>
    <t>Other_Markers</t>
  </si>
  <si>
    <t>AFH</t>
  </si>
  <si>
    <t>AFX_PDS</t>
  </si>
  <si>
    <t>ALMO_MPC</t>
  </si>
  <si>
    <t>AS</t>
  </si>
  <si>
    <t>ASPS</t>
  </si>
  <si>
    <t>CB</t>
  </si>
  <si>
    <t>CCS</t>
  </si>
  <si>
    <t>CCSK</t>
  </si>
  <si>
    <t>CHORD</t>
  </si>
  <si>
    <t>CHORD_DD</t>
  </si>
  <si>
    <t>CSA_CC</t>
  </si>
  <si>
    <t>CSA_GROUP_A</t>
  </si>
  <si>
    <t>CSA_GROUP_B</t>
  </si>
  <si>
    <t>CSA_IDH_GROUP_A</t>
  </si>
  <si>
    <t>CSA_IDH_GROUP_B</t>
  </si>
  <si>
    <t>CSA_MES</t>
  </si>
  <si>
    <t>CTRL_BLOOD</t>
  </si>
  <si>
    <t>CTRL_MUS</t>
  </si>
  <si>
    <t>CTRL_REA</t>
  </si>
  <si>
    <t>DFSP</t>
  </si>
  <si>
    <t>DSRCT</t>
  </si>
  <si>
    <t>DTFM</t>
  </si>
  <si>
    <t>EHE</t>
  </si>
  <si>
    <t>EMCS</t>
  </si>
  <si>
    <t>ES</t>
  </si>
  <si>
    <t>ESS_HG</t>
  </si>
  <si>
    <t>ESS_LG</t>
  </si>
  <si>
    <t>EWING</t>
  </si>
  <si>
    <t>FDY</t>
  </si>
  <si>
    <t>GCTB</t>
  </si>
  <si>
    <t>GIST</t>
  </si>
  <si>
    <t>IFS</t>
  </si>
  <si>
    <t>IMT</t>
  </si>
  <si>
    <t>KAPOSI</t>
  </si>
  <si>
    <t>LCH</t>
  </si>
  <si>
    <t>LGFMS</t>
  </si>
  <si>
    <t>LIPO</t>
  </si>
  <si>
    <t>LMO</t>
  </si>
  <si>
    <t>LMS</t>
  </si>
  <si>
    <t>MEL_CUT</t>
  </si>
  <si>
    <t>MLS</t>
  </si>
  <si>
    <t>MO</t>
  </si>
  <si>
    <t>MP</t>
  </si>
  <si>
    <t>MPNST</t>
  </si>
  <si>
    <t>MRT</t>
  </si>
  <si>
    <t>NFA</t>
  </si>
  <si>
    <t>NFB</t>
  </si>
  <si>
    <t>NFB_PLEX</t>
  </si>
  <si>
    <t>OB</t>
  </si>
  <si>
    <t>OFMT</t>
  </si>
  <si>
    <t>OS_HG</t>
  </si>
  <si>
    <t>RMS_ALV</t>
  </si>
  <si>
    <t>RMS_EMB</t>
  </si>
  <si>
    <t>RMS_MYOD1</t>
  </si>
  <si>
    <t>SARC_MPNST_LIKE</t>
  </si>
  <si>
    <t>SARC_RMSLIKE</t>
  </si>
  <si>
    <t>SBRCT_BCOR</t>
  </si>
  <si>
    <t>SBRCT_CIC</t>
  </si>
  <si>
    <t>SCC_CUT</t>
  </si>
  <si>
    <t>SEF</t>
  </si>
  <si>
    <t>SFT</t>
  </si>
  <si>
    <t>SWN</t>
  </si>
  <si>
    <t>SYSA</t>
  </si>
  <si>
    <t>USARC</t>
  </si>
  <si>
    <t>WDLS_DDLS</t>
  </si>
  <si>
    <t>tSNE1</t>
  </si>
  <si>
    <t>tSNE2</t>
  </si>
  <si>
    <t>450k</t>
  </si>
  <si>
    <t>DNA FT</t>
  </si>
  <si>
    <t>Female</t>
  </si>
  <si>
    <t>Osteofibrous Dysplasia</t>
  </si>
  <si>
    <t>NA</t>
  </si>
  <si>
    <t>Tibia</t>
  </si>
  <si>
    <t>Bone</t>
  </si>
  <si>
    <t>DNA FFPET</t>
  </si>
  <si>
    <t>Conventional</t>
  </si>
  <si>
    <t>Humerus</t>
  </si>
  <si>
    <t xml:space="preserve">USP6 NEG  </t>
  </si>
  <si>
    <t>EPIC</t>
  </si>
  <si>
    <t>Chondrosarcoma</t>
  </si>
  <si>
    <t>CSA</t>
  </si>
  <si>
    <t>Central</t>
  </si>
  <si>
    <t>Femur</t>
  </si>
  <si>
    <t>IDH1 R132C</t>
  </si>
  <si>
    <t>Osteoclast-rich sarcoma</t>
  </si>
  <si>
    <t>Difficult to classify</t>
  </si>
  <si>
    <t>Foot</t>
  </si>
  <si>
    <t xml:space="preserve">DNA FFPET </t>
  </si>
  <si>
    <t>Giant Cell Tumour of Bone</t>
  </si>
  <si>
    <t>Malignant</t>
  </si>
  <si>
    <t>Vertebra</t>
  </si>
  <si>
    <t>H3.3 G34W pos</t>
  </si>
  <si>
    <t>Adamantinoma</t>
  </si>
  <si>
    <t>Classical</t>
  </si>
  <si>
    <t>Male</t>
  </si>
  <si>
    <t>Sacrum</t>
  </si>
  <si>
    <t>GCT, H3F3A/B WT, USP6 NEG</t>
  </si>
  <si>
    <t>Osteoblastoma</t>
  </si>
  <si>
    <t>Atypical</t>
  </si>
  <si>
    <t>Rib</t>
  </si>
  <si>
    <t>Fibrous Dysplasia</t>
  </si>
  <si>
    <t>Secondary ABC-change</t>
  </si>
  <si>
    <t>GNAS (G-A Arg201)</t>
  </si>
  <si>
    <t>Chondroblastoma</t>
  </si>
  <si>
    <t>H3.3 K36M POS</t>
  </si>
  <si>
    <t>Thumb</t>
  </si>
  <si>
    <t>USP6 POS.</t>
  </si>
  <si>
    <t>Chondromyxoid Fibroma</t>
  </si>
  <si>
    <t>Non-ossifying Fibroma</t>
  </si>
  <si>
    <t>Pelvis</t>
  </si>
  <si>
    <t>H3.3 G34W POS</t>
  </si>
  <si>
    <t>H3.3 K36 M/B POS</t>
  </si>
  <si>
    <t>USP6 POS</t>
  </si>
  <si>
    <t xml:space="preserve">Humerus </t>
  </si>
  <si>
    <t>FOS POS, FOSB NEG</t>
  </si>
  <si>
    <t>ST</t>
  </si>
  <si>
    <t>FOS/FOSB NEG</t>
  </si>
  <si>
    <t>USP6 NEG, H3F3A/B WT.</t>
  </si>
  <si>
    <t>De-Differentiated</t>
  </si>
  <si>
    <t>Hand</t>
  </si>
  <si>
    <t>H3.3 G34W mutation</t>
  </si>
  <si>
    <t>Osteofibrous dysplasia-like</t>
  </si>
  <si>
    <t>H3.3 G34L POS</t>
  </si>
  <si>
    <t>Osteosarcoma</t>
  </si>
  <si>
    <t>Leg</t>
  </si>
  <si>
    <t>PVNS/GCTTS</t>
  </si>
  <si>
    <t>H3.3 G34M/A POS</t>
  </si>
  <si>
    <t xml:space="preserve">H3.3A G34W POS </t>
  </si>
  <si>
    <t xml:space="preserve">Foot </t>
  </si>
  <si>
    <t>H3.3 G34W not done</t>
  </si>
  <si>
    <t>Sternum</t>
  </si>
  <si>
    <t>USP6 not done</t>
  </si>
  <si>
    <t>Patella</t>
  </si>
  <si>
    <t>Ulna</t>
  </si>
  <si>
    <t>Dedifferentiated</t>
  </si>
  <si>
    <t>Leiomyosarcoma</t>
  </si>
  <si>
    <t>GCT, H3F3A/B WT, USP6 NEG.</t>
  </si>
  <si>
    <t>Hip</t>
  </si>
  <si>
    <t>H3.3 G34W WT</t>
  </si>
  <si>
    <t>Aneurysmal bone cyst</t>
  </si>
  <si>
    <t>GCT, H3F3A/B WT, USP6 POS</t>
  </si>
  <si>
    <t>USP6 FISH equivocal</t>
  </si>
  <si>
    <t>ALK FISH pos</t>
  </si>
  <si>
    <t>H3.3B G34R POS</t>
  </si>
  <si>
    <t>Radius</t>
  </si>
  <si>
    <t>GNAS1 mutations positive for: C &gt; T (Arg 201) in Exon 8.</t>
  </si>
  <si>
    <t>Fibula</t>
  </si>
  <si>
    <t>H3.3 G34W/A POS.</t>
  </si>
  <si>
    <t>Wrist</t>
  </si>
  <si>
    <t>Mutation: K36M/A.</t>
  </si>
  <si>
    <t>Phosphaturic mesenchymal tumor (PMT)</t>
  </si>
  <si>
    <t>PMT</t>
  </si>
  <si>
    <t>Knee</t>
  </si>
  <si>
    <t>FISH: FOS positive, FOSB negative.</t>
  </si>
  <si>
    <t>FISH: FOS/FOSB negative.</t>
  </si>
  <si>
    <t>H3.3 K36M not done</t>
  </si>
  <si>
    <t>Mutation: K36M/B.</t>
  </si>
  <si>
    <t>450K</t>
  </si>
  <si>
    <t xml:space="preserve">Soft Tissue  </t>
  </si>
  <si>
    <t>Calf</t>
  </si>
  <si>
    <t>SMA pos</t>
  </si>
  <si>
    <t>Parosteal</t>
  </si>
  <si>
    <t>MDM2 amplification pos</t>
  </si>
  <si>
    <t>Soft Tissue</t>
  </si>
  <si>
    <t>Thigh</t>
  </si>
  <si>
    <t>MDM2 amplification neg</t>
  </si>
  <si>
    <t>Arm</t>
  </si>
  <si>
    <t>Low grade central</t>
  </si>
  <si>
    <t xml:space="preserve">DNA FT </t>
  </si>
  <si>
    <t xml:space="preserve">Chest Wall </t>
  </si>
  <si>
    <t>Dedifferentiated Parosteal</t>
  </si>
  <si>
    <t>Periosteal</t>
  </si>
  <si>
    <t>Buttock</t>
  </si>
  <si>
    <t>Paraspinal</t>
  </si>
  <si>
    <t>Elbow</t>
  </si>
  <si>
    <t>Radiation-induced</t>
  </si>
  <si>
    <t>Unknown</t>
  </si>
  <si>
    <t>Osteoblastic and Chondroblastic</t>
  </si>
  <si>
    <t>Scapula</t>
  </si>
  <si>
    <t>1 (with small area of 3)</t>
  </si>
  <si>
    <t>Osteoblastic. Radiation-induced</t>
  </si>
  <si>
    <t>Osteoblastic and Chondroblastic. Radiation-induced</t>
  </si>
  <si>
    <t>Hemipelvis</t>
  </si>
  <si>
    <t>Chondroblastic. Radiation-induced</t>
  </si>
  <si>
    <t>Clavicle</t>
  </si>
  <si>
    <t>CMYC FISH neg</t>
  </si>
  <si>
    <t>Shoulder</t>
  </si>
  <si>
    <t>H3k27ME3 loss</t>
  </si>
  <si>
    <t xml:space="preserve">Leg </t>
  </si>
  <si>
    <t>Forearm</t>
  </si>
  <si>
    <t xml:space="preserve">Male </t>
  </si>
  <si>
    <t>Atypical neurofibroma</t>
  </si>
  <si>
    <t>STT-SS18 FISH neg</t>
  </si>
  <si>
    <t>Epithelioid-like</t>
  </si>
  <si>
    <t>INI-1 not performed</t>
  </si>
  <si>
    <t>Rhabdomyoblastic</t>
  </si>
  <si>
    <t xml:space="preserve">Head &amp; Neck </t>
  </si>
  <si>
    <t>Rhabdomyosarcoma</t>
  </si>
  <si>
    <t>RMS</t>
  </si>
  <si>
    <t>Myxoid</t>
  </si>
  <si>
    <t>Synovial sarcoma</t>
  </si>
  <si>
    <t>Monophasic fibrous type</t>
  </si>
  <si>
    <t>SYT-SS18 FISH pos</t>
  </si>
  <si>
    <t>Epithelioid sarcoma</t>
  </si>
  <si>
    <t>Mesenchymal</t>
  </si>
  <si>
    <t xml:space="preserve">Paraspinal </t>
  </si>
  <si>
    <t>Myxofibrosarcoma</t>
  </si>
  <si>
    <t>MFS</t>
  </si>
  <si>
    <t>Rhabdomyoblastic and angiosarcomatous</t>
  </si>
  <si>
    <t>Not specified</t>
  </si>
  <si>
    <t xml:space="preserve">Female </t>
  </si>
  <si>
    <t>SYT-SS18 FISH neg</t>
  </si>
  <si>
    <t>Lung</t>
  </si>
  <si>
    <t>Supraclavicular</t>
  </si>
  <si>
    <t>Pleomorphic</t>
  </si>
  <si>
    <t>UPS</t>
  </si>
  <si>
    <t>Melanoma</t>
  </si>
  <si>
    <t>Axilla</t>
  </si>
  <si>
    <t>Round cell sarcoma</t>
  </si>
  <si>
    <t>SBRCT</t>
  </si>
  <si>
    <t>Sarcoma, NOS</t>
  </si>
  <si>
    <t>Epithelioid</t>
  </si>
  <si>
    <t xml:space="preserve">Forearm </t>
  </si>
  <si>
    <t>Round cell</t>
  </si>
  <si>
    <t>Nerve</t>
  </si>
  <si>
    <t>Atypical plexiform neurofibroma</t>
  </si>
  <si>
    <t>Perineurial</t>
  </si>
  <si>
    <t>Back</t>
  </si>
  <si>
    <t>Diffuse EMA expression</t>
  </si>
  <si>
    <t>Chondroblastic and Rhabdomyoblastic</t>
  </si>
  <si>
    <t>Spindle cell</t>
  </si>
  <si>
    <t>Myogenin pos</t>
  </si>
  <si>
    <t>Low grade (with ossification)</t>
  </si>
  <si>
    <t>Strong S100 positivity</t>
  </si>
  <si>
    <t>MYOD1 somatic mutation (p.L122R)</t>
  </si>
  <si>
    <t>Proximal type</t>
  </si>
  <si>
    <t xml:space="preserve">Hand </t>
  </si>
  <si>
    <t>Paravertebral</t>
  </si>
  <si>
    <t xml:space="preserve">Tibia </t>
  </si>
  <si>
    <t>Diffuse S100 positivity</t>
  </si>
  <si>
    <t>Heterologous elements (glandular tumor)</t>
  </si>
  <si>
    <t>Liposarcoma</t>
  </si>
  <si>
    <t>Iliac crest</t>
  </si>
  <si>
    <t>MDM2 and FUS neg by FISH</t>
  </si>
  <si>
    <t>Undifferentiated</t>
  </si>
  <si>
    <t>Fibroblastic</t>
  </si>
  <si>
    <t>Parasacral</t>
  </si>
  <si>
    <t xml:space="preserve">Shoulder </t>
  </si>
  <si>
    <t xml:space="preserve">Pelvis </t>
  </si>
  <si>
    <t>Groin</t>
  </si>
  <si>
    <t>HEY1-NCOA2 FISH neg</t>
  </si>
  <si>
    <t>Superficial CD34 fibroblastic tumour</t>
  </si>
  <si>
    <t>Strong expression of CD34</t>
  </si>
  <si>
    <t>CTNNB1 neg</t>
  </si>
  <si>
    <t xml:space="preserve">FUS FISH neg.  GNAS1 neg (R201C, R201H and Q227L). </t>
  </si>
  <si>
    <t>FISH for MDM2 amplification neg</t>
  </si>
  <si>
    <t>Strong positivity for desmin</t>
  </si>
  <si>
    <t>Solitary fibrous tumour</t>
  </si>
  <si>
    <t>STAT6 positive</t>
  </si>
  <si>
    <t>Carcinoma</t>
  </si>
  <si>
    <t>Telangiectatic and osteoblast-like</t>
  </si>
  <si>
    <t>H3.3A G34R pos</t>
  </si>
  <si>
    <t>Chordoma</t>
  </si>
  <si>
    <t>INI1 retained</t>
  </si>
  <si>
    <t>Control</t>
  </si>
  <si>
    <t xml:space="preserve">Malignant </t>
  </si>
  <si>
    <t>TBXT pos and INI1 retained</t>
  </si>
  <si>
    <t>Metatarsal</t>
  </si>
  <si>
    <t>Poorly differentiated</t>
  </si>
  <si>
    <t>Clivus</t>
  </si>
  <si>
    <t>INI1 retained. MNF116, PTEN, p-mTOR, p-AKT, p-S6RP and eIF4e pos. HER2 disomy</t>
  </si>
  <si>
    <t>Coccyx</t>
  </si>
  <si>
    <t>TBXT pos and INI1 retained. MNF116 pos</t>
  </si>
  <si>
    <t>H3.3 G34W pos. MNF116, CAM5.2, SMA, CD10, vimentin and EMA focally pos</t>
  </si>
  <si>
    <t>INI1 retained. TBXT and EGFR pos</t>
  </si>
  <si>
    <t>INI1 retained. TBXT and EGFR pos, low level</t>
  </si>
  <si>
    <t>Malignant H3.3 mutated tumour (G34W), adamantinoma-like</t>
  </si>
  <si>
    <t>Peritoneum </t>
  </si>
  <si>
    <t>INI1 retained. MNF116 pos</t>
  </si>
  <si>
    <t>Malignant H3.3 mutated tumour (G34W) arising in Hardcastle syndrome</t>
  </si>
  <si>
    <t>Chest wall</t>
  </si>
  <si>
    <t>IDH1 R132G</t>
  </si>
  <si>
    <t xml:space="preserve">Brachial plexus </t>
  </si>
  <si>
    <t>IDH WT</t>
  </si>
  <si>
    <t>IDH MUT</t>
  </si>
  <si>
    <t>Acromion</t>
  </si>
  <si>
    <t>IDH1 R132H</t>
  </si>
  <si>
    <t>Ilium</t>
  </si>
  <si>
    <t>Acetabulum</t>
  </si>
  <si>
    <t>Myxoma</t>
  </si>
  <si>
    <t xml:space="preserve">FISH: two copies of CDKN2A gene and two copies of centromeric 9 </t>
  </si>
  <si>
    <t>Lymph Node</t>
  </si>
  <si>
    <t>Presacral area</t>
  </si>
  <si>
    <t>Pre tibial region</t>
  </si>
  <si>
    <t>Metacarpal Bone</t>
  </si>
  <si>
    <t xml:space="preserve">IDH1 R132S. MNF116 pos. INI1 retained  </t>
  </si>
  <si>
    <t>Blood</t>
  </si>
  <si>
    <t>Scalp</t>
  </si>
  <si>
    <t>Osteoblastic</t>
  </si>
  <si>
    <t>alkaline phosphatase pos</t>
  </si>
  <si>
    <t>Osteoblastic. Rothmund-Thomson syndrome</t>
  </si>
  <si>
    <t xml:space="preserve">Osteoblastic and Chondroblastic </t>
  </si>
  <si>
    <t>Chondroblastic</t>
  </si>
  <si>
    <t>Tibia and Fibula</t>
  </si>
  <si>
    <t>Osteoblastic and Fibroblastic, Radiation-induced</t>
  </si>
  <si>
    <t xml:space="preserve">Telangiectatic </t>
  </si>
  <si>
    <t xml:space="preserve">Scapula </t>
  </si>
  <si>
    <t>Osteoblastic and Telangiectatic</t>
  </si>
  <si>
    <t>TBXT pos</t>
  </si>
  <si>
    <t>No info</t>
  </si>
  <si>
    <t>TBXT pos and INI-1 retained</t>
  </si>
  <si>
    <t xml:space="preserve">Clavicle </t>
  </si>
  <si>
    <t>PHAT</t>
  </si>
  <si>
    <t xml:space="preserve">Osteoblastic </t>
  </si>
  <si>
    <t>Osteoblastoma like</t>
  </si>
  <si>
    <t>Telangiectatic</t>
  </si>
  <si>
    <t xml:space="preserve">Periosteal </t>
  </si>
  <si>
    <t xml:space="preserve">Parosteal </t>
  </si>
  <si>
    <t xml:space="preserve">Femur </t>
  </si>
  <si>
    <t>Osteoblastic and Osteosclerotic</t>
  </si>
  <si>
    <t>Osteoblastic Osteoblastoma-like</t>
  </si>
  <si>
    <t>Normal Nerve</t>
  </si>
  <si>
    <t>Angiosarcoma</t>
  </si>
  <si>
    <t>Likely Radiation-induced</t>
  </si>
  <si>
    <t>Ilium/gluteal region</t>
  </si>
  <si>
    <t>Bone/ST</t>
  </si>
  <si>
    <t>Distal leg</t>
  </si>
  <si>
    <t>Ankle</t>
  </si>
  <si>
    <t>Gracilis muscle</t>
  </si>
  <si>
    <t>MDM2 polysomy</t>
  </si>
  <si>
    <t xml:space="preserve">TBXT pos  </t>
  </si>
  <si>
    <t>Chest Wall</t>
  </si>
  <si>
    <t>MNF116 and TBXT pos. INI-1 retained. TFE3 neg</t>
  </si>
  <si>
    <t>TBXT FISHpos</t>
  </si>
  <si>
    <t>Alveolar soft part sarcoma</t>
  </si>
  <si>
    <t>Angiomatoid fibrous histiocytoma</t>
  </si>
  <si>
    <t>EMA pos. EWSR1 rearrangement is detected by FISH.</t>
  </si>
  <si>
    <t>bone</t>
  </si>
  <si>
    <t>TBXT neg</t>
  </si>
  <si>
    <t xml:space="preserve">Coccyx </t>
  </si>
  <si>
    <t>Spine</t>
  </si>
  <si>
    <t>Myxoinflammatory fibroblastic sarcoma</t>
  </si>
  <si>
    <t>Ischium</t>
  </si>
  <si>
    <t>H3.3 G34W neg</t>
  </si>
  <si>
    <t xml:space="preserve">Osteoblastic  </t>
  </si>
  <si>
    <t xml:space="preserve">scattered desmin pos </t>
  </si>
  <si>
    <t>Infantile fibrosarcoma</t>
  </si>
  <si>
    <t>Deltoid</t>
  </si>
  <si>
    <t>ETV6, EWSR1, DDIT3, SS18, BCOR-CCNB3 neg</t>
  </si>
  <si>
    <t>Desmin and myogenin pos</t>
  </si>
  <si>
    <t>Clear Cell</t>
  </si>
  <si>
    <t>WT IDH1/2</t>
  </si>
  <si>
    <t>Femoral Head</t>
  </si>
  <si>
    <t>MNF116 neg</t>
  </si>
  <si>
    <t>Fibula/Tibia</t>
  </si>
  <si>
    <t>MNF116 pos. INI1 expression loss</t>
  </si>
  <si>
    <t>MNF116 and EMA pos. INI1 expression loss</t>
  </si>
  <si>
    <t>Abdominal wall</t>
  </si>
  <si>
    <t>Talus</t>
  </si>
  <si>
    <t xml:space="preserve">Fibroblastic and Chondroblastic </t>
  </si>
  <si>
    <t xml:space="preserve">Chondroblastic </t>
  </si>
  <si>
    <t>H3.3 G34W neg. alkaline phosphatase pos</t>
  </si>
  <si>
    <t>Scattered MNF116 pos</t>
  </si>
  <si>
    <t xml:space="preserve">Chondroblastic and Osteoblastic </t>
  </si>
  <si>
    <t>MDM2 amplification pos. H3.3 G34W neg</t>
  </si>
  <si>
    <t>alkaline phosphatase is non-informative. MNF116 shows focal positivity of uncertain significance.</t>
  </si>
  <si>
    <t>Osteoblastic and fibroblastic</t>
  </si>
  <si>
    <t>patchy positivity MNF116</t>
  </si>
  <si>
    <t>Fibroblastic. Rothmund-Thompson syndrome</t>
  </si>
  <si>
    <t xml:space="preserve">Fibula </t>
  </si>
  <si>
    <t>alkaline phosphatase neg</t>
  </si>
  <si>
    <t>Retroperitoneal</t>
  </si>
  <si>
    <t>Antecubital fossa</t>
  </si>
  <si>
    <t>Index finger</t>
  </si>
  <si>
    <t>Alkaline phosphatase - non-contributory.</t>
  </si>
  <si>
    <t>Dermatofibrosarcoma protuberans</t>
  </si>
  <si>
    <t>EWSR1-NFAC2  fusion</t>
  </si>
  <si>
    <t>PEComa</t>
  </si>
  <si>
    <t>TFE-3 and Melan A pos</t>
  </si>
  <si>
    <t>HMB45 pos</t>
  </si>
  <si>
    <t>S100 and HMB45 pos</t>
  </si>
  <si>
    <t>HMB45, MNF116 and desmin pos</t>
  </si>
  <si>
    <t xml:space="preserve">Melan A and SMA pos. </t>
  </si>
  <si>
    <t>G34W +</t>
  </si>
  <si>
    <t>G34W +, Revox2 -</t>
  </si>
  <si>
    <t>K36M +, G34W -</t>
  </si>
  <si>
    <t>CD34 positive</t>
  </si>
  <si>
    <t>leg</t>
  </si>
  <si>
    <t>STAT6 -. CD34 positive</t>
  </si>
  <si>
    <t>CD34 negative</t>
  </si>
  <si>
    <t>Muscle</t>
  </si>
  <si>
    <t>Cam5.2 +, CK18 +, Brachyury +, EMA +, S100 +</t>
  </si>
  <si>
    <t>MNF116 +, Brachyury +, S100 +, Low ki67</t>
  </si>
  <si>
    <t>EGFR +, Brachyury +</t>
  </si>
  <si>
    <t>Brachyury+ (low level polysomy)</t>
  </si>
  <si>
    <t>MNF116 +, Brachyury +</t>
  </si>
  <si>
    <t>MNF116 +, Brachyury +, INI-1 +</t>
  </si>
  <si>
    <t>MNF116 +, EMA +, Brachyury +, S100 -</t>
  </si>
  <si>
    <t>S100 +, MF116 +</t>
  </si>
  <si>
    <t>Brachyury +</t>
  </si>
  <si>
    <t>EGFR +, Brachyury +, INI-1 +</t>
  </si>
  <si>
    <t>conventional</t>
  </si>
  <si>
    <t>MNF116 +, Cam5.2 +, Brachyury +, EMA +, S100 +</t>
  </si>
  <si>
    <t>MNF116 +, Brachyury +, S100 +</t>
  </si>
  <si>
    <t>INI-1 +, Brachyury -, Highly polysomic</t>
  </si>
  <si>
    <t>Brachyury+ AKR1B10 +</t>
  </si>
  <si>
    <t>S100 +, MF116 +, Brachyury +</t>
  </si>
  <si>
    <t>Cytokeratin +, Brachyury +</t>
  </si>
  <si>
    <t>INI-1 +</t>
  </si>
  <si>
    <t>MNF116 +, Brachyury +, S100 -</t>
  </si>
  <si>
    <t>Brachyury +, EGFR -</t>
  </si>
  <si>
    <t>Paravertebral space</t>
  </si>
  <si>
    <t xml:space="preserve">focal S100 </t>
  </si>
  <si>
    <t xml:space="preserve"> MNF116, SMA, desmin, CD45, S100 all -</t>
  </si>
  <si>
    <t>S100, SM-actin, desmin, cytokeratin MNF 116, CD34 and BCL2 all -</t>
  </si>
  <si>
    <t xml:space="preserve">MDM2 amplification neg (15 0619). H3F3A substitution </t>
  </si>
  <si>
    <t>MDM2 amplification pos (14-2960)</t>
  </si>
  <si>
    <t>Osteoblastic and Fibroblastic</t>
  </si>
  <si>
    <t>Nil</t>
  </si>
  <si>
    <t>unknown</t>
  </si>
  <si>
    <t>Skull base</t>
  </si>
  <si>
    <t>Normal Bone</t>
  </si>
  <si>
    <t xml:space="preserve">Femur   </t>
  </si>
  <si>
    <t xml:space="preserve">Femur    </t>
  </si>
  <si>
    <t>Sciatic nerve</t>
  </si>
  <si>
    <t>s100+</t>
  </si>
  <si>
    <t>Neg- MNF116, desmin, SMA and S100</t>
  </si>
  <si>
    <t>CD99+ s100-</t>
  </si>
  <si>
    <t>S100+</t>
  </si>
  <si>
    <t>nil</t>
  </si>
  <si>
    <t>Arm - Metastatic from Ilium</t>
  </si>
  <si>
    <t xml:space="preserve">Tibia   </t>
  </si>
  <si>
    <t>Alkaline phosphatase pos</t>
  </si>
  <si>
    <t>brachyury pos</t>
  </si>
  <si>
    <t xml:space="preserve">Fibula   </t>
  </si>
  <si>
    <t xml:space="preserve">Humerus   </t>
  </si>
  <si>
    <t>FAILED</t>
  </si>
  <si>
    <t xml:space="preserve"> Fibroblastic</t>
  </si>
  <si>
    <t>NTRK3 rearrangement</t>
  </si>
  <si>
    <t>Fibroblastic/Pleomorphic</t>
  </si>
  <si>
    <t>CD34 and MNF116 positive</t>
  </si>
  <si>
    <t>CD10 and CD34 positive</t>
  </si>
  <si>
    <t xml:space="preserve">Axilla </t>
  </si>
  <si>
    <t xml:space="preserve">Extraskeletal, Parosteal-like </t>
  </si>
  <si>
    <t>Gluteus maximus</t>
  </si>
  <si>
    <t>MDM2 amplification pos, cMYC neg</t>
  </si>
  <si>
    <t>MDM2 non informative</t>
  </si>
  <si>
    <t>IDH1 R132H neg</t>
  </si>
  <si>
    <t>OFD like</t>
  </si>
  <si>
    <t xml:space="preserve">FISH: neg for FN1, ACVR2A, FGF1, FGFR1 </t>
  </si>
  <si>
    <t>Desmin and CD34 positive</t>
  </si>
  <si>
    <t>S100 positive</t>
  </si>
  <si>
    <t>SMA positive</t>
  </si>
  <si>
    <t>ki-67 80-90%</t>
  </si>
  <si>
    <t>SMA</t>
  </si>
  <si>
    <t>Desmin positive</t>
  </si>
  <si>
    <t>foot</t>
  </si>
  <si>
    <t>EMA positive, Neg- COL1A1/PDGFB</t>
  </si>
  <si>
    <t>S100 (+) Myogenin (-)</t>
  </si>
  <si>
    <t>S100 (+) Desmin, MNF116 (-)</t>
  </si>
  <si>
    <t>CD99 (+) S100, desmin, MNF116, CD34 (-)</t>
  </si>
  <si>
    <t>Osteosarcomatous</t>
  </si>
  <si>
    <t>S100, MNF116, EMA, CD99 (+) SM-actin, Bcl-2 (-)</t>
  </si>
  <si>
    <t>S100, MNF116 (+) INI-1, CD34, SMA, desmin, HMB45, p63, AE1/3 (-)</t>
  </si>
  <si>
    <t>S100 (+) SM-actin, caldesmon, MNF116, EMA, CD34 (-)</t>
  </si>
  <si>
    <t>buttock</t>
  </si>
  <si>
    <t>Bcl-2, CD99 (+) EMA, MNF116, CD31, CD34, SMA, desmin, S100 (-)</t>
  </si>
  <si>
    <t>S100, AE1/3, desmin, SMA (-)</t>
  </si>
  <si>
    <t>S100 (+) desmin, myogenin (-)</t>
  </si>
  <si>
    <t>S100, MNF116 (+) desmin, myogenin (-)</t>
  </si>
  <si>
    <t>CD45, S100, SMA, desmin, MNF116 (-)</t>
  </si>
  <si>
    <t>perineum</t>
  </si>
  <si>
    <t>S100 (+)</t>
  </si>
  <si>
    <t>Toe</t>
  </si>
  <si>
    <t>S100 (+) SM-actin, caldesmon, myogenin, MNF116 (-)</t>
  </si>
  <si>
    <t>EMA (+) S100, SMA, desmin, HMB-45, CD45, MNF116 (-)</t>
  </si>
  <si>
    <t>S100 (+) SMA, desmin, MNF116 (-)</t>
  </si>
  <si>
    <t>S100 (+) CD34, HMB45 (-)</t>
  </si>
  <si>
    <t>Ossifying fibromyxoid tumour</t>
  </si>
  <si>
    <t>EMA (+) S100, SMA, desmin, MUC4, CD34, MNF116 (-)</t>
  </si>
  <si>
    <t>CD56 (+) S100, EMA, SMA, desmin (-)</t>
  </si>
  <si>
    <t>G34W(+) MDM2 noninformative</t>
  </si>
  <si>
    <t>femur</t>
  </si>
  <si>
    <t>H3.3 G34W (+) IDH1 (-)</t>
  </si>
  <si>
    <t>Brachyury, S100, MNF116, CK7, CK20 (+)</t>
  </si>
  <si>
    <t>Cytokeratin, EMA, Brachyury (+)</t>
  </si>
  <si>
    <t>MNF116, Brachyury (+) S100 (-)</t>
  </si>
  <si>
    <t>Brachyury, MNF116 (+) S100 (-)</t>
  </si>
  <si>
    <t xml:space="preserve">GNAS1(C-T Arg 201). </t>
  </si>
  <si>
    <t>GNAS1 mutations positive for: C &gt; T (Arg 201) in Exon 8 (R201C).</t>
  </si>
  <si>
    <t>GNAS1 (G-A Arg 201)</t>
  </si>
  <si>
    <t>Great Toe</t>
  </si>
  <si>
    <t>IDH2 R172M</t>
  </si>
  <si>
    <t>IDH1 R132L</t>
  </si>
  <si>
    <t>Phalanx</t>
  </si>
  <si>
    <t>Calcaneus</t>
  </si>
  <si>
    <t>IDH2 R172S</t>
  </si>
  <si>
    <t>sternum</t>
  </si>
  <si>
    <t>Central- Dediff Osteosarcomatous</t>
  </si>
  <si>
    <t>-</t>
  </si>
  <si>
    <t>Central- Dediff</t>
  </si>
  <si>
    <t>No</t>
  </si>
  <si>
    <t>MYOD1 mutant</t>
  </si>
  <si>
    <t>Histology- osteoblast rimming, MNF116 scattered positive cells</t>
  </si>
  <si>
    <t>Molecular- H3K36m mutant</t>
  </si>
  <si>
    <t>Histology- cartilaginous tumour</t>
  </si>
  <si>
    <t>Clinical- arising from nerve</t>
  </si>
  <si>
    <t>Molecular- MDM2 not amplified</t>
  </si>
  <si>
    <t>Histology- inflammatory infiltrate but no features of AFH</t>
  </si>
  <si>
    <t>Clinical- grossly normal nerve</t>
  </si>
  <si>
    <t>IHC- G34W positive</t>
  </si>
  <si>
    <t>Clinical- primary bone tumour. Histology- minimal/no osteoid</t>
  </si>
  <si>
    <t>Clinical- primary bone tumour, Histology- typical OS</t>
  </si>
  <si>
    <t>Molecular HEY1-NCOA2 negative</t>
  </si>
  <si>
    <t>COL1A1/PDGFB positive on FISH</t>
  </si>
  <si>
    <t>EWSR1-NFATC2 rearranged sarcoma</t>
  </si>
  <si>
    <t>Adnexal/Malignant mixed tumour</t>
  </si>
  <si>
    <t>Breast (Sarcomatoid)</t>
  </si>
  <si>
    <t>Spindle Cell Sarcoma, MPNST like</t>
  </si>
  <si>
    <t>MPNST-like</t>
  </si>
  <si>
    <t>H3.3mut</t>
  </si>
  <si>
    <t>OFD</t>
  </si>
  <si>
    <t>Pleo LPS</t>
  </si>
  <si>
    <t>PRDM10</t>
  </si>
  <si>
    <t>MIFS</t>
  </si>
  <si>
    <t>NOF</t>
  </si>
  <si>
    <t>CD34FT</t>
  </si>
  <si>
    <t>ABC</t>
  </si>
  <si>
    <t>OS (LG)</t>
  </si>
  <si>
    <t>OS (ST)</t>
  </si>
  <si>
    <t>OS (Surface)</t>
  </si>
  <si>
    <t>EWSR1-NFATC2</t>
  </si>
  <si>
    <t>Ctrl</t>
  </si>
  <si>
    <t>CSA-MES</t>
  </si>
  <si>
    <t>CSA-CC</t>
  </si>
  <si>
    <t>Histology and Clinical- degenerative bone disease, no history LCH</t>
  </si>
  <si>
    <t>IHC- H3k27me3 loss</t>
  </si>
  <si>
    <t>Prediction group (&gt;=0.9)</t>
  </si>
  <si>
    <t>Prediction group (&gt;=0.85)</t>
  </si>
  <si>
    <t>Yes</t>
  </si>
  <si>
    <t>Molecular- IDH mutant</t>
  </si>
  <si>
    <t>IHC- Brachyury +</t>
  </si>
  <si>
    <t>Molec + IHC: Brachyury+ (low level polysomy)</t>
  </si>
  <si>
    <t>Molecular- COL1A1-PDGFB fusion</t>
  </si>
  <si>
    <t>Molecular- GNAS mutation</t>
  </si>
  <si>
    <t>Molecular- MDM2 amplified</t>
  </si>
  <si>
    <t>IHC- S100 (focal)</t>
  </si>
  <si>
    <t>Spindle cell sarcoma of bone</t>
  </si>
  <si>
    <t>Molecular- TFE3 rearrangement</t>
  </si>
  <si>
    <t>IHC- CD31 pos, CD1a Negative, S100 neg</t>
  </si>
  <si>
    <t>IHC- CD31 pos, MNF116 neg</t>
  </si>
  <si>
    <t>Peripheral</t>
  </si>
  <si>
    <t>Peripheral (subperiosteal)</t>
  </si>
  <si>
    <t>Osteosarcoma osteoblastic</t>
  </si>
  <si>
    <t>CIC-rearranged sarcoma</t>
  </si>
  <si>
    <t>BCOR-rearranged sarcoma</t>
  </si>
  <si>
    <t>Sclerosing epithelioid fibrosarcoma</t>
  </si>
  <si>
    <t>CIC</t>
  </si>
  <si>
    <t>BCOR</t>
  </si>
  <si>
    <t>Molecular- USP6 rearrangement</t>
  </si>
  <si>
    <t>H3.3 G34W pos (IHC)</t>
  </si>
  <si>
    <t>NGS G34 WT (Bidirectional) (H3F3 master)</t>
  </si>
  <si>
    <t>Radiation-induced in the setting of Li-Fraumeni's syndrome</t>
  </si>
  <si>
    <t>Conventional (benign metastasising)</t>
  </si>
  <si>
    <t>MEL (CUT)</t>
  </si>
  <si>
    <t>OS (HG)</t>
  </si>
  <si>
    <t>WDLS/DDLS</t>
  </si>
  <si>
    <t>osteoclast rich</t>
  </si>
  <si>
    <t>Final Diagnosis</t>
  </si>
  <si>
    <t>Initial Diagnosis (if modified after classifier result)</t>
  </si>
  <si>
    <t>UPS (High grade spindle cell sarcoma)</t>
  </si>
  <si>
    <t>Revision of diagnosis (score &gt;=0.9 only)</t>
  </si>
  <si>
    <t>Summary of review findings (discrepant results only)</t>
  </si>
  <si>
    <t>IHC- Brachyury positive. Histology- dedifferentiated and conventional chordoma (Focal)</t>
  </si>
  <si>
    <t>IHC- MUC4 negative, H3K27me3 retained</t>
  </si>
  <si>
    <t>Molecular- CIC rearrangement confirmed on FISH</t>
  </si>
  <si>
    <t>Molecular- BCOR rearrangement confirmed on PCR. IHC- BCOR diffuse positive</t>
  </si>
  <si>
    <t xml:space="preserve">Clinical- primary surface bone lesion. Histology- classical </t>
  </si>
  <si>
    <t>Clinical- primary intramedullary bone tumour. Histology- focal osteoid deposition</t>
  </si>
  <si>
    <t>Molecular-GNAS negative (hotspot locations). Histology- Osteoblasts lining bone seams</t>
  </si>
  <si>
    <t>Clinical- arising from nerve, H3k27me3 retained</t>
  </si>
  <si>
    <t>Histology- high grade spindle cell tumour (G34W negative IHC) with focal area of conventional giant cell tumour (G34W IHC positive)</t>
  </si>
  <si>
    <t>Histology &amp; IHC- high grade spindle cell tumour with focal G34W expression. H3F3 G34 mutation confirmed on WGS</t>
  </si>
  <si>
    <t>Histology- high grade cellular myxoid tumour.</t>
  </si>
  <si>
    <t>Molecular- MDM2 amplified (FISH). Histology- surface bone tumour with cartilage cap</t>
  </si>
  <si>
    <t>Molecular- CIC rearrangement negative (FISH)</t>
  </si>
  <si>
    <t>Histology- high grade myxoid tumour, infiltrating soft tissue</t>
  </si>
  <si>
    <t>Clinical- primary soft tissue lesion. Molecular- MDM2 positive. Histology- osteoid forming tumour</t>
  </si>
  <si>
    <t>Clinical- primary bone tumour, Histology- typical osteoblastic osteosarcoma</t>
  </si>
  <si>
    <t>Histology- typical clear cell chondrosarcoma</t>
  </si>
  <si>
    <t>Molecular- H3F3B G34R mutation. Clinical- soft tissue lesion</t>
  </si>
  <si>
    <t>Clinical- primary bone tumour. Histology- pleomorphic tumour with focal osteoid formation</t>
  </si>
  <si>
    <t>Molecular- MDM2 amplified (FISH). Histology- low grade bone forming tumour</t>
  </si>
  <si>
    <t>Molecular- G34W mutant (verify platform). Histology- high grade malignant tumour</t>
  </si>
  <si>
    <t>Clinical- age unusual for MRT. IHC- INI1 negative. Histology- epithelioid tumour.</t>
  </si>
  <si>
    <t>IHC- G34W positive. Histology- High grade malignant components</t>
  </si>
  <si>
    <t>Clinical- primary bone tumour, history of Paget's disease. Histology-  fibroblastic with minimal osteoid formation</t>
  </si>
  <si>
    <t>Histology- pleomorphic spindle cell tumour with prominent osteoid formation</t>
  </si>
  <si>
    <t>Histology- low grade cartilaginous tumour plus dedifferentiated component with osteosarcomatous differentiation</t>
  </si>
  <si>
    <t>IHC- SMA diffuse positive, caldesmon positive (focal areas of tumour). Histology- pleomorphic spindle cell tumour with areas of smooth muscle differentiation</t>
  </si>
  <si>
    <t>Histology- typical epithelial (squamoid) islands</t>
  </si>
  <si>
    <t>IHC- H3k27me3 lost. Histology- myxoid but in keeping with MPNST.</t>
  </si>
  <si>
    <t>Histology- high grade malignant tumour</t>
  </si>
  <si>
    <t>Histology- classical chondroblastic osteosarcoma. Clinical- primary bone tumour</t>
  </si>
  <si>
    <t>Histology- brisk inflammatory infiltrate but myxoid lesion with curvilinear vessels. No features of AFH</t>
  </si>
  <si>
    <t xml:space="preserve">IHC- MUC4 positive, INI1 retained. Histology- high grade with epithelioid cells. </t>
  </si>
  <si>
    <t>Molecular- IDH1 mutant (ddPCR). Histology- conventional low grade chondrosarcoma and dedifferentiated osteosarcomatous regions</t>
  </si>
  <si>
    <t>Histology- high grade malignant tumour. IHC- G34W positive</t>
  </si>
  <si>
    <t>Clinical- primary bone lesion. Histology- cartilaginous tumour</t>
  </si>
  <si>
    <t>Clinical- surface bone lesion. Molecular- MDM2 amplified (FISH)</t>
  </si>
  <si>
    <t>Histology- spindle cell lesion with numerous epithelial (squamoid) islands</t>
  </si>
  <si>
    <t>IHC- SMA positive (very focal), desmin negative. Histology- high grade pleomorphic tumour</t>
  </si>
  <si>
    <t>Histology- cartilaginous tumour. Clinical- local recurrence in soft tissue (surrounded by reactive myofibroblasts)</t>
  </si>
  <si>
    <t>Clinical- surface bone lesion</t>
  </si>
  <si>
    <t>Molecular- COL1A1-PDGFB fusion detected (FISH). Histology- spindle cell lesion with prominent long fascicular rearrangement (Fibrosarcomatous change)</t>
  </si>
  <si>
    <t>Clinical- primary bone tumour. Typical osteoblast rich lesion</t>
  </si>
  <si>
    <t>Molecular- H3F3B K36m mutant</t>
  </si>
  <si>
    <t>Molecular- MDM2 not amplified (FISH). Histology- no well differentiated component. High grade spindle cell lesion</t>
  </si>
  <si>
    <t>Clinical- primary soft tissue lesion. Histology- osteoid forming lesion</t>
  </si>
  <si>
    <t>Clinical- primary bone tumour, Histology- typical chondroblastic osteosarcoma</t>
  </si>
  <si>
    <t>Histology- inflammatory infiltrate but myxoid tumour with curvilinear vessels. No features of AFH</t>
  </si>
  <si>
    <t>Histology- high grade malignant tumour with nests of epithelioid cells. IHC- Focal HMB45 expression</t>
  </si>
  <si>
    <t>Histology- bland myxoid lesion. No inflammatory component</t>
  </si>
  <si>
    <t>IHC- diffuse cytokeratin positivity (CAM 5.2)</t>
  </si>
  <si>
    <t>Molecular- NF1 germline. Histology- typical plexiform neurofibroma with scattered atypia</t>
  </si>
  <si>
    <t>Molecular- GNAS negative (hotspots R201C, R201H, Q227L). Clinical- Radiology not in keeping with FDY. Histology- fibrous dysplasia like areas but osteoblast rimming present</t>
  </si>
  <si>
    <t>IHC- ALK negative. Histology- classic ectatic vessels with perivascular hyalinisation</t>
  </si>
  <si>
    <t>Clinical- history of osteomalacia. Histology- typical features, no cytological atypia</t>
  </si>
  <si>
    <t>Histology- typical features with inflammatory infiltrate and scattered giant cells with viral inclusion-like nuclei</t>
  </si>
  <si>
    <t>Clinical- primary bone lesion and germline TP53 mutation</t>
  </si>
  <si>
    <t>Clinical- age unusual for MRT, groin typical site for proximal ES. IHC- INI1 loss, MNF116 &amp; EMA positive.</t>
  </si>
  <si>
    <t>Histology- markedly pleomorphic tumour with focal lipoblasts. No well differentiated component</t>
  </si>
  <si>
    <t>Histology- high grade infiltrative vasoformative lesion with atypical hobnail cells</t>
  </si>
  <si>
    <t>Molecular- NF1 germline. Clinical- arising from nerve</t>
  </si>
  <si>
    <t>Clinical- grossly normal nerve. Noted that patient has germline NF1</t>
  </si>
  <si>
    <t>Molecular- MDM2 not amplified (FISH). Histology- cellular myxoid lesion, no lipoblastic differentiation</t>
  </si>
  <si>
    <t>Not validated (below threshold)</t>
  </si>
  <si>
    <t>Predicted methylation class</t>
  </si>
  <si>
    <t>Calibration score (Methylation class)</t>
  </si>
  <si>
    <t>Below threshold</t>
  </si>
  <si>
    <t>Grp1- Classifier correct (concordant)</t>
  </si>
  <si>
    <t>Grp1- Classifier correct (caused revised diagnosis)</t>
  </si>
  <si>
    <t>Grp2- Discrepant (with evidence)</t>
  </si>
  <si>
    <t>Grp2- Discrepant (inconclusive)</t>
  </si>
  <si>
    <t>Below threshold, but highest class matches diagnosis</t>
  </si>
  <si>
    <t>EMA, S100 (+) Desmin, MNF116, SMA, MUC4, HMB45, CD34 (-)</t>
  </si>
  <si>
    <t>CSA family score (for conventional chondrosarcomas below threshold only)</t>
  </si>
  <si>
    <t>Site (Soft tissue/bone)</t>
  </si>
  <si>
    <t>Sample type</t>
  </si>
  <si>
    <t>Biopsy</t>
  </si>
  <si>
    <t>Resection</t>
  </si>
  <si>
    <t>Control (blood)</t>
  </si>
  <si>
    <t>not available</t>
  </si>
  <si>
    <t>Primary</t>
  </si>
  <si>
    <t>Local recurrence</t>
  </si>
  <si>
    <t>Metastasis</t>
  </si>
  <si>
    <t>Array type</t>
  </si>
  <si>
    <t>Methylation DNA source (Frozen tissue= FT, paraffin embedded= FFPET)</t>
  </si>
  <si>
    <t>Normal muscle</t>
  </si>
  <si>
    <t>Normal tissue</t>
  </si>
  <si>
    <t>Malignant peripheral nerve sheath tumour (MPNST)</t>
  </si>
  <si>
    <t xml:space="preserve">Pigmented villonodular synovitis/Tenosynovial giant cell tumour </t>
  </si>
  <si>
    <t>Pleomorphic hyalinising angiectatic tumour (PHAT)</t>
  </si>
  <si>
    <t>PRDM10 rearranged undifferentiated sarcoma</t>
  </si>
  <si>
    <t>Undifferentiated pleomorphic sarcoma (UPS)</t>
  </si>
  <si>
    <t>Primary/ Metastasis/ Local Recurrence</t>
  </si>
  <si>
    <t>Histological subtype (if applicable)</t>
  </si>
  <si>
    <t>Diagnosis Summary</t>
  </si>
  <si>
    <t>Sample in core validation cohort?</t>
  </si>
  <si>
    <t>Estimated tumour purity (See methods)</t>
  </si>
  <si>
    <t>Histology- low grade lesion with no cytological atypia. Blood filled ectatic spaces. Molecular- USP6 negative (FISH). IHC- G34W negative</t>
  </si>
  <si>
    <t>Total cohort (0.9 threshold)</t>
  </si>
  <si>
    <t>Total cohort (0.85 threshold)</t>
  </si>
  <si>
    <t>Core validation cohort (0.9 threshold)</t>
  </si>
  <si>
    <t>Core validation cohort (0.85 threshold)</t>
  </si>
  <si>
    <t>Total cases (excluding failed cases)</t>
  </si>
  <si>
    <t>No. of cases predicted (score above threshold)</t>
  </si>
  <si>
    <t>% predicted</t>
  </si>
  <si>
    <t>No. of cases predicted to correct class</t>
  </si>
  <si>
    <t>Proportion predicted to correct class (out of number predicted)</t>
  </si>
  <si>
    <t>No. of cases with discrepant prediction</t>
  </si>
  <si>
    <t>% discrepant predictions</t>
  </si>
  <si>
    <t>No. of cases not predicted (below threshold)</t>
  </si>
  <si>
    <t>% not predicted</t>
  </si>
  <si>
    <t>Total samples</t>
  </si>
  <si>
    <t>Number of samples predicted</t>
  </si>
  <si>
    <t>Samples predicted to correct methylation class</t>
  </si>
  <si>
    <t xml:space="preserve">Proportion classified </t>
  </si>
  <si>
    <t xml:space="preserve">Precision </t>
  </si>
  <si>
    <t xml:space="preserve">Sensitivity </t>
  </si>
  <si>
    <t>Mean estimated tumour purity</t>
  </si>
  <si>
    <t>Chondrosarcoma (conventional)</t>
  </si>
  <si>
    <t>Clear cell chondrosarcoma</t>
  </si>
  <si>
    <t>Control tissues</t>
  </si>
  <si>
    <t>Fibrous dysplasia</t>
  </si>
  <si>
    <t>Neurofibroma</t>
  </si>
  <si>
    <t>High grade conventional osteosarcoma</t>
  </si>
  <si>
    <t>Pleomorphic liposarcoma</t>
  </si>
  <si>
    <t>Undifferentiated sarcoma</t>
  </si>
  <si>
    <t>Alveolar soft parts sarcoma</t>
  </si>
  <si>
    <t>Conventional giant cell tumour of bone</t>
  </si>
  <si>
    <t>Malignant peripheral nerve sheath tumour</t>
  </si>
  <si>
    <t>Well dedifferentiated/ Dedifferentiated liposarcoma</t>
  </si>
  <si>
    <t>n samples before filtering</t>
  </si>
  <si>
    <t>fraction classified before filtering (%)</t>
  </si>
  <si>
    <t>n samples after filtering tumour purity=0.35</t>
  </si>
  <si>
    <t>samples lost after filtering 0.35 (%)</t>
  </si>
  <si>
    <t>fraction classified after filtering 0.35 (%)</t>
  </si>
  <si>
    <t>n samples after filtering tumour purity= 0.4</t>
  </si>
  <si>
    <t>samples lost after filtering 0.4 (%)</t>
  </si>
  <si>
    <t>fraction classified after filtering 0.4 (%)</t>
  </si>
  <si>
    <t>Case number</t>
  </si>
  <si>
    <t>Rhabdomyoblastic and chondroblastic</t>
  </si>
  <si>
    <t>Sentrix ID</t>
  </si>
  <si>
    <t>203257030211_R02C01</t>
  </si>
  <si>
    <t>203869580141_R03C01</t>
  </si>
  <si>
    <t>203869580140_R05C01</t>
  </si>
  <si>
    <t>203257030091_R03C01</t>
  </si>
  <si>
    <t>203219640032_R04C01</t>
  </si>
  <si>
    <t>203869580123_R04C01</t>
  </si>
  <si>
    <t>203219640032_R02C01</t>
  </si>
  <si>
    <t>203219640049_R01C01</t>
  </si>
  <si>
    <t>203869580131_R07C01</t>
  </si>
  <si>
    <t>203869580143_R08C01</t>
  </si>
  <si>
    <t>203257030091_R05C01</t>
  </si>
  <si>
    <t>203218680032_R05C01</t>
  </si>
  <si>
    <t>203257030091_R06C01</t>
  </si>
  <si>
    <t>203869580117_R07C01</t>
  </si>
  <si>
    <t>203869580123_R07C01</t>
  </si>
  <si>
    <t>203869580117_R06C01</t>
  </si>
  <si>
    <t>203212860245_R02C01</t>
  </si>
  <si>
    <t>203869580140_R03C01</t>
  </si>
  <si>
    <t>203869580143_R07C01</t>
  </si>
  <si>
    <t>203869580143_R06C01</t>
  </si>
  <si>
    <t>203869580140_R04C01</t>
  </si>
  <si>
    <t>203257030091_R07C01</t>
  </si>
  <si>
    <t>203869580131_R05C01</t>
  </si>
  <si>
    <t>203257030177_R02C01</t>
  </si>
  <si>
    <t>203257030177_R01C01</t>
  </si>
  <si>
    <t>203869580131_R04C01</t>
  </si>
  <si>
    <t>203869580117_R02C01</t>
  </si>
  <si>
    <t>203869580140_R06C01</t>
  </si>
  <si>
    <t>203218680032_R06C01</t>
  </si>
  <si>
    <t>203869580140_R08C01</t>
  </si>
  <si>
    <t>203869580131_R06C01</t>
  </si>
  <si>
    <t>203257030091_R02C01</t>
  </si>
  <si>
    <t>203218680032_R01C01</t>
  </si>
  <si>
    <t>203257030177_R04C01</t>
  </si>
  <si>
    <t>203259060009_R06C01</t>
  </si>
  <si>
    <t>203257030209_R01C01</t>
  </si>
  <si>
    <t>203257030177_R05C01</t>
  </si>
  <si>
    <t>203257030177_R06C01</t>
  </si>
  <si>
    <t>203259060012_R02C01</t>
  </si>
  <si>
    <t>203869580141_R08C01</t>
  </si>
  <si>
    <t>203259060012_R05C01</t>
  </si>
  <si>
    <t>203869580140_R02C01</t>
  </si>
  <si>
    <t>203219640032_R05C01</t>
  </si>
  <si>
    <t>203212860167_R02C01</t>
  </si>
  <si>
    <t>203219640032_R06C01</t>
  </si>
  <si>
    <t>203219640049_R04C01</t>
  </si>
  <si>
    <t>203257030093_R03C01</t>
  </si>
  <si>
    <t>203259060009_R02C01</t>
  </si>
  <si>
    <t>203259060079_R05C01</t>
  </si>
  <si>
    <t>203869580143_R05C01</t>
  </si>
  <si>
    <t>203259060074_R03C01</t>
  </si>
  <si>
    <t>203257030216_R03C01</t>
  </si>
  <si>
    <t>203212860167_R03C01</t>
  </si>
  <si>
    <t>203259060012_R06C01</t>
  </si>
  <si>
    <t>203218680032_R04C01</t>
  </si>
  <si>
    <t>203212860245_R01C01</t>
  </si>
  <si>
    <t>203259060023_R02C01</t>
  </si>
  <si>
    <t>203259060023_R01C01</t>
  </si>
  <si>
    <t>203257030177_R07C01</t>
  </si>
  <si>
    <t>203259060079_R04C01</t>
  </si>
  <si>
    <t>203257030211_R01C01</t>
  </si>
  <si>
    <t>203259060009_R01C01</t>
  </si>
  <si>
    <t>203257030091_R08C01</t>
  </si>
  <si>
    <t>203869580141_R06C01</t>
  </si>
  <si>
    <t>203257030216_R04C01</t>
  </si>
  <si>
    <t>203869580117_R01C01</t>
  </si>
  <si>
    <t>203869580140_R07C01</t>
  </si>
  <si>
    <t>203257030216_R05C01</t>
  </si>
  <si>
    <t>203259060023_R07C01</t>
  </si>
  <si>
    <t>203869580140_R01C01</t>
  </si>
  <si>
    <t>203869580123_R01C01</t>
  </si>
  <si>
    <t>203212860245_R04C01</t>
  </si>
  <si>
    <t>203219640032_R01C01</t>
  </si>
  <si>
    <t>203869580117_R04C01</t>
  </si>
  <si>
    <t>203259060025_R01C01</t>
  </si>
  <si>
    <t>203869580141_R01C01</t>
  </si>
  <si>
    <t>203869580123_R05C01</t>
  </si>
  <si>
    <t>203212860245_R03C01</t>
  </si>
  <si>
    <t>203869580131_R03C01</t>
  </si>
  <si>
    <t>203259060092_R04C01</t>
  </si>
  <si>
    <t>203257030093_R04C01</t>
  </si>
  <si>
    <t>203869580141_R02C01</t>
  </si>
  <si>
    <t>203219640049_R06C01</t>
  </si>
  <si>
    <t>203259060079_R02C01</t>
  </si>
  <si>
    <t>203869580131_R02C01</t>
  </si>
  <si>
    <t>203219640032_R03C01</t>
  </si>
  <si>
    <t>203257030093_R02C01</t>
  </si>
  <si>
    <t>203257030100_R01C01</t>
  </si>
  <si>
    <t>203869580117_R05C01</t>
  </si>
  <si>
    <t>203869580131_R01C01</t>
  </si>
  <si>
    <t>203219640049_R02C01</t>
  </si>
  <si>
    <t>203212860245_R07C01</t>
  </si>
  <si>
    <t>203869580123_R06C01</t>
  </si>
  <si>
    <t>203259060025_R02C01</t>
  </si>
  <si>
    <t>203259060074_R04C01</t>
  </si>
  <si>
    <t>203257030093_R06C01</t>
  </si>
  <si>
    <t>203212860167_R05C01</t>
  </si>
  <si>
    <t>203212860245_R05C01</t>
  </si>
  <si>
    <t>203219640032_R07C01</t>
  </si>
  <si>
    <t>203212860167_R01C01</t>
  </si>
  <si>
    <t>203219640049_R03C01</t>
  </si>
  <si>
    <t>203212860167_R04C01</t>
  </si>
  <si>
    <t>203869580141_R05C01</t>
  </si>
  <si>
    <t>203212860167_R06C01</t>
  </si>
  <si>
    <t>203259060079_R06C01</t>
  </si>
  <si>
    <t>203257030093_R05C01</t>
  </si>
  <si>
    <t>203259060074_R02C01</t>
  </si>
  <si>
    <t>203218680032_R07C01</t>
  </si>
  <si>
    <t>203219640049_R05C01</t>
  </si>
  <si>
    <t>203218680032_R03C01</t>
  </si>
  <si>
    <t>203212860245_R06C01</t>
  </si>
  <si>
    <t>203219640049_R07C01</t>
  </si>
  <si>
    <t>203219640049_R08C01</t>
  </si>
  <si>
    <t>203218680032_R02C01</t>
  </si>
  <si>
    <t>201496710150_R05C01</t>
  </si>
  <si>
    <t>200550900071_R05C01</t>
  </si>
  <si>
    <t>200550900083_R05C01</t>
  </si>
  <si>
    <t>200598660070_R07C01</t>
  </si>
  <si>
    <t>200788220049_R04C01</t>
  </si>
  <si>
    <t>200550900082_R08C01</t>
  </si>
  <si>
    <t>200598660011_R05C01</t>
  </si>
  <si>
    <t>202273260045_R08C01</t>
  </si>
  <si>
    <t>200598660011_R08C01</t>
  </si>
  <si>
    <t>202262730196_R07C01</t>
  </si>
  <si>
    <t>200598660034_R08C01</t>
  </si>
  <si>
    <t>200550900082_R07C01</t>
  </si>
  <si>
    <t>100994770004_R05C01</t>
  </si>
  <si>
    <t>202273260027_R07C01</t>
  </si>
  <si>
    <t>200550900071_R01C01</t>
  </si>
  <si>
    <t>200550940006_R03C01</t>
  </si>
  <si>
    <t>203257030209_R06C01</t>
  </si>
  <si>
    <t>203257030216_R06C01</t>
  </si>
  <si>
    <t>200598660026_R08C01</t>
  </si>
  <si>
    <t>3999078064_R01C02</t>
  </si>
  <si>
    <t>200598660026_R04C01</t>
  </si>
  <si>
    <t>200550940029_R03C01</t>
  </si>
  <si>
    <t>101103430106_R03C02</t>
  </si>
  <si>
    <t>5859501023_R04C02</t>
  </si>
  <si>
    <t>203257030100_R04C01</t>
  </si>
  <si>
    <t>200550940047_R08C01</t>
  </si>
  <si>
    <t>202273260117_R01C01</t>
  </si>
  <si>
    <t>200788220001_R01C01</t>
  </si>
  <si>
    <t>200598660026_R02C01</t>
  </si>
  <si>
    <t>202273260080_R04C01</t>
  </si>
  <si>
    <t>200550940029_R08C01</t>
  </si>
  <si>
    <t>200788220049_R06C01</t>
  </si>
  <si>
    <t>101103430147_R06C01</t>
  </si>
  <si>
    <t>3999078002_R04C02</t>
  </si>
  <si>
    <t>3999078064_R04C01</t>
  </si>
  <si>
    <t>202262730113_R05C01</t>
  </si>
  <si>
    <t>101103430066_R06C01</t>
  </si>
  <si>
    <t>200788220051_R04C01</t>
  </si>
  <si>
    <t>202262730181_R07C01</t>
  </si>
  <si>
    <t>200598660026_R03C01</t>
  </si>
  <si>
    <t>200598660034_R05C01</t>
  </si>
  <si>
    <t>5903111030_R01C02</t>
  </si>
  <si>
    <t>200598660066_R08C01</t>
  </si>
  <si>
    <t>101103430106_R01C01</t>
  </si>
  <si>
    <t>203259060023_R03C01</t>
  </si>
  <si>
    <t>203259060009_R05C01</t>
  </si>
  <si>
    <t>203259060009_R04C01</t>
  </si>
  <si>
    <t>203259060034_R04C01</t>
  </si>
  <si>
    <t>200598660070_R06C01</t>
  </si>
  <si>
    <t>101103430087_R03C02</t>
  </si>
  <si>
    <t>100994770005_R01C02</t>
  </si>
  <si>
    <t>101103430097_R04C02</t>
  </si>
  <si>
    <t>200598660034_R02C01</t>
  </si>
  <si>
    <t>3999078064_R05C01</t>
  </si>
  <si>
    <t>3999078064_R05C02</t>
  </si>
  <si>
    <t>202262730112_R01C01</t>
  </si>
  <si>
    <t>5859501023_R01C02</t>
  </si>
  <si>
    <t>200788220016_R05C01</t>
  </si>
  <si>
    <t>101103430087_R02C01</t>
  </si>
  <si>
    <t>101103430106_R03C01</t>
  </si>
  <si>
    <t>101103430097_R06C02</t>
  </si>
  <si>
    <t>202273260066_R06C01</t>
  </si>
  <si>
    <t>202273260080_R05C01</t>
  </si>
  <si>
    <t>100994770005_R05C02</t>
  </si>
  <si>
    <t>101103430087_R05C02</t>
  </si>
  <si>
    <t>101103430066_R04C02</t>
  </si>
  <si>
    <t>200550900071_R07C01</t>
  </si>
  <si>
    <t>200550900083_R08C01</t>
  </si>
  <si>
    <t>5859501023_R02C01</t>
  </si>
  <si>
    <t>200598660011_R02C01</t>
  </si>
  <si>
    <t>5903111030_R04C02</t>
  </si>
  <si>
    <t>5859501023_R04C01</t>
  </si>
  <si>
    <t>201506830093_R08C01</t>
  </si>
  <si>
    <t>101103430087_R04C01</t>
  </si>
  <si>
    <t>100994770004_R06C01</t>
  </si>
  <si>
    <t>200550940047_R04C01</t>
  </si>
  <si>
    <t>202262730113_R06C01</t>
  </si>
  <si>
    <t>200598660070_R01C01</t>
  </si>
  <si>
    <t>200598660015_R02C01</t>
  </si>
  <si>
    <t>200550900089_R07C01</t>
  </si>
  <si>
    <t>200550940025_R08C01</t>
  </si>
  <si>
    <t>200550940025_R07C01</t>
  </si>
  <si>
    <t>200550940005_R01C01</t>
  </si>
  <si>
    <t>200598660070_R02C01</t>
  </si>
  <si>
    <t>200550940005_R02C01</t>
  </si>
  <si>
    <t>101103430087_R02C02</t>
  </si>
  <si>
    <t>200550940005_R03C01</t>
  </si>
  <si>
    <t>200550940047_R07C01</t>
  </si>
  <si>
    <t>200550900083_R03C01</t>
  </si>
  <si>
    <t>202273260045_R06C01</t>
  </si>
  <si>
    <t>201496850114_R02C01</t>
  </si>
  <si>
    <t>200550940025_R03C01</t>
  </si>
  <si>
    <t>101103430106_R02C02</t>
  </si>
  <si>
    <t>101103430066_R02C02</t>
  </si>
  <si>
    <t>5903111030_R02C02</t>
  </si>
  <si>
    <t>5859501023_R06C02</t>
  </si>
  <si>
    <t>101103430066_R06C02</t>
  </si>
  <si>
    <t>203259060034_R01C01</t>
  </si>
  <si>
    <t>203259060034_R03C01</t>
  </si>
  <si>
    <t>203259060034_R02C01</t>
  </si>
  <si>
    <t>203257030209_R02C01</t>
  </si>
  <si>
    <t>200788220001_R06C01</t>
  </si>
  <si>
    <t>200788220049_R01C01</t>
  </si>
  <si>
    <t>101103430066_R01C02</t>
  </si>
  <si>
    <t>101103430084_R04C01</t>
  </si>
  <si>
    <t>201496850137_R06C01</t>
  </si>
  <si>
    <t>5859501023_R02C02</t>
  </si>
  <si>
    <t>200788220001_R07C01</t>
  </si>
  <si>
    <t>200598660015_R05C01</t>
  </si>
  <si>
    <t>202273260025_R06C01</t>
  </si>
  <si>
    <t>201496710050_R06C01</t>
  </si>
  <si>
    <t>201496710050_R07C01</t>
  </si>
  <si>
    <t>201506830093_R03C01</t>
  </si>
  <si>
    <t>202273260143_R06C01</t>
  </si>
  <si>
    <t>201506830054_R01C01</t>
  </si>
  <si>
    <t>101103430106_R05C01</t>
  </si>
  <si>
    <t>202273260080_R06C01</t>
  </si>
  <si>
    <t>202262730181_R08C01</t>
  </si>
  <si>
    <t>200379120064_R02C02</t>
  </si>
  <si>
    <t>202273260025_R07C01</t>
  </si>
  <si>
    <t>200788220051_R02C01</t>
  </si>
  <si>
    <t>200788220049_R08C01</t>
  </si>
  <si>
    <t>5903111030_R05C01</t>
  </si>
  <si>
    <t>200788220019_R07C01</t>
  </si>
  <si>
    <t>200598660015_R01C01</t>
  </si>
  <si>
    <t>200550940047_R05C01</t>
  </si>
  <si>
    <t>101103430097_R02C01</t>
  </si>
  <si>
    <t>200598660059_R07C01</t>
  </si>
  <si>
    <t>202273260111_R06C01</t>
  </si>
  <si>
    <t>200379120035_R04C02</t>
  </si>
  <si>
    <t>200550940025_R02C01</t>
  </si>
  <si>
    <t>101103430084_R04C02</t>
  </si>
  <si>
    <t>202273260080_R07C01</t>
  </si>
  <si>
    <t>101103430087_R05C01</t>
  </si>
  <si>
    <t>202262730113_R07C01</t>
  </si>
  <si>
    <t>203259060023_R04C01</t>
  </si>
  <si>
    <t>203259060036_R01C01</t>
  </si>
  <si>
    <t>203259060043_R05C01</t>
  </si>
  <si>
    <t>200788220001_R08C01</t>
  </si>
  <si>
    <t>200550940047_R02C01</t>
  </si>
  <si>
    <t>200550940006_R01C01</t>
  </si>
  <si>
    <t>200362700236_R01C01</t>
  </si>
  <si>
    <t>200788220003_R01C01</t>
  </si>
  <si>
    <t>200379120035_R02C02</t>
  </si>
  <si>
    <t>202273260008_R01C01</t>
  </si>
  <si>
    <t>200379120064_R04C02</t>
  </si>
  <si>
    <t>101103430147_R03C02</t>
  </si>
  <si>
    <t>200362700236_R01C02</t>
  </si>
  <si>
    <t>200550900089_R03C01</t>
  </si>
  <si>
    <t>100994770005_R06C02</t>
  </si>
  <si>
    <t>101103430066_R05C01</t>
  </si>
  <si>
    <t>202273260111_R01C01</t>
  </si>
  <si>
    <t>200379120064_R05C01</t>
  </si>
  <si>
    <t>200788220003_R02C01</t>
  </si>
  <si>
    <t>200550940013_R04C01</t>
  </si>
  <si>
    <t>201506830093_R05C01</t>
  </si>
  <si>
    <t>3999078002_R04C01</t>
  </si>
  <si>
    <t>5859501025_R02C01</t>
  </si>
  <si>
    <t>5859501025_R03C01</t>
  </si>
  <si>
    <t>5859501023_R05C02</t>
  </si>
  <si>
    <t>202262730112_R04C01</t>
  </si>
  <si>
    <t>200788220049_R02C01</t>
  </si>
  <si>
    <t>202273260008_R07C01</t>
  </si>
  <si>
    <t>202262730113_R08C01</t>
  </si>
  <si>
    <t>202273260060_R07C01</t>
  </si>
  <si>
    <t>200550940005_R08C01</t>
  </si>
  <si>
    <t>5859501025_R05C01</t>
  </si>
  <si>
    <t>100994770004_R05C02</t>
  </si>
  <si>
    <t>101103430097_R03C01</t>
  </si>
  <si>
    <t>200379120035_R06C01</t>
  </si>
  <si>
    <t>200598660011_R06C01</t>
  </si>
  <si>
    <t>200362700236_R02C02</t>
  </si>
  <si>
    <t>200788220051_R05C01</t>
  </si>
  <si>
    <t>200598660034_R03C01</t>
  </si>
  <si>
    <t>101103430084_R05C02</t>
  </si>
  <si>
    <t>202273260065_R06C01</t>
  </si>
  <si>
    <t>200550900083_R04C01</t>
  </si>
  <si>
    <t>202273260064_R07C01</t>
  </si>
  <si>
    <t>203257030100_R03C01</t>
  </si>
  <si>
    <t>203257030209_R05C01</t>
  </si>
  <si>
    <t>203257030093_R01C01</t>
  </si>
  <si>
    <t>203259060025_R04C01</t>
  </si>
  <si>
    <t>203259060092_R05C01</t>
  </si>
  <si>
    <t>203259060074_R05C01</t>
  </si>
  <si>
    <t>203259060092_R06C01</t>
  </si>
  <si>
    <t>203259060043_R06C01</t>
  </si>
  <si>
    <t>203259060043_R03C01</t>
  </si>
  <si>
    <t>203259060036_R02C01</t>
  </si>
  <si>
    <t>203257030100_R02C01</t>
  </si>
  <si>
    <t>203259060043_R04C01</t>
  </si>
  <si>
    <t>203259060043_R01C01</t>
  </si>
  <si>
    <t>203259060074_R06C01</t>
  </si>
  <si>
    <t>203259060092_R02C01</t>
  </si>
  <si>
    <t>202262730098_R07C01</t>
  </si>
  <si>
    <t>200512330046_R02C01</t>
  </si>
  <si>
    <t>200598660040_R01C01</t>
  </si>
  <si>
    <t>101103430097_R05C02</t>
  </si>
  <si>
    <t>200788220003_R08C01</t>
  </si>
  <si>
    <t>201506830093_R01C01</t>
  </si>
  <si>
    <t>201506830093_R02C01</t>
  </si>
  <si>
    <t>201508110031_R06C01</t>
  </si>
  <si>
    <t>200550940006_R07C01</t>
  </si>
  <si>
    <t>200550940013_R07C01</t>
  </si>
  <si>
    <t>200598660034_R01C01</t>
  </si>
  <si>
    <t>200550940005_R07C01</t>
  </si>
  <si>
    <t>200788220003_R07C01</t>
  </si>
  <si>
    <t>200598660059_R03C01</t>
  </si>
  <si>
    <t>200550940005_R06C01</t>
  </si>
  <si>
    <t>200598660034_R04C01</t>
  </si>
  <si>
    <t>201496860129_R05C01</t>
  </si>
  <si>
    <t>200362700236_R03C02</t>
  </si>
  <si>
    <t>201496710150_R01C01</t>
  </si>
  <si>
    <t>200550940005_R05C01</t>
  </si>
  <si>
    <t>100994770004_R01C02</t>
  </si>
  <si>
    <t>200550940013_R08C01</t>
  </si>
  <si>
    <t>200379120064_R06C02</t>
  </si>
  <si>
    <t>200550900089_R06C01</t>
  </si>
  <si>
    <t>200550940023_R01C01</t>
  </si>
  <si>
    <t>202262730115_R02C01</t>
  </si>
  <si>
    <t>202273260008_R08C01</t>
  </si>
  <si>
    <t>201496710050_R05C01</t>
  </si>
  <si>
    <t>201496850137_R07C01</t>
  </si>
  <si>
    <t>200788220003_R05C01</t>
  </si>
  <si>
    <t>200788220003_R04C01</t>
  </si>
  <si>
    <t>100994770004_R04C02</t>
  </si>
  <si>
    <t>101103430097_R06C01</t>
  </si>
  <si>
    <t>200550940005_R04C01</t>
  </si>
  <si>
    <t>202273260066_R02C01</t>
  </si>
  <si>
    <t>202262730115_R01C01</t>
  </si>
  <si>
    <t>202128330130_R03C01</t>
  </si>
  <si>
    <t>202273260054_R01C01</t>
  </si>
  <si>
    <t>100994770004_R04C01</t>
  </si>
  <si>
    <t>101103430147_R01C01</t>
  </si>
  <si>
    <t>101103430087_R01C02</t>
  </si>
  <si>
    <t>200550900089_R01C01</t>
  </si>
  <si>
    <t>202273260045_R07C01</t>
  </si>
  <si>
    <t>200550940023_R02C01</t>
  </si>
  <si>
    <t>201506830054_R06C01</t>
  </si>
  <si>
    <t>200598660040_R06C01</t>
  </si>
  <si>
    <t>200788220051_R06C01</t>
  </si>
  <si>
    <t>201496710050_R03C01</t>
  </si>
  <si>
    <t>201508110028_R05C01</t>
  </si>
  <si>
    <t>200379120064_R03C02</t>
  </si>
  <si>
    <t>201496850137_R01C01</t>
  </si>
  <si>
    <t>201496860129_R07C01</t>
  </si>
  <si>
    <t>201496850137_R02C01</t>
  </si>
  <si>
    <t>201496860129_R06C01</t>
  </si>
  <si>
    <t>202262730181_R06C01</t>
  </si>
  <si>
    <t>200598660040_R04C01</t>
  </si>
  <si>
    <t>200788220001_R04C01</t>
  </si>
  <si>
    <t>200379120064_R04C01</t>
  </si>
  <si>
    <t>201496710150_R04C01</t>
  </si>
  <si>
    <t>5859501023_R01C01</t>
  </si>
  <si>
    <t>201496710150_R03C01</t>
  </si>
  <si>
    <t>202273260019_R04C01</t>
  </si>
  <si>
    <t>202273260066_R05C01</t>
  </si>
  <si>
    <t>200598660026_R05C01</t>
  </si>
  <si>
    <t>5903111029_R04C02</t>
  </si>
  <si>
    <t>101103430097_R01C01</t>
  </si>
  <si>
    <t>203259060012_R01C01</t>
  </si>
  <si>
    <t>200598660015_R08C01</t>
  </si>
  <si>
    <t>200550940024_R05C01</t>
  </si>
  <si>
    <t>203257030100_R05C01</t>
  </si>
  <si>
    <t>203259060043_R02C01</t>
  </si>
  <si>
    <t>203257030209_R04C01</t>
  </si>
  <si>
    <t>203257030216_R01C01</t>
  </si>
  <si>
    <t>203257030209_R03C01</t>
  </si>
  <si>
    <t>203259060025_R08C01</t>
  </si>
  <si>
    <t>203259060034_R06C01</t>
  </si>
  <si>
    <t>203259060034_R05C01</t>
  </si>
  <si>
    <t>203259060023_R05C01</t>
  </si>
  <si>
    <t>203259060036_R07C01</t>
  </si>
  <si>
    <t>203257030100_R06C01</t>
  </si>
  <si>
    <t>203259060023_R06C01</t>
  </si>
  <si>
    <t>203257030216_R02C01</t>
  </si>
  <si>
    <t>203259060012_R03C01</t>
  </si>
  <si>
    <t>203259060012_R04C01</t>
  </si>
  <si>
    <t>200598660015_R03C01</t>
  </si>
  <si>
    <t>5903111029_R05C01</t>
  </si>
  <si>
    <t>201508110031_R05C01</t>
  </si>
  <si>
    <t>201496860118_R03C01</t>
  </si>
  <si>
    <t>5903111029_R06C02</t>
  </si>
  <si>
    <t>201496710150_R02C01</t>
  </si>
  <si>
    <t>201496710050_R08C01</t>
  </si>
  <si>
    <t>201506830054_R08C01</t>
  </si>
  <si>
    <t>201506830093_R07C01</t>
  </si>
  <si>
    <t>200550900071_R04C01</t>
  </si>
  <si>
    <t>200362700236_R06C01</t>
  </si>
  <si>
    <t>5903111030_R04C01</t>
  </si>
  <si>
    <t>101103430087_R03C01</t>
  </si>
  <si>
    <t>101103430084_R02C01</t>
  </si>
  <si>
    <t>201508110028_R06C01</t>
  </si>
  <si>
    <t>201508110028_R07C01</t>
  </si>
  <si>
    <t>201508110028_R08C01</t>
  </si>
  <si>
    <t>200550940013_R01C01</t>
  </si>
  <si>
    <t>200598660059_R08C01</t>
  </si>
  <si>
    <t>200550900082_R06C01</t>
  </si>
  <si>
    <t>5859501025_R05C02</t>
  </si>
  <si>
    <t>200550900083_R01C01</t>
  </si>
  <si>
    <t>100994770005_R06C01</t>
  </si>
  <si>
    <t>202262730098_R06C01</t>
  </si>
  <si>
    <t>101103430106_R01C02</t>
  </si>
  <si>
    <t>200550900082_R01C01</t>
  </si>
  <si>
    <t>201508110028_R02C01</t>
  </si>
  <si>
    <t>201508110028_R04C01</t>
  </si>
  <si>
    <t>201508110028_R03C01</t>
  </si>
  <si>
    <t>100994770005_R02C02</t>
  </si>
  <si>
    <t>5903111029_R01C02</t>
  </si>
  <si>
    <t>202262730112_R03C01</t>
  </si>
  <si>
    <t>3999078002_R05C01</t>
  </si>
  <si>
    <t>201496850114_R07C01</t>
  </si>
  <si>
    <t>200598660070_R05C01</t>
  </si>
  <si>
    <t>202273260019_R05C01</t>
  </si>
  <si>
    <t>200362700236_R05C02</t>
  </si>
  <si>
    <t>202262730112_R07C01</t>
  </si>
  <si>
    <t>200788220019_R06C01</t>
  </si>
  <si>
    <t>3999078064_R02C02</t>
  </si>
  <si>
    <t>5903111029_R01C01</t>
  </si>
  <si>
    <t>200788220016_R02C01</t>
  </si>
  <si>
    <t>5903111029_R04C01</t>
  </si>
  <si>
    <t>200550940029_R06C01</t>
  </si>
  <si>
    <t>101130760092_R04C01</t>
  </si>
  <si>
    <t>200598660040_R05C01</t>
  </si>
  <si>
    <t>200379120035_R01C02</t>
  </si>
  <si>
    <t>202273260066_R01C01</t>
  </si>
  <si>
    <t>202273260117_R02C01</t>
  </si>
  <si>
    <t>200788220019_R05C01</t>
  </si>
  <si>
    <t>202273260020_R03C01</t>
  </si>
  <si>
    <t>202273260111_R05C01</t>
  </si>
  <si>
    <t>200512330046_R07C01</t>
  </si>
  <si>
    <t>3999078002_R01C02</t>
  </si>
  <si>
    <t>202273260143_R04C01</t>
  </si>
  <si>
    <t>5903111029_R06C01</t>
  </si>
  <si>
    <t>202273260008_R02C01</t>
  </si>
  <si>
    <t>200788220001_R02C01</t>
  </si>
  <si>
    <t>200598660026_R06C01</t>
  </si>
  <si>
    <t>200598660079_R08C01</t>
  </si>
  <si>
    <t>202273260008_R03C01</t>
  </si>
  <si>
    <t>101130760092_R01C01</t>
  </si>
  <si>
    <t>200788220016_R07C01</t>
  </si>
  <si>
    <t>5903111030_R06C01</t>
  </si>
  <si>
    <t>200598660059_R04C01</t>
  </si>
  <si>
    <t>202273260027_R06C01</t>
  </si>
  <si>
    <t>201496860129_R03C01</t>
  </si>
  <si>
    <t>202273260009_R07C01</t>
  </si>
  <si>
    <t>200598660040_R02C01</t>
  </si>
  <si>
    <t>200788220049_R05C01</t>
  </si>
  <si>
    <t>200362700236_R06C02</t>
  </si>
  <si>
    <t>101103430097_R02C02</t>
  </si>
  <si>
    <t>5903111029_R02C01</t>
  </si>
  <si>
    <t>200598660079_R06C01</t>
  </si>
  <si>
    <t>202273260065_R03C01</t>
  </si>
  <si>
    <t>202273260009_R08C01</t>
  </si>
  <si>
    <t>3999078002_R06C02</t>
  </si>
  <si>
    <t>5859501025_R03C02</t>
  </si>
  <si>
    <t>202273260009_R01C01</t>
  </si>
  <si>
    <t>203259060043_R07C01</t>
  </si>
  <si>
    <t>200788220016_R04C01</t>
  </si>
  <si>
    <t>200788220016_R06C01</t>
  </si>
  <si>
    <t>3999078064_R06C02</t>
  </si>
  <si>
    <t>202273260027_R05C01</t>
  </si>
  <si>
    <t>201506830093_R04C01</t>
  </si>
  <si>
    <t>201496850114_R08C01</t>
  </si>
  <si>
    <t>101103430106_R04C01</t>
  </si>
  <si>
    <t>100994770005_R03C02</t>
  </si>
  <si>
    <t>202273260008_R04C01</t>
  </si>
  <si>
    <t>200512330046_R04C01</t>
  </si>
  <si>
    <t>200598660059_R06C01</t>
  </si>
  <si>
    <t>203259060009_R03C01</t>
  </si>
  <si>
    <t>101130760059_R06C01</t>
  </si>
  <si>
    <t>101103430084_R06C02</t>
  </si>
  <si>
    <t>201496860129_R02C01</t>
  </si>
  <si>
    <t>101103430084_R06C01</t>
  </si>
  <si>
    <t>200550900089_R02C01</t>
  </si>
  <si>
    <t>202262730115_R03C01</t>
  </si>
  <si>
    <t>101130760087_R03C02</t>
  </si>
  <si>
    <t>202273260117_R04C01</t>
  </si>
  <si>
    <t>200788220016_R08C01</t>
  </si>
  <si>
    <t>202273260019_R08C01</t>
  </si>
  <si>
    <t>202273260065_R08C01</t>
  </si>
  <si>
    <t>100994770004_R03C02</t>
  </si>
  <si>
    <t>3999078064_R03C02</t>
  </si>
  <si>
    <t>200550900071_R06C01</t>
  </si>
  <si>
    <t>201496860129_R01C01</t>
  </si>
  <si>
    <t>201508110028_R01C01</t>
  </si>
  <si>
    <t>201506830054_R03C01</t>
  </si>
  <si>
    <t>101103430084_R05C01</t>
  </si>
  <si>
    <t>200788220019_R02C01</t>
  </si>
  <si>
    <t>3999078064_R01C01</t>
  </si>
  <si>
    <t>101103430066_R04C01</t>
  </si>
  <si>
    <t>3999078002_R01C01</t>
  </si>
  <si>
    <t>200379120064_R06C01</t>
  </si>
  <si>
    <t>101130760092_R03C02</t>
  </si>
  <si>
    <t>202273260009_R02C01</t>
  </si>
  <si>
    <t>200550940006_R04C01</t>
  </si>
  <si>
    <t>101130760087_R05C01</t>
  </si>
  <si>
    <t>202273260019_R01C01</t>
  </si>
  <si>
    <t>200598660011_R01C01</t>
  </si>
  <si>
    <t>101130760059_R02C01</t>
  </si>
  <si>
    <t>200598660011_R03C01</t>
  </si>
  <si>
    <t>101130760092_R02C01</t>
  </si>
  <si>
    <t>3999078002_R03C02</t>
  </si>
  <si>
    <t>200788220051_R01C01</t>
  </si>
  <si>
    <t>201496710050_R04C01</t>
  </si>
  <si>
    <t>201496850114_R03C01</t>
  </si>
  <si>
    <t>201496860118_R07C01</t>
  </si>
  <si>
    <t>200512330046_R03C01</t>
  </si>
  <si>
    <t>202273260019_R02C01</t>
  </si>
  <si>
    <t>202273260020_R01C01</t>
  </si>
  <si>
    <t>202262730115_R04C01</t>
  </si>
  <si>
    <t>101130760059_R03C01</t>
  </si>
  <si>
    <t>202273260008_R05C01</t>
  </si>
  <si>
    <t>202273260019_R07C01</t>
  </si>
  <si>
    <t>202273260231_R02C01</t>
  </si>
  <si>
    <t>202273260009_R03C01</t>
  </si>
  <si>
    <t>202273260027_R04C01</t>
  </si>
  <si>
    <t>200512330046_R06C01</t>
  </si>
  <si>
    <t>200550900089_R08C01</t>
  </si>
  <si>
    <t>101103430106_R06C02</t>
  </si>
  <si>
    <t>200598660026_R07C01</t>
  </si>
  <si>
    <t>200512330046_R05C01</t>
  </si>
  <si>
    <t>101103430147_R05C01</t>
  </si>
  <si>
    <t>202273260080_R08C01</t>
  </si>
  <si>
    <t>200598660066_R04C01</t>
  </si>
  <si>
    <t>100994770004_R02C02</t>
  </si>
  <si>
    <t>202273260117_R03C01</t>
  </si>
  <si>
    <t>200550940024_R03C01</t>
  </si>
  <si>
    <t>201496710050_R02C01</t>
  </si>
  <si>
    <t>201496850137_R08C01</t>
  </si>
  <si>
    <t>200598660066_R05C01</t>
  </si>
  <si>
    <t>201496860118_R08C01</t>
  </si>
  <si>
    <t>201506830054_R07C01</t>
  </si>
  <si>
    <t>201496860118_R05C01</t>
  </si>
  <si>
    <t>202273260020_R02C01</t>
  </si>
  <si>
    <t>200598660081_R06C01</t>
  </si>
  <si>
    <t>203259060018_R07C01</t>
  </si>
  <si>
    <t>101130760059_R01C01</t>
  </si>
  <si>
    <t>101103430066_R02C01</t>
  </si>
  <si>
    <t>101130760087_R01C01</t>
  </si>
  <si>
    <t>3999078002_R03C01</t>
  </si>
  <si>
    <t>101130760092_R05C01</t>
  </si>
  <si>
    <t>200598660081_R04C01</t>
  </si>
  <si>
    <t>200550900071_R03C01</t>
  </si>
  <si>
    <t>101130760092_R03C01</t>
  </si>
  <si>
    <t>200379120035_R01C01</t>
  </si>
  <si>
    <t>201496860118_R06C01</t>
  </si>
  <si>
    <t>201508110031_R04C01</t>
  </si>
  <si>
    <t>201496710050_R01C01</t>
  </si>
  <si>
    <t>101103430066_R01C01</t>
  </si>
  <si>
    <t>101103430097_R05C01</t>
  </si>
  <si>
    <t>200788220019_R03C01</t>
  </si>
  <si>
    <t>200788220019_R01C01</t>
  </si>
  <si>
    <t>101103430066_R05C02</t>
  </si>
  <si>
    <t>200598660079_R05C01</t>
  </si>
  <si>
    <t>202273260044_R07C01</t>
  </si>
  <si>
    <t>202262730196_R02C01</t>
  </si>
  <si>
    <t>200550940024_R02C01</t>
  </si>
  <si>
    <t>200550940029_R04C01</t>
  </si>
  <si>
    <t>200788220019_R04C01</t>
  </si>
  <si>
    <t>202273260064_R05C01</t>
  </si>
  <si>
    <t>202273260065_R04C01</t>
  </si>
  <si>
    <t>202273260044_R08C01</t>
  </si>
  <si>
    <t>101103430147_R02C01</t>
  </si>
  <si>
    <t>101103430097_R01C02</t>
  </si>
  <si>
    <t>203259060018_R08C01</t>
  </si>
  <si>
    <t>101103430147_R01C02</t>
  </si>
  <si>
    <t>200598660070_R03C01</t>
  </si>
  <si>
    <t>101103430106_R05C02</t>
  </si>
  <si>
    <t>100994770005_R02C01</t>
  </si>
  <si>
    <t>200550940029_R05C01</t>
  </si>
  <si>
    <t>201496710150_R07C01</t>
  </si>
  <si>
    <t>201496710150_R08C01</t>
  </si>
  <si>
    <t>202273260009_R04C01</t>
  </si>
  <si>
    <t>202262730181_R03C01</t>
  </si>
  <si>
    <t>200788220051_R03C01</t>
  </si>
  <si>
    <t>3999078064_R03C01</t>
  </si>
  <si>
    <t>202262730188_R05C01</t>
  </si>
  <si>
    <t>101103430147_R03C01</t>
  </si>
  <si>
    <t>202273260009_R05C01</t>
  </si>
  <si>
    <t>101103430066_R03C01</t>
  </si>
  <si>
    <t>200379120035_R02C01</t>
  </si>
  <si>
    <t>101130760059_R05C01</t>
  </si>
  <si>
    <t>200379120035_R03C01</t>
  </si>
  <si>
    <t>101103430084_R01C01</t>
  </si>
  <si>
    <t>200379120035_R04C01</t>
  </si>
  <si>
    <t>202273260019_R03C01</t>
  </si>
  <si>
    <t>200362700236_R02C01</t>
  </si>
  <si>
    <t>101130760087_R06C02</t>
  </si>
  <si>
    <t>200379120035_R05C01</t>
  </si>
  <si>
    <t>200598660015_R04C01</t>
  </si>
  <si>
    <t>200598660070_R04C01</t>
  </si>
  <si>
    <t>101130760087_R06C01</t>
  </si>
  <si>
    <t>3999078064_R04C02</t>
  </si>
  <si>
    <t>200379120064_R02C01</t>
  </si>
  <si>
    <t>200598660066_R07C01</t>
  </si>
  <si>
    <t>202262730135_R01C01</t>
  </si>
  <si>
    <t>203259060036_R05C01</t>
  </si>
  <si>
    <t>100994770005_R05C01</t>
  </si>
  <si>
    <t>200598660040_R08C01</t>
  </si>
  <si>
    <t>200598660081_R07C01</t>
  </si>
  <si>
    <t>200550940006_R08C01</t>
  </si>
  <si>
    <t>101103430087_R04C02</t>
  </si>
  <si>
    <t>200598660081_R01C01</t>
  </si>
  <si>
    <t>200598660059_R05C01</t>
  </si>
  <si>
    <t>101103430084_R03C01</t>
  </si>
  <si>
    <t>200598660015_R06C01</t>
  </si>
  <si>
    <t>201496710150_R06C01</t>
  </si>
  <si>
    <t>201496850137_R04C01</t>
  </si>
  <si>
    <t>201496850114_R01C01</t>
  </si>
  <si>
    <t>200598660081_R03C01</t>
  </si>
  <si>
    <t>200598660066_R03C01</t>
  </si>
  <si>
    <t>101103430097_R03C02</t>
  </si>
  <si>
    <t>101103430087_R06C01</t>
  </si>
  <si>
    <t>200598660011_R07C01</t>
  </si>
  <si>
    <t>101130760087_R05C02</t>
  </si>
  <si>
    <t>203259060074_R07C01</t>
  </si>
  <si>
    <t>200598660066_R01C01</t>
  </si>
  <si>
    <t>200598660078_R01C01</t>
  </si>
  <si>
    <t>202259490096_R05C01</t>
  </si>
  <si>
    <t>202273260020_R04C01</t>
  </si>
  <si>
    <t>3999078064_R02C01</t>
  </si>
  <si>
    <t>101130760092_R02C02</t>
  </si>
  <si>
    <t>101130760059_R04C01</t>
  </si>
  <si>
    <t>101103430084_R03C02</t>
  </si>
  <si>
    <t>202273260020_R07C01</t>
  </si>
  <si>
    <t>202262730124_R08C01</t>
  </si>
  <si>
    <t>202259490096_R06C01</t>
  </si>
  <si>
    <t>101130760092_R01C02</t>
  </si>
  <si>
    <t>200598660059_R02C01</t>
  </si>
  <si>
    <t>101130760087_R04C02</t>
  </si>
  <si>
    <t>101130760087_R02C02</t>
  </si>
  <si>
    <t>101130760092_R04C02</t>
  </si>
  <si>
    <t>101103430066_R03C02</t>
  </si>
  <si>
    <t>201496860118_R01C01</t>
  </si>
  <si>
    <t>201496860118_R02C01</t>
  </si>
  <si>
    <t>201496860129_R04C01</t>
  </si>
  <si>
    <t>201506830093_R06C01</t>
  </si>
  <si>
    <t>202273260054_R07C01</t>
  </si>
  <si>
    <t>203257030177_R08C01</t>
  </si>
  <si>
    <t>200512330046_R01C01</t>
  </si>
  <si>
    <t>3999078064_R06C01</t>
  </si>
  <si>
    <t>200598660040_R07C01</t>
  </si>
  <si>
    <t>200598660034_R06C01</t>
  </si>
  <si>
    <t>202273260065_R05C01</t>
  </si>
  <si>
    <t>101130760092_R05C02</t>
  </si>
  <si>
    <t>101103430147_R02C02</t>
  </si>
  <si>
    <t>200379120035_R06C02</t>
  </si>
  <si>
    <t>202273260143_R03C01</t>
  </si>
  <si>
    <t>101130760087_R03C01</t>
  </si>
  <si>
    <t>101103430087_R01C01</t>
  </si>
  <si>
    <t>202259490096_R07C01</t>
  </si>
  <si>
    <t>200512330046_R08C01</t>
  </si>
  <si>
    <t>200788220003_R03C01</t>
  </si>
  <si>
    <t>101103430087_R06C02</t>
  </si>
  <si>
    <t>200550940023_R05C01</t>
  </si>
  <si>
    <t>202262730124_R07C01</t>
  </si>
  <si>
    <t>201496850114_R05C01</t>
  </si>
  <si>
    <t>202262730196_R08C01</t>
  </si>
  <si>
    <t>201496850114_R06C01</t>
  </si>
  <si>
    <t>202273260066_R03C01</t>
  </si>
  <si>
    <t>200598660011_R04C01</t>
  </si>
  <si>
    <t>202273260058_R06C01</t>
  </si>
  <si>
    <t>101103430147_R06C02</t>
  </si>
  <si>
    <t>200598660040_R03C01</t>
  </si>
  <si>
    <t>200362700236_R03C01</t>
  </si>
  <si>
    <t>200598660066_R02C01</t>
  </si>
  <si>
    <t>200550900071_R02C01</t>
  </si>
  <si>
    <t>202262730095_R07C01</t>
  </si>
  <si>
    <t>201506830054_R02C01</t>
  </si>
  <si>
    <t>202273260066_R04C01</t>
  </si>
  <si>
    <t>200598660015_R07C01</t>
  </si>
  <si>
    <t>202273260044_R01C01</t>
  </si>
  <si>
    <t>201496850137_R05C01</t>
  </si>
  <si>
    <t>202273260065_R02C01</t>
  </si>
  <si>
    <t>200598660026_R01C01</t>
  </si>
  <si>
    <t>200598660059_R01C01</t>
  </si>
  <si>
    <t>202273260065_R01C01</t>
  </si>
  <si>
    <t>202273260020_R05C01</t>
  </si>
  <si>
    <t>202273260054_R02C01</t>
  </si>
  <si>
    <t>201496850114_R04C01</t>
  </si>
  <si>
    <t>202273260054_R03C01</t>
  </si>
  <si>
    <t>101130760087_R01C02</t>
  </si>
  <si>
    <t>200550940013_R03C01</t>
  </si>
  <si>
    <t>202262730095_R08C01</t>
  </si>
  <si>
    <t>202262730095_R01C01</t>
  </si>
  <si>
    <t>202262730135_R02C01</t>
  </si>
  <si>
    <t>202273260111_R02C01</t>
  </si>
  <si>
    <t>202273260231_R03C01</t>
  </si>
  <si>
    <t>200598660070_R08C01</t>
  </si>
  <si>
    <t>200598660034_R07C01</t>
  </si>
  <si>
    <t>202273260045_R03C01</t>
  </si>
  <si>
    <t>202259490096_R08C01</t>
  </si>
  <si>
    <t>202273260045_R02C01</t>
  </si>
  <si>
    <t>202273260045_R04C01</t>
  </si>
  <si>
    <t>202262730036_R01C01</t>
  </si>
  <si>
    <t>101130760092_R06C01</t>
  </si>
  <si>
    <t>202273260229_R01C01</t>
  </si>
  <si>
    <t>202128330130_R06C01</t>
  </si>
  <si>
    <t>200598660079_R07C01</t>
  </si>
  <si>
    <t>200788220001_R05C01</t>
  </si>
  <si>
    <t>202262730135_R03C01</t>
  </si>
  <si>
    <t>200550900083_R06C01</t>
  </si>
  <si>
    <t>202273260064_R08C01</t>
  </si>
  <si>
    <t>101130760087_R04C01</t>
  </si>
  <si>
    <t>202273260020_R08C01</t>
  </si>
  <si>
    <t>202128330130_R07C01</t>
  </si>
  <si>
    <t>202262730188_R08C01</t>
  </si>
  <si>
    <t>200598660081_R05C01</t>
  </si>
  <si>
    <t>202273260054_R04C01</t>
  </si>
  <si>
    <t>202273260231_R04C01</t>
  </si>
  <si>
    <t>202273260054_R05C01</t>
  </si>
  <si>
    <t>202273260044_R03C01</t>
  </si>
  <si>
    <t>202262730124_R02C01</t>
  </si>
  <si>
    <t>200550940023_R07C01</t>
  </si>
  <si>
    <t>202273260054_R08C01</t>
  </si>
  <si>
    <t>200550940047_R03C01</t>
  </si>
  <si>
    <t>202273260143_R01C01</t>
  </si>
  <si>
    <t>202273260064_R04C01</t>
  </si>
  <si>
    <t>202262730005_R08C01</t>
  </si>
  <si>
    <t>202273260027_R02C01</t>
  </si>
  <si>
    <t>202273260231_R01C01</t>
  </si>
  <si>
    <t>202273260044_R05C01</t>
  </si>
  <si>
    <t>202128330130_R08C01</t>
  </si>
  <si>
    <t>200550940025_R06C01</t>
  </si>
  <si>
    <t>203259190005_R05C01</t>
  </si>
  <si>
    <t>203259060018_R06C01</t>
  </si>
  <si>
    <t>203259060025_R03C01</t>
  </si>
  <si>
    <t>203259190075_R05C01</t>
  </si>
  <si>
    <t>203259190029_R04C01</t>
  </si>
  <si>
    <t>202262730005_R05C01</t>
  </si>
  <si>
    <t>200550940006_R05C01</t>
  </si>
  <si>
    <t>101103430147_R04C02</t>
  </si>
  <si>
    <t>202273260080_R02C01</t>
  </si>
  <si>
    <t>202262730005_R04C01</t>
  </si>
  <si>
    <t>202273260058_R08C01</t>
  </si>
  <si>
    <t>200550900082_R02C01</t>
  </si>
  <si>
    <t>200550900089_R04C01</t>
  </si>
  <si>
    <t>202262730005_R01C01</t>
  </si>
  <si>
    <t>203257030216_R07C01</t>
  </si>
  <si>
    <t>200379120064_R01C01</t>
  </si>
  <si>
    <t>202273260117_R06C01</t>
  </si>
  <si>
    <t>202273260044_R02C01</t>
  </si>
  <si>
    <t>202273260058_R01C01</t>
  </si>
  <si>
    <t>202273260027_R01C01</t>
  </si>
  <si>
    <t>202262730005_R07C01</t>
  </si>
  <si>
    <t>203259060034_R07C01</t>
  </si>
  <si>
    <t>203259060092_R07C01</t>
  </si>
  <si>
    <t>203257030211_R08C01</t>
  </si>
  <si>
    <t>202273260231_R05C01</t>
  </si>
  <si>
    <t>200362700236_R04C02</t>
  </si>
  <si>
    <t>202262730037_R08C01</t>
  </si>
  <si>
    <t>200379120064_R05C02</t>
  </si>
  <si>
    <t>202262730036_R02C01</t>
  </si>
  <si>
    <t>200362700236_R04C01</t>
  </si>
  <si>
    <t>202273260058_R03C01</t>
  </si>
  <si>
    <t>202273260143_R05C01</t>
  </si>
  <si>
    <t>202262730036_R07C01</t>
  </si>
  <si>
    <t>201506830054_R04C01</t>
  </si>
  <si>
    <t>200379120035_R03C02</t>
  </si>
  <si>
    <t>202262730188_R07C01</t>
  </si>
  <si>
    <t>202273260231_R08C01</t>
  </si>
  <si>
    <t>202262730115_R06C01</t>
  </si>
  <si>
    <t>202262730196_R05C01</t>
  </si>
  <si>
    <t>202259490096_R01C01</t>
  </si>
  <si>
    <t>202262730005_R02C01</t>
  </si>
  <si>
    <t>202273260065_R07C01</t>
  </si>
  <si>
    <t>202262730196_R06C01</t>
  </si>
  <si>
    <t>202262730005_R03C01</t>
  </si>
  <si>
    <t>203259060018_R05C01</t>
  </si>
  <si>
    <t>203259060036_R04C01</t>
  </si>
  <si>
    <t>203259190005_R02C01</t>
  </si>
  <si>
    <t>203259190029_R03C01</t>
  </si>
  <si>
    <t>203259190023_R05C01</t>
  </si>
  <si>
    <t>203259190023_R04C01</t>
  </si>
  <si>
    <t>203259190029_R02C01</t>
  </si>
  <si>
    <t>202273260080_R01C01</t>
  </si>
  <si>
    <t>202273260060_R04C01</t>
  </si>
  <si>
    <t>202259490096_R02C01</t>
  </si>
  <si>
    <t>202262730115_R05C01</t>
  </si>
  <si>
    <t>202273260066_R07C01</t>
  </si>
  <si>
    <t>202262730005_R06C01</t>
  </si>
  <si>
    <t>202262730095_R03C01</t>
  </si>
  <si>
    <t>202273260143_R02C01</t>
  </si>
  <si>
    <t>202273260060_R02C01</t>
  </si>
  <si>
    <t>202262730098_R08C01</t>
  </si>
  <si>
    <t>202262730115_R07C01</t>
  </si>
  <si>
    <t>202273260080_R03C01</t>
  </si>
  <si>
    <t>202128330130_R01C01</t>
  </si>
  <si>
    <t>202273260008_R06C01</t>
  </si>
  <si>
    <t>202262730098_R03C01</t>
  </si>
  <si>
    <t>202273260060_R05C01</t>
  </si>
  <si>
    <t>202262730098_R01C01</t>
  </si>
  <si>
    <t>202273260117_R05C01</t>
  </si>
  <si>
    <t>202259490096_R03C01</t>
  </si>
  <si>
    <t>202273260064_R01C01</t>
  </si>
  <si>
    <t>202262730124_R05C01</t>
  </si>
  <si>
    <t>202273260045_R01C01</t>
  </si>
  <si>
    <t>202273260058_R04C01</t>
  </si>
  <si>
    <t>202259490096_R04C01</t>
  </si>
  <si>
    <t>202262730095_R02C01</t>
  </si>
  <si>
    <t>202273260027_R08C01</t>
  </si>
  <si>
    <t>202273260064_R03C01</t>
  </si>
  <si>
    <t>202273260044_R04C01</t>
  </si>
  <si>
    <t>202262730115_R08C01</t>
  </si>
  <si>
    <t>202262730036_R03C01</t>
  </si>
  <si>
    <t>202262730036_R04C01</t>
  </si>
  <si>
    <t>202273260058_R07C01</t>
  </si>
  <si>
    <t>202273260064_R02C01</t>
  </si>
  <si>
    <t>202262730098_R02C01</t>
  </si>
  <si>
    <t>202262730036_R05C01</t>
  </si>
  <si>
    <t>202273260111_R07C01</t>
  </si>
  <si>
    <t>202262730124_R01C01</t>
  </si>
  <si>
    <t>202273260231_R06C01</t>
  </si>
  <si>
    <t>202262730118_R04C01</t>
  </si>
  <si>
    <t>202262730036_R06C01</t>
  </si>
  <si>
    <t>202262730118_R01C01</t>
  </si>
  <si>
    <t>202262730181_R04C01</t>
  </si>
  <si>
    <t>202262730118_R02C01</t>
  </si>
  <si>
    <t>202273260058_R02C01</t>
  </si>
  <si>
    <t>202262730113_R01C01</t>
  </si>
  <si>
    <t>203259060074_R08C01</t>
  </si>
  <si>
    <t>203259060079_R08C01</t>
  </si>
  <si>
    <t>202262730124_R03C01</t>
  </si>
  <si>
    <t>202262730113_R02C01</t>
  </si>
  <si>
    <t>202262730037_R05C01</t>
  </si>
  <si>
    <t>202262730124_R04C01</t>
  </si>
  <si>
    <t>202262730118_R03C01</t>
  </si>
  <si>
    <t>202262730036_R08C01</t>
  </si>
  <si>
    <t>202273260111_R03C01</t>
  </si>
  <si>
    <t>202273260058_R05C01</t>
  </si>
  <si>
    <t>202262730037_R01C01</t>
  </si>
  <si>
    <t>202273260111_R04C01</t>
  </si>
  <si>
    <t>202273260143_R07C01</t>
  </si>
  <si>
    <t>202273260229_R08C01</t>
  </si>
  <si>
    <t>202262730118_R06C01</t>
  </si>
  <si>
    <t>202273260060_R01C01</t>
  </si>
  <si>
    <t>203259190075_R06C01</t>
  </si>
  <si>
    <t>203259190029_R01C01</t>
  </si>
  <si>
    <t>203259190023_R03C01</t>
  </si>
  <si>
    <t>203259190075_R08C01</t>
  </si>
  <si>
    <t>203259190075_R07C01</t>
  </si>
  <si>
    <t>203259190075_R01C01</t>
  </si>
  <si>
    <t>203259190075_R03C01</t>
  </si>
  <si>
    <t>203259190075_R02C01</t>
  </si>
  <si>
    <t>203259190075_R04C01</t>
  </si>
  <si>
    <t>203259190029_R06C01</t>
  </si>
  <si>
    <t>203259190023_R02C01</t>
  </si>
  <si>
    <t>203259190029_R07C01</t>
  </si>
  <si>
    <t>203259190023_R01C01</t>
  </si>
  <si>
    <t>203259190005_R04C01</t>
  </si>
  <si>
    <t>203259190023_R07C01</t>
  </si>
  <si>
    <t>203259190005_R03C01</t>
  </si>
  <si>
    <t>203259190029_R08C01</t>
  </si>
  <si>
    <t>202262730181_R01C01</t>
  </si>
  <si>
    <t>202262730037_R02C01</t>
  </si>
  <si>
    <t>202273260060_R03C01</t>
  </si>
  <si>
    <t>202273260117_R07C01</t>
  </si>
  <si>
    <t>202262730037_R03C01</t>
  </si>
  <si>
    <t>202262730118_R07C01</t>
  </si>
  <si>
    <t>202262730124_R06C01</t>
  </si>
  <si>
    <t>202273260060_R08C01</t>
  </si>
  <si>
    <t>202262730095_R04C01</t>
  </si>
  <si>
    <t>202273260044_R06C01</t>
  </si>
  <si>
    <t>202262730118_R08C01</t>
  </si>
  <si>
    <t>202262730037_R04C01</t>
  </si>
  <si>
    <t>203259060012_R07C01</t>
  </si>
  <si>
    <t>202128330130_R02C01</t>
  </si>
  <si>
    <t>202128330130_R04C01</t>
  </si>
  <si>
    <t>202262730037_R07C01</t>
  </si>
  <si>
    <t>202262730113_R03C01</t>
  </si>
  <si>
    <t>202262730196_R03C01</t>
  </si>
  <si>
    <t>202273260054_R06C01</t>
  </si>
  <si>
    <t>202273260229_R03C01</t>
  </si>
  <si>
    <t>202273260025_R05C01</t>
  </si>
  <si>
    <t>202262730181_R05C01</t>
  </si>
  <si>
    <t>202273260060_R06C01</t>
  </si>
  <si>
    <t>202262730095_R05C01</t>
  </si>
  <si>
    <t>202262730118_R05C01</t>
  </si>
  <si>
    <t>202273260009_R06C01</t>
  </si>
  <si>
    <t>202273260231_R07C01</t>
  </si>
  <si>
    <t>202262730188_R01C01</t>
  </si>
  <si>
    <t>202262730098_R04C01</t>
  </si>
  <si>
    <t>202262730188_R02C01</t>
  </si>
  <si>
    <t>202273260019_R06C01</t>
  </si>
  <si>
    <t>202273260020_R06C01</t>
  </si>
  <si>
    <t>202262730112_R08C01</t>
  </si>
  <si>
    <t>202273260117_R08C01</t>
  </si>
  <si>
    <t>202273260229_R05C01</t>
  </si>
  <si>
    <t>202262730098_R05C01</t>
  </si>
  <si>
    <t>202262730188_R03C01</t>
  </si>
  <si>
    <t>202262730112_R05C01</t>
  </si>
  <si>
    <t>202262730113_R04C01</t>
  </si>
  <si>
    <t>202262730095_R06C01</t>
  </si>
  <si>
    <t>202262730196_R01C01</t>
  </si>
  <si>
    <t>202262730188_R06C01</t>
  </si>
  <si>
    <t>202262730112_R02C01</t>
  </si>
  <si>
    <t>202262730112_R06C01</t>
  </si>
  <si>
    <t>203259060092_R08C01</t>
  </si>
  <si>
    <t>203257030216_R08C01</t>
  </si>
  <si>
    <t>203259190029_R05C01</t>
  </si>
  <si>
    <t>203259190023_R08C01</t>
  </si>
  <si>
    <t>203259190005_R01C01</t>
  </si>
  <si>
    <t>203259190005_R08C01</t>
  </si>
  <si>
    <t>203259190023_R06C01</t>
  </si>
  <si>
    <t>203259060036_R08C01</t>
  </si>
  <si>
    <t>203259060036_R03C01</t>
  </si>
  <si>
    <t>203259190005_R07C01</t>
  </si>
  <si>
    <t>203259190005_R06C01</t>
  </si>
  <si>
    <t>203259060036_R06C01</t>
  </si>
  <si>
    <t>203259060025_R06C01</t>
  </si>
  <si>
    <t>203259060025_R05C01</t>
  </si>
  <si>
    <t>203259060025_R07C01</t>
  </si>
  <si>
    <t>203257030100_R08C01</t>
  </si>
  <si>
    <t>203259060012_R08C01</t>
  </si>
  <si>
    <t>203259060023_R08C01</t>
  </si>
  <si>
    <t>203257030209_R08C01</t>
  </si>
  <si>
    <t>203257030093_R08C01</t>
  </si>
  <si>
    <t>203259060009_R08C01</t>
  </si>
  <si>
    <t>203259060079_R07C01</t>
  </si>
  <si>
    <t>203259060092_R03C01</t>
  </si>
  <si>
    <t>203259060079_R03C01</t>
  </si>
  <si>
    <t>203212860167_R08C01</t>
  </si>
  <si>
    <t>203212860245_R08C01</t>
  </si>
  <si>
    <t>200598660078_R02C01</t>
  </si>
  <si>
    <t>200598660078_R03C01</t>
  </si>
  <si>
    <t>200598660078_R08C01</t>
  </si>
  <si>
    <t>200598660079_R01C01</t>
  </si>
  <si>
    <t>200598660079_R02C01</t>
  </si>
  <si>
    <t>200598660079_R03C01</t>
  </si>
  <si>
    <t>200598660081_R08C01</t>
  </si>
  <si>
    <t>200598660078_R06C01</t>
  </si>
  <si>
    <t>200598660078_R07C01</t>
  </si>
  <si>
    <t>200598660079_R04C01</t>
  </si>
  <si>
    <t>200598660066_R06C01</t>
  </si>
  <si>
    <t>200598660078_R04C01</t>
  </si>
  <si>
    <t>200598660078_R05C01</t>
  </si>
  <si>
    <t>200379120064_R01C02</t>
  </si>
  <si>
    <t>202273260064_R06C01</t>
  </si>
  <si>
    <t>202273260066_R08C01</t>
  </si>
  <si>
    <t>202262730196_R04C01</t>
  </si>
  <si>
    <t>202273260229_R06C01</t>
  </si>
  <si>
    <t>202273260027_R03C01</t>
  </si>
  <si>
    <t>202273260111_R08C01</t>
  </si>
  <si>
    <t>202273260143_R08C01</t>
  </si>
  <si>
    <t>202273260045_R05C01</t>
  </si>
  <si>
    <t>202262730037_R06C01</t>
  </si>
  <si>
    <t>202262730198_R03C01</t>
  </si>
  <si>
    <t>202262730188_R04C01</t>
  </si>
  <si>
    <t>202128330130_R05C01</t>
  </si>
  <si>
    <t>202262730181_R02C01</t>
  </si>
  <si>
    <t>201508110031_R01C01</t>
  </si>
  <si>
    <t>201508110031_R03C01</t>
  </si>
  <si>
    <t>201508110031_R07C01</t>
  </si>
  <si>
    <t>202273260025_R08C01</t>
  </si>
  <si>
    <t>203259060074_R01C01</t>
  </si>
  <si>
    <t>203259060079_R01C01</t>
  </si>
  <si>
    <t>203259060092_R01C01</t>
  </si>
  <si>
    <t>203869580117_R08C01</t>
  </si>
  <si>
    <t>203869580123_R08C01</t>
  </si>
  <si>
    <t>203869580131_R08C01</t>
  </si>
  <si>
    <t>201508110031_R02C01</t>
  </si>
  <si>
    <t>201508110031_R08C01</t>
  </si>
  <si>
    <t>203259060009_R07C01</t>
  </si>
  <si>
    <t>203257030100_R07C01</t>
  </si>
  <si>
    <t>203257030209_R07C01</t>
  </si>
  <si>
    <t>203257030093_R07C01</t>
  </si>
  <si>
    <t>203212860167_R07C01</t>
  </si>
  <si>
    <t>203218680032_R08C01</t>
  </si>
  <si>
    <t>203219640032_R08C01</t>
  </si>
  <si>
    <t>203259060034_R08C01</t>
  </si>
  <si>
    <t>203259060043_R08C01</t>
  </si>
  <si>
    <t>200362700236_R05C01</t>
  </si>
  <si>
    <t>High grade NOS</t>
  </si>
  <si>
    <t>classical</t>
  </si>
  <si>
    <t xml:space="preserve">Histology- in keeping with MPNST. IHC- H3k27me3 partially retained. </t>
  </si>
  <si>
    <t>Molecular- NF1 Loss of heterozygosity. H3K27me3 retained</t>
  </si>
  <si>
    <t>Molecular- SS18 negative. H3K27me3 retained</t>
  </si>
  <si>
    <t>Histology- high grade malignant tumour arising from nerve. H3K27me3</t>
  </si>
  <si>
    <t>1c- Classified but can be refined</t>
  </si>
  <si>
    <t>Molecular- BCOR rearrangement not detected (PCR). Clinical- arising from nerve. H3k27me3 retained</t>
  </si>
  <si>
    <t>Molecular- CIC rearrangement negative (FISH). H3k27me3 retained</t>
  </si>
  <si>
    <t>Molecular- SS18 negative (FISH). H3k27me3 retained</t>
  </si>
  <si>
    <t>Neurofibromatosis patient (germline NF1). H3k27me3 retained</t>
  </si>
  <si>
    <t>Molecular- FGFR1 amplified (10%). Histology- osteoblastic and telangiectatic tumour</t>
  </si>
  <si>
    <t>Central conventional</t>
  </si>
  <si>
    <t>Histology- marked pleomorphism, no well differentiated component</t>
  </si>
  <si>
    <t>Clinical- primary bone tumour, Radiology and Histology- features of typical OS</t>
  </si>
  <si>
    <t>Clinical- primary bone tumour. Histology- focal osteoid</t>
  </si>
  <si>
    <t>Histology and radiology- typical features of OS. Clinical- primary bone tumour</t>
  </si>
  <si>
    <t>CK+ cells</t>
  </si>
  <si>
    <t>USP6 NEG, H3F3A/B WT</t>
  </si>
  <si>
    <t>Mutation: K36M/B</t>
  </si>
  <si>
    <t>MDM2 amplification neg. GNAS neg</t>
  </si>
  <si>
    <t>INI1 loss</t>
  </si>
  <si>
    <t>S100 (+) , INI1 retained</t>
  </si>
  <si>
    <t>IDH2 mut</t>
  </si>
  <si>
    <t>IDH1 mutant</t>
  </si>
  <si>
    <t>IDH1 R132S</t>
  </si>
  <si>
    <t>IDH1 MUT</t>
  </si>
  <si>
    <t>0% (3)</t>
  </si>
  <si>
    <t>87.3% (55)</t>
  </si>
  <si>
    <t>75% (4)</t>
  </si>
  <si>
    <t>100% (19)</t>
  </si>
  <si>
    <t>43.8% (16)</t>
  </si>
  <si>
    <t>66.7% (9)</t>
  </si>
  <si>
    <t>100% (7)</t>
  </si>
  <si>
    <t>55.6% (9)</t>
  </si>
  <si>
    <t>100% (1)</t>
  </si>
  <si>
    <t>41.7% (12)</t>
  </si>
  <si>
    <t>Mesenchymal chondrosarcoma</t>
  </si>
  <si>
    <t>100% (3)</t>
  </si>
  <si>
    <t>66.7% (3)</t>
  </si>
  <si>
    <t>67.7% (65)</t>
  </si>
  <si>
    <t>33.3% (3)</t>
  </si>
  <si>
    <t>60% (48)</t>
  </si>
  <si>
    <t>50% (10)</t>
  </si>
  <si>
    <t>81.8% (11)</t>
  </si>
  <si>
    <t>85.2% (88)</t>
  </si>
  <si>
    <t>36.1% (97)</t>
  </si>
  <si>
    <t>87.5% (8)</t>
  </si>
  <si>
    <t>50% (2)</t>
  </si>
  <si>
    <t>62.5% (8)</t>
  </si>
  <si>
    <t>72.5% (40)</t>
  </si>
  <si>
    <t>50% (6)</t>
  </si>
  <si>
    <t>42.9% (56)</t>
  </si>
  <si>
    <t>25.3% (79)</t>
  </si>
  <si>
    <t>55.1% (198)</t>
  </si>
  <si>
    <t>28.6% (14)</t>
  </si>
  <si>
    <t>57.1% (7)</t>
  </si>
  <si>
    <t>0% (1)</t>
  </si>
  <si>
    <t>53.8% (80)</t>
  </si>
  <si>
    <t>Tumour subtype/group</t>
  </si>
  <si>
    <t>MPNST-like sarcoma</t>
  </si>
  <si>
    <t>Small round blue cell tumour, NOS</t>
  </si>
  <si>
    <t>DNA methylation-based profiling of bone and soft tissue tumours: a validation study of the ‘DKFZ sarcoma Classifier’</t>
  </si>
  <si>
    <t>Supplementary Tables</t>
  </si>
  <si>
    <t>Table S1. Overview of RNOH samples</t>
  </si>
  <si>
    <t>Table S2. Inclusion of estimate tumour purity filtering step before validating the performance of the classifier</t>
  </si>
  <si>
    <t>Table S3. Testing a classifier score threshold cutoff = 0.85.</t>
  </si>
  <si>
    <t>Table S4. Sensitivity and precision of the different methylation classes (core validation set).</t>
  </si>
  <si>
    <t>DKFZ Validation cohort, percent predicted to correct class (n = total cases)</t>
  </si>
  <si>
    <t>RNOH cohort, percent predicted to correct class (n = total cases)</t>
  </si>
  <si>
    <r>
      <t>Table S1.</t>
    </r>
    <r>
      <rPr>
        <sz val="14"/>
        <color theme="1"/>
        <rFont val="Times New Roman"/>
        <family val="1"/>
      </rPr>
      <t xml:space="preserve"> Overview of RNOH samples</t>
    </r>
  </si>
  <si>
    <r>
      <t>Table S2.</t>
    </r>
    <r>
      <rPr>
        <sz val="14"/>
        <color theme="1"/>
        <rFont val="Times New Roman"/>
        <family val="1"/>
      </rPr>
      <t xml:space="preserve"> Inclusion of estimate tumour purity filtering step before validating the performance of the classifier</t>
    </r>
  </si>
  <si>
    <r>
      <t>Table S3.</t>
    </r>
    <r>
      <rPr>
        <sz val="14"/>
        <color theme="1"/>
        <rFont val="Times New Roman"/>
        <family val="1"/>
      </rPr>
      <t xml:space="preserve"> Testing a classifier score threshold cutoff = 0.85</t>
    </r>
  </si>
  <si>
    <r>
      <t xml:space="preserve">Table S4. </t>
    </r>
    <r>
      <rPr>
        <sz val="14"/>
        <color theme="1"/>
        <rFont val="Times New Roman"/>
        <family val="1"/>
      </rPr>
      <t>Sensitivity and precision of the different methylation classes (core validation set)</t>
    </r>
  </si>
  <si>
    <t>Table S5. Proportion of samples predicted to the correct methylation class (DKFZ validation and RNOH cohorts, common tumour types).</t>
  </si>
  <si>
    <r>
      <t>Table S5.</t>
    </r>
    <r>
      <rPr>
        <sz val="14"/>
        <color theme="1"/>
        <rFont val="Times New Roman"/>
        <family val="1"/>
      </rPr>
      <t xml:space="preserve"> Proportion of samples predicted to the correct methylation class (DKFZ validation and RNOH cohorts, common tumour types)</t>
    </r>
  </si>
  <si>
    <r>
      <t xml:space="preserve">I Lyskjær </t>
    </r>
    <r>
      <rPr>
        <i/>
        <sz val="14"/>
        <color theme="1"/>
        <rFont val="Calibri"/>
        <family val="2"/>
        <scheme val="minor"/>
      </rPr>
      <t xml:space="preserve">et al. J Pathol Clin Res </t>
    </r>
    <r>
      <rPr>
        <sz val="14"/>
        <color theme="1"/>
        <rFont val="Calibri"/>
        <family val="2"/>
        <scheme val="minor"/>
      </rPr>
      <t>DOI: 10.1002/cjp2.215</t>
    </r>
  </si>
  <si>
    <t>Diffuse rhabdomyoblastic differentiation</t>
  </si>
  <si>
    <t xml:space="preserve">BRAF-MTAP fusion on FISH. Tumour likely fits in the spectrum of paediatric sarcomas overlapping with infantile fibrosarcoma. FISH for BRAF pos. </t>
  </si>
  <si>
    <t>Clinical- low grade lesion curetted with no recurrence 5+ years. Histology- typical features of giant cell rich tumour. IHC- G34W negative (tissue unavailable for additional testing)</t>
  </si>
  <si>
    <t>Axilla/chest wall</t>
  </si>
  <si>
    <t>Mixed- osteoblastic, fibroblastic and telangiectatic</t>
  </si>
  <si>
    <t>Maxillofacial</t>
  </si>
  <si>
    <t>INI1 retained. MNF116 and TBXT pos in conventional areas. TBXT neg in dedifferentiated.</t>
  </si>
  <si>
    <t>Low grade, favouring an unusual lipomatous neoplasm</t>
  </si>
  <si>
    <t>TBXT, MNF11F, PTEN and INI-1 diffusely and strongly pos. 
mTOR- pos, phospho-mTOR only very occasional cells pos.
phospho-S6RP and EIF-4E diffusely and strongly pos. EGFR disomy</t>
  </si>
  <si>
    <t>Pleo LPS: pleomorphic leiomyosarcoma, MPNST: malignant peripheral nerve sheath tumours; NFB: neurofibroma</t>
  </si>
  <si>
    <t xml:space="preserve">MNF116, bcl-2, S100 (+) EMA, desmin (-) </t>
  </si>
  <si>
    <t>Sacroiliac joint</t>
  </si>
  <si>
    <t>CSA-MES: mesenchymal chondrosarcoma; SYSA: synovial sarcoma; CHORD: chordoma; ES: epithelioid sarcoma; ASPS: alveolar soft part sarcoma; MEL (CUT): cutaneous melanoma; OB: osteoblastoma; FDY: fibrous dysplasia</t>
  </si>
  <si>
    <t>GCTB: Giant cell of Tumour Bone; OS (HG): high-grade osteosarcoma; Ctrl: control; CB: chondroblastoma; USARC: undifferentiated sarcoma; CSA-CC: clear cell chondrosarcoma; MFS: myxofibrosarcoma; CSA: chondrosarcoma; LMS: leiomyosarcoma</t>
  </si>
  <si>
    <t>S100, EMA (+) HMB45, Melan A, MNF116 (-)</t>
  </si>
  <si>
    <t>FUS-, S100 (+) SMA, desmin, MNF116, HMB45, Melan A, chromogranin, synaptophysin (-)</t>
  </si>
  <si>
    <t>CD34, EMA (+) MNF116, SMA, desmin, CD31, melan A (-)</t>
  </si>
  <si>
    <t>S100, EMA (+) HMB45, Melan A, MNF116 (-) INI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</si>
</sst>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%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10" xfId="0" applyFont="1" applyFill="1" applyBorder="1"/>
    <xf numFmtId="0" fontId="0" fillId="0" borderId="10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NumberFormat="1" applyFill="1" applyBorder="1"/>
    <xf numFmtId="165" fontId="0" fillId="0" borderId="0" xfId="0" applyNumberFormat="1" applyFill="1" applyBorder="1"/>
    <xf numFmtId="166" fontId="0" fillId="0" borderId="0" xfId="0" applyNumberFormat="1" applyFill="1" applyBorder="1"/>
    <xf numFmtId="0" fontId="16" fillId="0" borderId="0" xfId="0" applyFont="1" applyFill="1" applyAlignment="1">
      <alignment wrapText="1"/>
    </xf>
    <xf numFmtId="164" fontId="0" fillId="0" borderId="10" xfId="0" applyNumberFormat="1" applyFont="1" applyFill="1" applyBorder="1"/>
    <xf numFmtId="166" fontId="0" fillId="0" borderId="13" xfId="0" applyNumberFormat="1" applyFont="1" applyFill="1" applyBorder="1"/>
    <xf numFmtId="0" fontId="18" fillId="0" borderId="14" xfId="0" applyFont="1" applyBorder="1" applyAlignment="1">
      <alignment wrapText="1"/>
    </xf>
    <xf numFmtId="0" fontId="19" fillId="0" borderId="15" xfId="0" applyFont="1" applyBorder="1" applyAlignment="1">
      <alignment vertical="center" wrapText="1"/>
    </xf>
    <xf numFmtId="0" fontId="19" fillId="0" borderId="16" xfId="0" applyFont="1" applyBorder="1" applyAlignment="1">
      <alignment vertical="center"/>
    </xf>
    <xf numFmtId="0" fontId="19" fillId="0" borderId="17" xfId="0" applyFont="1" applyBorder="1" applyAlignment="1">
      <alignment horizontal="right" vertical="center"/>
    </xf>
    <xf numFmtId="9" fontId="20" fillId="0" borderId="17" xfId="0" applyNumberFormat="1" applyFont="1" applyBorder="1" applyAlignment="1">
      <alignment horizontal="right" vertical="center"/>
    </xf>
    <xf numFmtId="9" fontId="19" fillId="0" borderId="17" xfId="0" applyNumberFormat="1" applyFont="1" applyBorder="1" applyAlignment="1">
      <alignment horizontal="right" vertical="center"/>
    </xf>
    <xf numFmtId="0" fontId="21" fillId="0" borderId="16" xfId="0" applyFont="1" applyBorder="1" applyAlignment="1">
      <alignment vertical="center"/>
    </xf>
    <xf numFmtId="0" fontId="21" fillId="0" borderId="17" xfId="0" applyFont="1" applyBorder="1" applyAlignment="1">
      <alignment horizontal="right" vertical="center" wrapText="1"/>
    </xf>
    <xf numFmtId="0" fontId="21" fillId="0" borderId="17" xfId="0" applyFont="1" applyBorder="1" applyAlignment="1">
      <alignment horizontal="right" vertical="center"/>
    </xf>
    <xf numFmtId="9" fontId="21" fillId="0" borderId="17" xfId="0" applyNumberFormat="1" applyFont="1" applyBorder="1" applyAlignment="1">
      <alignment horizontal="right" vertical="center"/>
    </xf>
    <xf numFmtId="0" fontId="21" fillId="0" borderId="17" xfId="0" applyFont="1" applyBorder="1" applyAlignment="1">
      <alignment horizontal="center" vertical="center"/>
    </xf>
    <xf numFmtId="0" fontId="0" fillId="0" borderId="18" xfId="0" applyBorder="1" applyAlignment="1">
      <alignment wrapText="1"/>
    </xf>
    <xf numFmtId="0" fontId="16" fillId="0" borderId="19" xfId="0" applyFont="1" applyBorder="1" applyAlignment="1">
      <alignment horizontal="center" wrapText="1"/>
    </xf>
    <xf numFmtId="164" fontId="16" fillId="0" borderId="20" xfId="0" applyNumberFormat="1" applyFont="1" applyBorder="1" applyAlignment="1">
      <alignment horizontal="center" wrapText="1"/>
    </xf>
    <xf numFmtId="0" fontId="16" fillId="33" borderId="19" xfId="0" applyFont="1" applyFill="1" applyBorder="1" applyAlignment="1">
      <alignment horizontal="center" wrapText="1"/>
    </xf>
    <xf numFmtId="0" fontId="16" fillId="33" borderId="21" xfId="0" applyFont="1" applyFill="1" applyBorder="1" applyAlignment="1">
      <alignment horizontal="center" wrapText="1"/>
    </xf>
    <xf numFmtId="164" fontId="16" fillId="33" borderId="20" xfId="0" applyNumberFormat="1" applyFont="1" applyFill="1" applyBorder="1" applyAlignment="1">
      <alignment horizontal="center" wrapText="1"/>
    </xf>
    <xf numFmtId="0" fontId="16" fillId="34" borderId="19" xfId="0" applyFont="1" applyFill="1" applyBorder="1" applyAlignment="1">
      <alignment horizontal="center" wrapText="1"/>
    </xf>
    <xf numFmtId="1" fontId="16" fillId="34" borderId="21" xfId="0" applyNumberFormat="1" applyFont="1" applyFill="1" applyBorder="1" applyAlignment="1">
      <alignment horizontal="center" wrapText="1"/>
    </xf>
    <xf numFmtId="164" fontId="16" fillId="34" borderId="20" xfId="0" applyNumberFormat="1" applyFont="1" applyFill="1" applyBorder="1" applyAlignment="1">
      <alignment horizontal="center" wrapText="1"/>
    </xf>
    <xf numFmtId="0" fontId="16" fillId="0" borderId="22" xfId="0" applyFont="1" applyBorder="1"/>
    <xf numFmtId="0" fontId="0" fillId="0" borderId="23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0" fillId="33" borderId="23" xfId="0" applyFill="1" applyBorder="1" applyAlignment="1">
      <alignment horizontal="center"/>
    </xf>
    <xf numFmtId="1" fontId="0" fillId="33" borderId="13" xfId="0" applyNumberFormat="1" applyFill="1" applyBorder="1" applyAlignment="1">
      <alignment horizontal="center"/>
    </xf>
    <xf numFmtId="164" fontId="0" fillId="33" borderId="24" xfId="0" applyNumberFormat="1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1" fontId="0" fillId="34" borderId="13" xfId="0" applyNumberFormat="1" applyFill="1" applyBorder="1" applyAlignment="1">
      <alignment horizontal="center"/>
    </xf>
    <xf numFmtId="164" fontId="0" fillId="34" borderId="24" xfId="0" applyNumberFormat="1" applyFill="1" applyBorder="1" applyAlignment="1">
      <alignment horizontal="center"/>
    </xf>
    <xf numFmtId="0" fontId="16" fillId="0" borderId="25" xfId="0" applyFont="1" applyBorder="1"/>
    <xf numFmtId="0" fontId="0" fillId="0" borderId="26" xfId="0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33" borderId="26" xfId="0" applyFill="1" applyBorder="1" applyAlignment="1">
      <alignment horizontal="center"/>
    </xf>
    <xf numFmtId="1" fontId="0" fillId="33" borderId="10" xfId="0" applyNumberFormat="1" applyFill="1" applyBorder="1" applyAlignment="1">
      <alignment horizontal="center"/>
    </xf>
    <xf numFmtId="164" fontId="0" fillId="33" borderId="27" xfId="0" applyNumberFormat="1" applyFill="1" applyBorder="1" applyAlignment="1">
      <alignment horizontal="center"/>
    </xf>
    <xf numFmtId="0" fontId="0" fillId="34" borderId="26" xfId="0" applyFill="1" applyBorder="1" applyAlignment="1">
      <alignment horizontal="center"/>
    </xf>
    <xf numFmtId="1" fontId="0" fillId="34" borderId="10" xfId="0" applyNumberFormat="1" applyFill="1" applyBorder="1" applyAlignment="1">
      <alignment horizontal="center"/>
    </xf>
    <xf numFmtId="164" fontId="0" fillId="34" borderId="27" xfId="0" applyNumberFormat="1" applyFill="1" applyBorder="1" applyAlignment="1">
      <alignment horizontal="center"/>
    </xf>
    <xf numFmtId="0" fontId="16" fillId="0" borderId="28" xfId="0" applyFont="1" applyBorder="1"/>
    <xf numFmtId="0" fontId="0" fillId="0" borderId="29" xfId="0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33" borderId="29" xfId="0" applyFill="1" applyBorder="1" applyAlignment="1">
      <alignment horizontal="center"/>
    </xf>
    <xf numFmtId="1" fontId="0" fillId="33" borderId="31" xfId="0" applyNumberFormat="1" applyFill="1" applyBorder="1" applyAlignment="1">
      <alignment horizontal="center"/>
    </xf>
    <xf numFmtId="164" fontId="0" fillId="33" borderId="30" xfId="0" applyNumberFormat="1" applyFill="1" applyBorder="1" applyAlignment="1">
      <alignment horizontal="center"/>
    </xf>
    <xf numFmtId="0" fontId="0" fillId="34" borderId="29" xfId="0" applyFill="1" applyBorder="1" applyAlignment="1">
      <alignment horizontal="center"/>
    </xf>
    <xf numFmtId="1" fontId="0" fillId="34" borderId="31" xfId="0" applyNumberFormat="1" applyFill="1" applyBorder="1" applyAlignment="1">
      <alignment horizontal="center"/>
    </xf>
    <xf numFmtId="164" fontId="0" fillId="34" borderId="30" xfId="0" applyNumberFormat="1" applyFill="1" applyBorder="1" applyAlignment="1">
      <alignment horizontal="center"/>
    </xf>
    <xf numFmtId="0" fontId="24" fillId="0" borderId="14" xfId="0" applyFont="1" applyBorder="1" applyAlignment="1">
      <alignment vertical="center"/>
    </xf>
    <xf numFmtId="0" fontId="24" fillId="0" borderId="15" xfId="0" applyFont="1" applyBorder="1" applyAlignment="1">
      <alignment vertical="center" wrapText="1"/>
    </xf>
    <xf numFmtId="0" fontId="24" fillId="0" borderId="15" xfId="0" applyFont="1" applyBorder="1" applyAlignment="1">
      <alignment vertical="center"/>
    </xf>
    <xf numFmtId="0" fontId="23" fillId="0" borderId="0" xfId="0" applyFont="1" applyFill="1" applyBorder="1" applyAlignment="1"/>
    <xf numFmtId="0" fontId="0" fillId="0" borderId="13" xfId="0" applyFill="1" applyBorder="1"/>
    <xf numFmtId="0" fontId="16" fillId="0" borderId="32" xfId="0" applyFont="1" applyFill="1" applyBorder="1" applyAlignment="1">
      <alignment wrapText="1"/>
    </xf>
    <xf numFmtId="0" fontId="16" fillId="0" borderId="33" xfId="0" applyFont="1" applyFill="1" applyBorder="1" applyAlignment="1">
      <alignment wrapText="1"/>
    </xf>
    <xf numFmtId="0" fontId="16" fillId="0" borderId="33" xfId="7" applyNumberFormat="1" applyFont="1" applyFill="1" applyBorder="1" applyAlignment="1">
      <alignment wrapText="1"/>
    </xf>
    <xf numFmtId="166" fontId="16" fillId="0" borderId="34" xfId="0" applyNumberFormat="1" applyFont="1" applyFill="1" applyBorder="1" applyAlignment="1">
      <alignment wrapText="1"/>
    </xf>
    <xf numFmtId="0" fontId="16" fillId="0" borderId="33" xfId="0" applyFont="1" applyFill="1" applyBorder="1" applyAlignment="1">
      <alignment horizontal="left" wrapText="1"/>
    </xf>
    <xf numFmtId="0" fontId="16" fillId="0" borderId="33" xfId="0" applyFont="1" applyFill="1" applyBorder="1" applyAlignment="1">
      <alignment horizontal="center" wrapText="1"/>
    </xf>
    <xf numFmtId="165" fontId="16" fillId="0" borderId="34" xfId="0" applyNumberFormat="1" applyFont="1" applyFill="1" applyBorder="1" applyAlignment="1">
      <alignment wrapText="1"/>
    </xf>
    <xf numFmtId="0" fontId="16" fillId="0" borderId="35" xfId="0" applyFont="1" applyFill="1" applyBorder="1" applyAlignment="1">
      <alignment wrapText="1"/>
    </xf>
    <xf numFmtId="0" fontId="16" fillId="0" borderId="36" xfId="0" applyFont="1" applyFill="1" applyBorder="1" applyAlignment="1">
      <alignment wrapText="1"/>
    </xf>
    <xf numFmtId="0" fontId="0" fillId="0" borderId="26" xfId="0" applyFont="1" applyFill="1" applyBorder="1"/>
    <xf numFmtId="0" fontId="0" fillId="0" borderId="29" xfId="0" applyFont="1" applyFill="1" applyBorder="1"/>
    <xf numFmtId="0" fontId="0" fillId="0" borderId="31" xfId="0" applyFont="1" applyFill="1" applyBorder="1"/>
    <xf numFmtId="164" fontId="0" fillId="0" borderId="31" xfId="0" applyNumberFormat="1" applyFont="1" applyFill="1" applyBorder="1"/>
    <xf numFmtId="166" fontId="0" fillId="0" borderId="37" xfId="0" applyNumberFormat="1" applyFont="1" applyFill="1" applyBorder="1"/>
    <xf numFmtId="0" fontId="19" fillId="35" borderId="16" xfId="0" applyFont="1" applyFill="1" applyBorder="1" applyAlignment="1">
      <alignment vertical="center"/>
    </xf>
    <xf numFmtId="0" fontId="19" fillId="0" borderId="16" xfId="0" applyFont="1" applyFill="1" applyBorder="1" applyAlignment="1">
      <alignment vertical="center"/>
    </xf>
    <xf numFmtId="0" fontId="19" fillId="36" borderId="16" xfId="0" applyFont="1" applyFill="1" applyBorder="1" applyAlignment="1">
      <alignment vertical="center"/>
    </xf>
    <xf numFmtId="0" fontId="0" fillId="0" borderId="40" xfId="0" applyFont="1" applyFill="1" applyBorder="1"/>
    <xf numFmtId="0" fontId="0" fillId="0" borderId="12" xfId="0" applyFont="1" applyFill="1" applyBorder="1"/>
    <xf numFmtId="165" fontId="0" fillId="0" borderId="11" xfId="0" applyNumberFormat="1" applyFont="1" applyFill="1" applyBorder="1"/>
    <xf numFmtId="0" fontId="0" fillId="0" borderId="27" xfId="0" applyFont="1" applyFill="1" applyBorder="1"/>
    <xf numFmtId="165" fontId="0" fillId="0" borderId="38" xfId="0" applyNumberFormat="1" applyFont="1" applyFill="1" applyBorder="1"/>
    <xf numFmtId="0" fontId="0" fillId="0" borderId="39" xfId="0" applyFont="1" applyFill="1" applyBorder="1"/>
    <xf numFmtId="0" fontId="0" fillId="0" borderId="30" xfId="0" applyFont="1" applyFill="1" applyBorder="1"/>
    <xf numFmtId="0" fontId="25" fillId="0" borderId="26" xfId="0" applyFont="1" applyFill="1" applyBorder="1"/>
    <xf numFmtId="0" fontId="25" fillId="0" borderId="12" xfId="0" applyFont="1" applyFill="1" applyBorder="1"/>
    <xf numFmtId="0" fontId="25" fillId="0" borderId="10" xfId="0" applyFont="1" applyFill="1" applyBorder="1"/>
    <xf numFmtId="164" fontId="25" fillId="0" borderId="10" xfId="0" applyNumberFormat="1" applyFont="1" applyFill="1" applyBorder="1"/>
    <xf numFmtId="166" fontId="25" fillId="0" borderId="13" xfId="0" applyNumberFormat="1" applyFont="1" applyFill="1" applyBorder="1"/>
    <xf numFmtId="165" fontId="25" fillId="0" borderId="11" xfId="0" applyNumberFormat="1" applyFont="1" applyFill="1" applyBorder="1"/>
    <xf numFmtId="0" fontId="25" fillId="0" borderId="27" xfId="0" applyFont="1" applyFill="1" applyBorder="1"/>
    <xf numFmtId="0" fontId="25" fillId="0" borderId="0" xfId="0" applyFont="1" applyFill="1"/>
    <xf numFmtId="166" fontId="14" fillId="0" borderId="13" xfId="0" applyNumberFormat="1" applyFont="1" applyFill="1" applyBorder="1"/>
    <xf numFmtId="0" fontId="14" fillId="0" borderId="10" xfId="0" applyFont="1" applyFill="1" applyBorder="1"/>
    <xf numFmtId="0" fontId="14" fillId="0" borderId="26" xfId="0" applyFont="1" applyFill="1" applyBorder="1"/>
    <xf numFmtId="0" fontId="0" fillId="0" borderId="12" xfId="0" applyFill="1" applyBorder="1"/>
    <xf numFmtId="0" fontId="14" fillId="0" borderId="0" xfId="0" applyFont="1" applyFill="1"/>
    <xf numFmtId="0" fontId="0" fillId="0" borderId="0" xfId="0" applyAlignment="1">
      <alignment horizontal="center"/>
    </xf>
    <xf numFmtId="0" fontId="24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vertical="center"/>
    </xf>
    <xf numFmtId="9" fontId="21" fillId="0" borderId="14" xfId="42" applyFont="1" applyBorder="1" applyAlignment="1">
      <alignment horizontal="center" vertical="center" wrapText="1"/>
    </xf>
    <xf numFmtId="167" fontId="0" fillId="0" borderId="14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Font="1"/>
    <xf numFmtId="0" fontId="26" fillId="0" borderId="42" xfId="0" applyFont="1" applyBorder="1" applyAlignment="1">
      <alignment horizontal="left"/>
    </xf>
    <xf numFmtId="0" fontId="0" fillId="0" borderId="0" xfId="0" applyBorder="1"/>
    <xf numFmtId="0" fontId="26" fillId="0" borderId="42" xfId="0" applyFont="1" applyBorder="1" applyAlignment="1">
      <alignment horizontal="left" wrapText="1"/>
    </xf>
    <xf numFmtId="0" fontId="26" fillId="0" borderId="41" xfId="0" applyFont="1" applyFill="1" applyBorder="1" applyAlignment="1">
      <alignment horizontal="left"/>
    </xf>
    <xf numFmtId="0" fontId="26" fillId="0" borderId="42" xfId="0" applyFont="1" applyFill="1" applyBorder="1" applyAlignment="1">
      <alignment horizontal="left"/>
    </xf>
    <xf numFmtId="0" fontId="27" fillId="0" borderId="0" xfId="0" applyFont="1" applyAlignment="1">
      <alignment vertical="center"/>
    </xf>
    <xf numFmtId="0" fontId="28" fillId="0" borderId="0" xfId="0" applyFont="1"/>
    <xf numFmtId="0" fontId="27" fillId="0" borderId="0" xfId="0" applyFont="1"/>
    <xf numFmtId="0" fontId="30" fillId="0" borderId="0" xfId="0" applyFont="1"/>
    <xf numFmtId="0" fontId="0" fillId="0" borderId="10" xfId="0" applyFont="1" applyFill="1" applyBorder="1" applyAlignment="1">
      <alignment wrapText="1"/>
    </xf>
    <xf numFmtId="0" fontId="26" fillId="0" borderId="43" xfId="0" applyFont="1" applyFill="1" applyBorder="1" applyAlignment="1">
      <alignment horizontal="left"/>
    </xf>
    <xf numFmtId="0" fontId="26" fillId="0" borderId="44" xfId="0" applyFont="1" applyFill="1" applyBorder="1" applyAlignment="1">
      <alignment horizontal="left"/>
    </xf>
    <xf numFmtId="0" fontId="26" fillId="0" borderId="0" xfId="0" applyFont="1" applyBorder="1" applyAlignment="1">
      <alignment horizontal="left" wrapText="1"/>
    </xf>
    <xf numFmtId="0" fontId="26" fillId="0" borderId="0" xfId="0" applyFont="1" applyBorder="1" applyAlignment="1">
      <alignment horizontal="left"/>
    </xf>
    <xf numFmtId="0" fontId="26" fillId="0" borderId="40" xfId="0" applyFont="1" applyBorder="1" applyAlignment="1">
      <alignment horizontal="left"/>
    </xf>
    <xf numFmtId="0" fontId="22" fillId="0" borderId="41" xfId="0" applyFont="1" applyBorder="1" applyAlignment="1">
      <alignment horizontal="center"/>
    </xf>
    <xf numFmtId="0" fontId="22" fillId="0" borderId="42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6F08D"/>
      <color rgb="FFF9FFD2"/>
      <color rgb="FFE5FFFF"/>
      <color rgb="FFE1FFF6"/>
      <color rgb="FFE5EBFF"/>
      <color rgb="FFDD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5F4B-C539-6440-91D5-8C0E74EF04E8}">
  <dimension ref="A1:G11"/>
  <sheetViews>
    <sheetView zoomScaleNormal="100" workbookViewId="0"/>
  </sheetViews>
  <sheetFormatPr defaultColWidth="11" defaultRowHeight="15.75" x14ac:dyDescent="0.25"/>
  <sheetData>
    <row r="1" spans="1:7" ht="18.75" x14ac:dyDescent="0.25">
      <c r="A1" s="114" t="s">
        <v>1767</v>
      </c>
      <c r="B1" s="108"/>
      <c r="C1" s="108"/>
      <c r="D1" s="108"/>
      <c r="E1" s="108"/>
      <c r="F1" s="108"/>
      <c r="G1" s="108"/>
    </row>
    <row r="2" spans="1:7" ht="18.75" x14ac:dyDescent="0.3">
      <c r="A2" s="115"/>
      <c r="B2" s="108"/>
      <c r="C2" s="108"/>
      <c r="D2" s="108"/>
      <c r="E2" s="108"/>
      <c r="F2" s="108"/>
      <c r="G2" s="108"/>
    </row>
    <row r="3" spans="1:7" ht="18.75" x14ac:dyDescent="0.3">
      <c r="A3" s="115" t="s">
        <v>1781</v>
      </c>
      <c r="B3" s="108"/>
      <c r="C3" s="108"/>
      <c r="D3" s="108"/>
      <c r="E3" s="108"/>
      <c r="F3" s="108"/>
      <c r="G3" s="108"/>
    </row>
    <row r="4" spans="1:7" ht="18.75" x14ac:dyDescent="0.3">
      <c r="A4" s="115"/>
      <c r="B4" s="108"/>
      <c r="C4" s="108"/>
      <c r="D4" s="108"/>
      <c r="E4" s="108"/>
      <c r="F4" s="108"/>
      <c r="G4" s="108"/>
    </row>
    <row r="5" spans="1:7" ht="18.75" x14ac:dyDescent="0.3">
      <c r="A5" s="116" t="s">
        <v>1768</v>
      </c>
      <c r="B5" s="108"/>
      <c r="C5" s="108"/>
      <c r="D5" s="108"/>
      <c r="E5" s="108"/>
      <c r="F5" s="108"/>
      <c r="G5" s="108"/>
    </row>
    <row r="6" spans="1:7" ht="18.75" x14ac:dyDescent="0.3">
      <c r="A6" s="115"/>
      <c r="B6" s="108"/>
      <c r="C6" s="108"/>
      <c r="D6" s="108"/>
      <c r="E6" s="108"/>
      <c r="F6" s="108"/>
      <c r="G6" s="108"/>
    </row>
    <row r="7" spans="1:7" ht="18.75" x14ac:dyDescent="0.3">
      <c r="A7" s="117" t="s">
        <v>1775</v>
      </c>
      <c r="B7" s="108"/>
      <c r="C7" s="108"/>
      <c r="D7" s="108"/>
      <c r="E7" s="108"/>
      <c r="F7" s="108"/>
      <c r="G7" s="108"/>
    </row>
    <row r="8" spans="1:7" ht="18.75" x14ac:dyDescent="0.3">
      <c r="A8" s="117" t="s">
        <v>1776</v>
      </c>
      <c r="B8" s="108"/>
      <c r="C8" s="108"/>
      <c r="D8" s="108"/>
      <c r="E8" s="108"/>
      <c r="F8" s="108"/>
      <c r="G8" s="108"/>
    </row>
    <row r="9" spans="1:7" ht="18.75" x14ac:dyDescent="0.3">
      <c r="A9" s="117" t="s">
        <v>1777</v>
      </c>
      <c r="B9" s="108"/>
      <c r="C9" s="108"/>
      <c r="D9" s="108"/>
      <c r="E9" s="108"/>
      <c r="F9" s="108"/>
      <c r="G9" s="108"/>
    </row>
    <row r="10" spans="1:7" ht="18.75" x14ac:dyDescent="0.3">
      <c r="A10" s="117" t="s">
        <v>1778</v>
      </c>
      <c r="B10" s="108"/>
      <c r="C10" s="108"/>
      <c r="D10" s="108"/>
      <c r="E10" s="108"/>
      <c r="F10" s="108"/>
      <c r="G10" s="108"/>
    </row>
    <row r="11" spans="1:7" ht="18.75" x14ac:dyDescent="0.3">
      <c r="A11" s="117" t="s">
        <v>1780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N995"/>
  <sheetViews>
    <sheetView topLeftCell="Q241" zoomScaleNormal="100" workbookViewId="0">
      <selection activeCell="X254" sqref="X254"/>
    </sheetView>
  </sheetViews>
  <sheetFormatPr defaultColWidth="10.625" defaultRowHeight="15.75" x14ac:dyDescent="0.25"/>
  <cols>
    <col min="1" max="1" width="10" style="4" bestFit="1" customWidth="1"/>
    <col min="2" max="2" width="23.625" style="4" customWidth="1"/>
    <col min="3" max="3" width="12.375" style="4" bestFit="1" customWidth="1"/>
    <col min="4" max="4" width="25.875" style="4" customWidth="1"/>
    <col min="5" max="5" width="10.625" style="4"/>
    <col min="6" max="6" width="27.125" style="4" customWidth="1"/>
    <col min="7" max="7" width="25.5" style="4" customWidth="1"/>
    <col min="8" max="8" width="21.375" style="3" customWidth="1"/>
    <col min="9" max="9" width="23" style="3" customWidth="1"/>
    <col min="10" max="10" width="18.5" style="5" bestFit="1" customWidth="1"/>
    <col min="11" max="11" width="18.5" style="7" bestFit="1" customWidth="1"/>
    <col min="12" max="12" width="151.5" style="4" bestFit="1" customWidth="1"/>
    <col min="13" max="13" width="31.875" style="4" customWidth="1"/>
    <col min="14" max="14" width="45.875" style="4" customWidth="1"/>
    <col min="15" max="15" width="17.625" style="4" customWidth="1"/>
    <col min="16" max="16" width="16.625" style="6" customWidth="1"/>
    <col min="17" max="17" width="21.5" style="2" customWidth="1"/>
    <col min="18" max="23" width="10.875" style="4" customWidth="1"/>
    <col min="24" max="24" width="30.375" style="4" customWidth="1"/>
    <col min="25" max="25" width="17.375" style="3" customWidth="1"/>
    <col min="26" max="16384" width="10.625" style="4"/>
  </cols>
  <sheetData>
    <row r="1" spans="1:92" s="61" customFormat="1" ht="26.25" x14ac:dyDescent="0.4">
      <c r="A1" s="119" t="s">
        <v>1769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  <c r="CH1" s="120"/>
      <c r="CI1" s="120"/>
      <c r="CJ1" s="120"/>
      <c r="CK1" s="120"/>
      <c r="CL1" s="120"/>
      <c r="CM1" s="120"/>
      <c r="CN1" s="120"/>
    </row>
    <row r="2" spans="1:92" s="61" customFormat="1" ht="27" thickBot="1" x14ac:dyDescent="0.45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</row>
    <row r="3" spans="1:92" s="8" customFormat="1" ht="60.95" customHeight="1" x14ac:dyDescent="0.25">
      <c r="A3" s="63" t="s">
        <v>716</v>
      </c>
      <c r="B3" s="70" t="s">
        <v>718</v>
      </c>
      <c r="C3" s="64" t="s">
        <v>661</v>
      </c>
      <c r="D3" s="64" t="s">
        <v>662</v>
      </c>
      <c r="E3" s="64" t="s">
        <v>0</v>
      </c>
      <c r="F3" s="64" t="s">
        <v>573</v>
      </c>
      <c r="G3" s="64" t="s">
        <v>671</v>
      </c>
      <c r="H3" s="64" t="s">
        <v>672</v>
      </c>
      <c r="I3" s="64" t="s">
        <v>574</v>
      </c>
      <c r="J3" s="65" t="s">
        <v>673</v>
      </c>
      <c r="K3" s="66" t="s">
        <v>674</v>
      </c>
      <c r="L3" s="67" t="s">
        <v>577</v>
      </c>
      <c r="M3" s="68" t="s">
        <v>576</v>
      </c>
      <c r="N3" s="68" t="s">
        <v>542</v>
      </c>
      <c r="O3" s="64" t="s">
        <v>642</v>
      </c>
      <c r="P3" s="69" t="s">
        <v>643</v>
      </c>
      <c r="Q3" s="64" t="s">
        <v>651</v>
      </c>
      <c r="R3" s="70" t="s">
        <v>1</v>
      </c>
      <c r="S3" s="64" t="s">
        <v>2</v>
      </c>
      <c r="T3" s="64" t="s">
        <v>652</v>
      </c>
      <c r="U3" s="64" t="s">
        <v>670</v>
      </c>
      <c r="V3" s="64" t="s">
        <v>653</v>
      </c>
      <c r="W3" s="64" t="s">
        <v>3</v>
      </c>
      <c r="X3" s="64" t="s">
        <v>4</v>
      </c>
      <c r="Y3" s="68" t="s">
        <v>543</v>
      </c>
      <c r="Z3" s="64" t="s">
        <v>5</v>
      </c>
      <c r="AA3" s="64" t="s">
        <v>6</v>
      </c>
      <c r="AB3" s="64" t="s">
        <v>7</v>
      </c>
      <c r="AC3" s="64" t="s">
        <v>8</v>
      </c>
      <c r="AD3" s="64" t="s">
        <v>9</v>
      </c>
      <c r="AE3" s="64" t="s">
        <v>10</v>
      </c>
      <c r="AF3" s="64" t="s">
        <v>11</v>
      </c>
      <c r="AG3" s="64" t="s">
        <v>12</v>
      </c>
      <c r="AH3" s="64" t="s">
        <v>13</v>
      </c>
      <c r="AI3" s="64" t="s">
        <v>14</v>
      </c>
      <c r="AJ3" s="64" t="s">
        <v>15</v>
      </c>
      <c r="AK3" s="64" t="s">
        <v>16</v>
      </c>
      <c r="AL3" s="64" t="s">
        <v>17</v>
      </c>
      <c r="AM3" s="64" t="s">
        <v>18</v>
      </c>
      <c r="AN3" s="64" t="s">
        <v>19</v>
      </c>
      <c r="AO3" s="64" t="s">
        <v>20</v>
      </c>
      <c r="AP3" s="64" t="s">
        <v>21</v>
      </c>
      <c r="AQ3" s="64" t="s">
        <v>22</v>
      </c>
      <c r="AR3" s="64" t="s">
        <v>23</v>
      </c>
      <c r="AS3" s="64" t="s">
        <v>24</v>
      </c>
      <c r="AT3" s="64" t="s">
        <v>25</v>
      </c>
      <c r="AU3" s="64" t="s">
        <v>26</v>
      </c>
      <c r="AV3" s="64" t="s">
        <v>27</v>
      </c>
      <c r="AW3" s="64" t="s">
        <v>28</v>
      </c>
      <c r="AX3" s="64" t="s">
        <v>29</v>
      </c>
      <c r="AY3" s="64" t="s">
        <v>30</v>
      </c>
      <c r="AZ3" s="64" t="s">
        <v>31</v>
      </c>
      <c r="BA3" s="64" t="s">
        <v>32</v>
      </c>
      <c r="BB3" s="64" t="s">
        <v>33</v>
      </c>
      <c r="BC3" s="64" t="s">
        <v>34</v>
      </c>
      <c r="BD3" s="64" t="s">
        <v>35</v>
      </c>
      <c r="BE3" s="64" t="s">
        <v>36</v>
      </c>
      <c r="BF3" s="64" t="s">
        <v>37</v>
      </c>
      <c r="BG3" s="64" t="s">
        <v>38</v>
      </c>
      <c r="BH3" s="64" t="s">
        <v>39</v>
      </c>
      <c r="BI3" s="64" t="s">
        <v>40</v>
      </c>
      <c r="BJ3" s="64" t="s">
        <v>41</v>
      </c>
      <c r="BK3" s="64" t="s">
        <v>42</v>
      </c>
      <c r="BL3" s="64" t="s">
        <v>43</v>
      </c>
      <c r="BM3" s="64" t="s">
        <v>44</v>
      </c>
      <c r="BN3" s="64" t="s">
        <v>45</v>
      </c>
      <c r="BO3" s="64" t="s">
        <v>46</v>
      </c>
      <c r="BP3" s="64" t="s">
        <v>47</v>
      </c>
      <c r="BQ3" s="64" t="s">
        <v>48</v>
      </c>
      <c r="BR3" s="64" t="s">
        <v>49</v>
      </c>
      <c r="BS3" s="64" t="s">
        <v>50</v>
      </c>
      <c r="BT3" s="64" t="s">
        <v>51</v>
      </c>
      <c r="BU3" s="64" t="s">
        <v>52</v>
      </c>
      <c r="BV3" s="64" t="s">
        <v>53</v>
      </c>
      <c r="BW3" s="64" t="s">
        <v>54</v>
      </c>
      <c r="BX3" s="64" t="s">
        <v>55</v>
      </c>
      <c r="BY3" s="64" t="s">
        <v>56</v>
      </c>
      <c r="BZ3" s="64" t="s">
        <v>57</v>
      </c>
      <c r="CA3" s="64" t="s">
        <v>58</v>
      </c>
      <c r="CB3" s="64" t="s">
        <v>59</v>
      </c>
      <c r="CC3" s="64" t="s">
        <v>60</v>
      </c>
      <c r="CD3" s="64" t="s">
        <v>61</v>
      </c>
      <c r="CE3" s="64" t="s">
        <v>62</v>
      </c>
      <c r="CF3" s="64" t="s">
        <v>63</v>
      </c>
      <c r="CG3" s="64" t="s">
        <v>64</v>
      </c>
      <c r="CH3" s="64" t="s">
        <v>65</v>
      </c>
      <c r="CI3" s="64" t="s">
        <v>66</v>
      </c>
      <c r="CJ3" s="64" t="s">
        <v>67</v>
      </c>
      <c r="CK3" s="64" t="s">
        <v>68</v>
      </c>
      <c r="CL3" s="64" t="s">
        <v>69</v>
      </c>
      <c r="CM3" s="64" t="s">
        <v>70</v>
      </c>
      <c r="CN3" s="71" t="s">
        <v>71</v>
      </c>
    </row>
    <row r="4" spans="1:92" s="3" customFormat="1" x14ac:dyDescent="0.25">
      <c r="A4" s="72">
        <v>1</v>
      </c>
      <c r="B4" s="81" t="s">
        <v>1046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526</v>
      </c>
      <c r="I4" s="1"/>
      <c r="J4" s="9" t="s">
        <v>506</v>
      </c>
      <c r="K4" s="10">
        <v>0.34894266666666701</v>
      </c>
      <c r="L4" s="1" t="s">
        <v>641</v>
      </c>
      <c r="M4" s="1" t="s">
        <v>76</v>
      </c>
      <c r="N4" s="1" t="s">
        <v>644</v>
      </c>
      <c r="O4" s="1" t="s">
        <v>33</v>
      </c>
      <c r="P4" s="82">
        <v>0.79900000000000004</v>
      </c>
      <c r="Q4" s="1" t="s">
        <v>76</v>
      </c>
      <c r="R4" s="81" t="s">
        <v>77</v>
      </c>
      <c r="S4" s="1" t="s">
        <v>76</v>
      </c>
      <c r="T4" s="1" t="s">
        <v>78</v>
      </c>
      <c r="U4" s="1" t="s">
        <v>658</v>
      </c>
      <c r="V4" s="1" t="s">
        <v>655</v>
      </c>
      <c r="W4" s="1">
        <v>18</v>
      </c>
      <c r="X4" s="1" t="s">
        <v>76</v>
      </c>
      <c r="Y4" s="1" t="s">
        <v>644</v>
      </c>
      <c r="Z4" s="1">
        <v>0</v>
      </c>
      <c r="AA4" s="1">
        <v>1E-3</v>
      </c>
      <c r="AB4" s="1">
        <v>1E-3</v>
      </c>
      <c r="AC4" s="1">
        <v>4.0000000000000001E-3</v>
      </c>
      <c r="AD4" s="1">
        <v>1E-3</v>
      </c>
      <c r="AE4" s="1">
        <v>1E-3</v>
      </c>
      <c r="AF4" s="1">
        <v>1E-3</v>
      </c>
      <c r="AG4" s="1">
        <v>0</v>
      </c>
      <c r="AH4" s="1">
        <v>2E-3</v>
      </c>
      <c r="AI4" s="1">
        <v>0</v>
      </c>
      <c r="AJ4" s="1">
        <v>2E-3</v>
      </c>
      <c r="AK4" s="1">
        <v>3.0000000000000001E-3</v>
      </c>
      <c r="AL4" s="1">
        <v>0</v>
      </c>
      <c r="AM4" s="1">
        <v>0</v>
      </c>
      <c r="AN4" s="1">
        <v>1E-3</v>
      </c>
      <c r="AO4" s="1">
        <v>1E-3</v>
      </c>
      <c r="AP4" s="1">
        <v>0</v>
      </c>
      <c r="AQ4" s="1">
        <v>0</v>
      </c>
      <c r="AR4" s="1">
        <v>1E-3</v>
      </c>
      <c r="AS4" s="1">
        <v>2E-3</v>
      </c>
      <c r="AT4" s="1">
        <v>1E-3</v>
      </c>
      <c r="AU4" s="1">
        <v>1E-3</v>
      </c>
      <c r="AV4" s="1">
        <v>0</v>
      </c>
      <c r="AW4" s="1">
        <v>1E-3</v>
      </c>
      <c r="AX4" s="1">
        <v>0</v>
      </c>
      <c r="AY4" s="1">
        <v>1E-3</v>
      </c>
      <c r="AZ4" s="1">
        <v>1E-3</v>
      </c>
      <c r="BA4" s="1">
        <v>2E-3</v>
      </c>
      <c r="BB4" s="1">
        <v>0.79900000000000004</v>
      </c>
      <c r="BC4" s="1">
        <v>0</v>
      </c>
      <c r="BD4" s="1">
        <v>2E-3</v>
      </c>
      <c r="BE4" s="1">
        <v>0</v>
      </c>
      <c r="BF4" s="1">
        <v>0</v>
      </c>
      <c r="BG4" s="1">
        <v>1E-3</v>
      </c>
      <c r="BH4" s="1">
        <v>0</v>
      </c>
      <c r="BI4" s="1">
        <v>0</v>
      </c>
      <c r="BJ4" s="1">
        <v>0</v>
      </c>
      <c r="BK4" s="1">
        <v>0</v>
      </c>
      <c r="BL4" s="1">
        <v>1E-3</v>
      </c>
      <c r="BM4" s="1">
        <v>0</v>
      </c>
      <c r="BN4" s="1">
        <v>1E-3</v>
      </c>
      <c r="BO4" s="1">
        <v>6.0000000000000001E-3</v>
      </c>
      <c r="BP4" s="1">
        <v>0</v>
      </c>
      <c r="BQ4" s="1">
        <v>1E-3</v>
      </c>
      <c r="BR4" s="1">
        <v>1E-3</v>
      </c>
      <c r="BS4" s="1">
        <v>1E-3</v>
      </c>
      <c r="BT4" s="1">
        <v>0</v>
      </c>
      <c r="BU4" s="1">
        <v>2E-3</v>
      </c>
      <c r="BV4" s="1">
        <v>1.6E-2</v>
      </c>
      <c r="BW4" s="1">
        <v>1E-3</v>
      </c>
      <c r="BX4" s="1">
        <v>0.115</v>
      </c>
      <c r="BY4" s="1">
        <v>2E-3</v>
      </c>
      <c r="BZ4" s="1">
        <v>1E-3</v>
      </c>
      <c r="CA4" s="1">
        <v>1E-3</v>
      </c>
      <c r="CB4" s="1">
        <v>0</v>
      </c>
      <c r="CC4" s="1">
        <v>1E-3</v>
      </c>
      <c r="CD4" s="1">
        <v>0</v>
      </c>
      <c r="CE4" s="1">
        <v>0</v>
      </c>
      <c r="CF4" s="1">
        <v>0</v>
      </c>
      <c r="CG4" s="1">
        <v>1E-3</v>
      </c>
      <c r="CH4" s="1">
        <v>1E-3</v>
      </c>
      <c r="CI4" s="1">
        <v>1E-3</v>
      </c>
      <c r="CJ4" s="1">
        <v>1E-3</v>
      </c>
      <c r="CK4" s="1">
        <v>1.4E-2</v>
      </c>
      <c r="CL4" s="1">
        <v>1E-3</v>
      </c>
      <c r="CM4" s="1">
        <v>-10.693400799999999</v>
      </c>
      <c r="CN4" s="83">
        <v>118.0187298</v>
      </c>
    </row>
    <row r="5" spans="1:92" s="3" customFormat="1" x14ac:dyDescent="0.25">
      <c r="A5" s="72">
        <v>2</v>
      </c>
      <c r="B5" s="81" t="s">
        <v>1257</v>
      </c>
      <c r="C5" s="1" t="s">
        <v>72</v>
      </c>
      <c r="D5" s="1" t="s">
        <v>79</v>
      </c>
      <c r="E5" s="1" t="s">
        <v>74</v>
      </c>
      <c r="F5" s="1" t="s">
        <v>144</v>
      </c>
      <c r="G5" s="1" t="s">
        <v>80</v>
      </c>
      <c r="H5" s="1" t="s">
        <v>532</v>
      </c>
      <c r="I5" s="1"/>
      <c r="J5" s="9" t="s">
        <v>506</v>
      </c>
      <c r="K5" s="10">
        <v>0.45449850000000003</v>
      </c>
      <c r="L5" s="1" t="s">
        <v>641</v>
      </c>
      <c r="M5" s="1" t="s">
        <v>76</v>
      </c>
      <c r="N5" s="1" t="s">
        <v>644</v>
      </c>
      <c r="O5" s="1" t="s">
        <v>33</v>
      </c>
      <c r="P5" s="82">
        <v>0.10199999999999999</v>
      </c>
      <c r="Q5" s="1" t="s">
        <v>76</v>
      </c>
      <c r="R5" s="81" t="s">
        <v>81</v>
      </c>
      <c r="S5" s="1" t="s">
        <v>76</v>
      </c>
      <c r="T5" s="1" t="s">
        <v>78</v>
      </c>
      <c r="U5" s="1" t="s">
        <v>658</v>
      </c>
      <c r="V5" s="1" t="s">
        <v>655</v>
      </c>
      <c r="W5" s="1">
        <v>11</v>
      </c>
      <c r="X5" s="1" t="s">
        <v>82</v>
      </c>
      <c r="Y5" s="1" t="s">
        <v>644</v>
      </c>
      <c r="Z5" s="1">
        <v>2E-3</v>
      </c>
      <c r="AA5" s="1">
        <v>8.0000000000000002E-3</v>
      </c>
      <c r="AB5" s="1">
        <v>7.0000000000000001E-3</v>
      </c>
      <c r="AC5" s="1">
        <v>6.5000000000000002E-2</v>
      </c>
      <c r="AD5" s="1">
        <v>7.0000000000000001E-3</v>
      </c>
      <c r="AE5" s="1">
        <v>8.9999999999999993E-3</v>
      </c>
      <c r="AF5" s="1">
        <v>8.9999999999999993E-3</v>
      </c>
      <c r="AG5" s="1">
        <v>1E-3</v>
      </c>
      <c r="AH5" s="1">
        <v>2.5000000000000001E-2</v>
      </c>
      <c r="AI5" s="1">
        <v>2E-3</v>
      </c>
      <c r="AJ5" s="1">
        <v>3.0000000000000001E-3</v>
      </c>
      <c r="AK5" s="1">
        <v>3.5000000000000003E-2</v>
      </c>
      <c r="AL5" s="1">
        <v>1E-3</v>
      </c>
      <c r="AM5" s="1">
        <v>4.0000000000000001E-3</v>
      </c>
      <c r="AN5" s="1">
        <v>4.0000000000000001E-3</v>
      </c>
      <c r="AO5" s="1">
        <v>3.2000000000000001E-2</v>
      </c>
      <c r="AP5" s="1">
        <v>6.0000000000000001E-3</v>
      </c>
      <c r="AQ5" s="1">
        <v>4.0000000000000001E-3</v>
      </c>
      <c r="AR5" s="1">
        <v>3.0000000000000001E-3</v>
      </c>
      <c r="AS5" s="1">
        <v>3.6999999999999998E-2</v>
      </c>
      <c r="AT5" s="1">
        <v>2.5999999999999999E-2</v>
      </c>
      <c r="AU5" s="1">
        <v>1.2999999999999999E-2</v>
      </c>
      <c r="AV5" s="1">
        <v>5.0000000000000001E-3</v>
      </c>
      <c r="AW5" s="1">
        <v>1.0999999999999999E-2</v>
      </c>
      <c r="AX5" s="1">
        <v>6.0000000000000001E-3</v>
      </c>
      <c r="AY5" s="1">
        <v>1.0999999999999999E-2</v>
      </c>
      <c r="AZ5" s="1">
        <v>1.0999999999999999E-2</v>
      </c>
      <c r="BA5" s="1">
        <v>2.5999999999999999E-2</v>
      </c>
      <c r="BB5" s="1">
        <v>0.10199999999999999</v>
      </c>
      <c r="BC5" s="1">
        <v>4.0000000000000001E-3</v>
      </c>
      <c r="BD5" s="1">
        <v>5.2999999999999999E-2</v>
      </c>
      <c r="BE5" s="1">
        <v>6.0000000000000001E-3</v>
      </c>
      <c r="BF5" s="1">
        <v>3.0000000000000001E-3</v>
      </c>
      <c r="BG5" s="1">
        <v>8.9999999999999993E-3</v>
      </c>
      <c r="BH5" s="1">
        <v>7.0000000000000001E-3</v>
      </c>
      <c r="BI5" s="1">
        <v>6.0000000000000001E-3</v>
      </c>
      <c r="BJ5" s="1">
        <v>2E-3</v>
      </c>
      <c r="BK5" s="1">
        <v>5.0000000000000001E-3</v>
      </c>
      <c r="BL5" s="1">
        <v>1.4999999999999999E-2</v>
      </c>
      <c r="BM5" s="1">
        <v>7.0000000000000001E-3</v>
      </c>
      <c r="BN5" s="1">
        <v>1.4E-2</v>
      </c>
      <c r="BO5" s="1">
        <v>5.0000000000000001E-3</v>
      </c>
      <c r="BP5" s="1">
        <v>2E-3</v>
      </c>
      <c r="BQ5" s="1">
        <v>1.7999999999999999E-2</v>
      </c>
      <c r="BR5" s="1">
        <v>7.0000000000000001E-3</v>
      </c>
      <c r="BS5" s="1">
        <v>4.0000000000000001E-3</v>
      </c>
      <c r="BT5" s="1">
        <v>4.0000000000000001E-3</v>
      </c>
      <c r="BU5" s="1">
        <v>5.0000000000000001E-3</v>
      </c>
      <c r="BV5" s="1">
        <v>1.6E-2</v>
      </c>
      <c r="BW5" s="1">
        <v>1.7000000000000001E-2</v>
      </c>
      <c r="BX5" s="1">
        <v>4.9000000000000002E-2</v>
      </c>
      <c r="BY5" s="1">
        <v>2.3E-2</v>
      </c>
      <c r="BZ5" s="1">
        <v>1.0999999999999999E-2</v>
      </c>
      <c r="CA5" s="1">
        <v>8.0000000000000002E-3</v>
      </c>
      <c r="CB5" s="1">
        <v>2E-3</v>
      </c>
      <c r="CC5" s="1">
        <v>8.9999999999999993E-3</v>
      </c>
      <c r="CD5" s="1">
        <v>1E-3</v>
      </c>
      <c r="CE5" s="1">
        <v>6.0000000000000001E-3</v>
      </c>
      <c r="CF5" s="1">
        <v>7.0000000000000001E-3</v>
      </c>
      <c r="CG5" s="1">
        <v>1.4E-2</v>
      </c>
      <c r="CH5" s="1">
        <v>0.02</v>
      </c>
      <c r="CI5" s="1">
        <v>1.6E-2</v>
      </c>
      <c r="CJ5" s="1">
        <v>0.03</v>
      </c>
      <c r="CK5" s="1">
        <v>0.10100000000000001</v>
      </c>
      <c r="CL5" s="1">
        <v>1.7999999999999999E-2</v>
      </c>
      <c r="CM5" s="1">
        <v>-15.293836779999999</v>
      </c>
      <c r="CN5" s="83">
        <v>128.16284590000001</v>
      </c>
    </row>
    <row r="6" spans="1:92" s="3" customFormat="1" x14ac:dyDescent="0.25">
      <c r="A6" s="72">
        <v>3</v>
      </c>
      <c r="B6" s="81" t="s">
        <v>1213</v>
      </c>
      <c r="C6" s="1" t="s">
        <v>83</v>
      </c>
      <c r="D6" s="1" t="s">
        <v>79</v>
      </c>
      <c r="E6" s="1" t="s">
        <v>74</v>
      </c>
      <c r="F6" s="1" t="s">
        <v>84</v>
      </c>
      <c r="G6" s="1" t="s">
        <v>86</v>
      </c>
      <c r="H6" s="1" t="s">
        <v>85</v>
      </c>
      <c r="I6" s="1"/>
      <c r="J6" s="9" t="s">
        <v>544</v>
      </c>
      <c r="K6" s="10">
        <v>0.48725516666666602</v>
      </c>
      <c r="L6" s="1" t="s">
        <v>76</v>
      </c>
      <c r="M6" s="1" t="s">
        <v>506</v>
      </c>
      <c r="N6" s="1" t="s">
        <v>645</v>
      </c>
      <c r="O6" s="1" t="s">
        <v>17</v>
      </c>
      <c r="P6" s="82">
        <v>0.97599999999999998</v>
      </c>
      <c r="Q6" s="1" t="s">
        <v>76</v>
      </c>
      <c r="R6" s="81" t="s">
        <v>87</v>
      </c>
      <c r="S6" s="1">
        <v>3</v>
      </c>
      <c r="T6" s="1" t="s">
        <v>78</v>
      </c>
      <c r="U6" s="1" t="s">
        <v>658</v>
      </c>
      <c r="V6" s="1" t="s">
        <v>655</v>
      </c>
      <c r="W6" s="1">
        <v>51</v>
      </c>
      <c r="X6" s="1" t="s">
        <v>88</v>
      </c>
      <c r="Y6" s="1" t="s">
        <v>645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1E-3</v>
      </c>
      <c r="AL6" s="1">
        <v>0.97599999999999998</v>
      </c>
      <c r="AM6" s="1">
        <v>1.0999999999999999E-2</v>
      </c>
      <c r="AN6" s="1">
        <v>1E-3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2E-3</v>
      </c>
      <c r="BM6" s="1">
        <v>0</v>
      </c>
      <c r="BN6" s="1">
        <v>0</v>
      </c>
      <c r="BO6" s="1">
        <v>0</v>
      </c>
      <c r="BP6" s="1">
        <v>0</v>
      </c>
      <c r="BQ6" s="1">
        <v>1E-3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2E-3</v>
      </c>
      <c r="BY6" s="1">
        <v>0</v>
      </c>
      <c r="BZ6" s="1">
        <v>1E-3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1E-3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-0.76837907800000005</v>
      </c>
      <c r="CN6" s="83">
        <v>69.170093289999997</v>
      </c>
    </row>
    <row r="7" spans="1:92" s="3" customFormat="1" x14ac:dyDescent="0.25">
      <c r="A7" s="72">
        <v>4</v>
      </c>
      <c r="B7" s="81" t="s">
        <v>1064</v>
      </c>
      <c r="C7" s="1" t="s">
        <v>72</v>
      </c>
      <c r="D7" s="1" t="s">
        <v>79</v>
      </c>
      <c r="E7" s="1" t="s">
        <v>74</v>
      </c>
      <c r="F7" s="1" t="s">
        <v>89</v>
      </c>
      <c r="G7" s="1" t="s">
        <v>90</v>
      </c>
      <c r="H7" s="1" t="s">
        <v>68</v>
      </c>
      <c r="I7" s="1"/>
      <c r="J7" s="9" t="s">
        <v>544</v>
      </c>
      <c r="K7" s="10">
        <v>0.37938450000000001</v>
      </c>
      <c r="L7" s="1" t="s">
        <v>641</v>
      </c>
      <c r="M7" s="1" t="s">
        <v>76</v>
      </c>
      <c r="N7" s="1" t="s">
        <v>644</v>
      </c>
      <c r="O7" s="1" t="s">
        <v>55</v>
      </c>
      <c r="P7" s="82">
        <v>0.157</v>
      </c>
      <c r="Q7" s="1" t="s">
        <v>76</v>
      </c>
      <c r="R7" s="81" t="s">
        <v>91</v>
      </c>
      <c r="S7" s="1" t="s">
        <v>76</v>
      </c>
      <c r="T7" s="1" t="s">
        <v>78</v>
      </c>
      <c r="U7" s="1" t="s">
        <v>658</v>
      </c>
      <c r="V7" s="1" t="s">
        <v>655</v>
      </c>
      <c r="W7" s="1">
        <v>37</v>
      </c>
      <c r="X7" s="1" t="s">
        <v>76</v>
      </c>
      <c r="Y7" s="1" t="s">
        <v>644</v>
      </c>
      <c r="Z7" s="1">
        <v>7.0000000000000001E-3</v>
      </c>
      <c r="AA7" s="1">
        <v>7.0000000000000001E-3</v>
      </c>
      <c r="AB7" s="1">
        <v>8.0000000000000002E-3</v>
      </c>
      <c r="AC7" s="1">
        <v>4.5999999999999999E-2</v>
      </c>
      <c r="AD7" s="1">
        <v>1.2E-2</v>
      </c>
      <c r="AE7" s="1">
        <v>2.3E-2</v>
      </c>
      <c r="AF7" s="1">
        <v>8.0000000000000002E-3</v>
      </c>
      <c r="AG7" s="1">
        <v>1E-3</v>
      </c>
      <c r="AH7" s="1">
        <v>2.3E-2</v>
      </c>
      <c r="AI7" s="1">
        <v>3.0000000000000001E-3</v>
      </c>
      <c r="AJ7" s="1">
        <v>0.01</v>
      </c>
      <c r="AK7" s="1">
        <v>2.4E-2</v>
      </c>
      <c r="AL7" s="1">
        <v>1E-3</v>
      </c>
      <c r="AM7" s="1">
        <v>4.0000000000000001E-3</v>
      </c>
      <c r="AN7" s="1">
        <v>2.1000000000000001E-2</v>
      </c>
      <c r="AO7" s="1">
        <v>6.0000000000000001E-3</v>
      </c>
      <c r="AP7" s="1">
        <v>5.0000000000000001E-3</v>
      </c>
      <c r="AQ7" s="1">
        <v>4.0000000000000001E-3</v>
      </c>
      <c r="AR7" s="1">
        <v>1.6E-2</v>
      </c>
      <c r="AS7" s="1">
        <v>3.9E-2</v>
      </c>
      <c r="AT7" s="1">
        <v>1.0999999999999999E-2</v>
      </c>
      <c r="AU7" s="1">
        <v>8.9999999999999993E-3</v>
      </c>
      <c r="AV7" s="1">
        <v>6.0000000000000001E-3</v>
      </c>
      <c r="AW7" s="1">
        <v>0.01</v>
      </c>
      <c r="AX7" s="1">
        <v>6.0000000000000001E-3</v>
      </c>
      <c r="AY7" s="1">
        <v>1.0999999999999999E-2</v>
      </c>
      <c r="AZ7" s="1">
        <v>1.4999999999999999E-2</v>
      </c>
      <c r="BA7" s="1">
        <v>2.1999999999999999E-2</v>
      </c>
      <c r="BB7" s="1">
        <v>1.2E-2</v>
      </c>
      <c r="BC7" s="1">
        <v>4.0000000000000001E-3</v>
      </c>
      <c r="BD7" s="1">
        <v>3.2000000000000001E-2</v>
      </c>
      <c r="BE7" s="1">
        <v>8.0000000000000002E-3</v>
      </c>
      <c r="BF7" s="1">
        <v>2.3E-2</v>
      </c>
      <c r="BG7" s="1">
        <v>5.0000000000000001E-3</v>
      </c>
      <c r="BH7" s="1">
        <v>1.2E-2</v>
      </c>
      <c r="BI7" s="1">
        <v>4.0000000000000001E-3</v>
      </c>
      <c r="BJ7" s="1">
        <v>2E-3</v>
      </c>
      <c r="BK7" s="1">
        <v>4.0000000000000001E-3</v>
      </c>
      <c r="BL7" s="1">
        <v>0.01</v>
      </c>
      <c r="BM7" s="1">
        <v>5.0000000000000001E-3</v>
      </c>
      <c r="BN7" s="1">
        <v>1.2999999999999999E-2</v>
      </c>
      <c r="BO7" s="1">
        <v>1.7000000000000001E-2</v>
      </c>
      <c r="BP7" s="1">
        <v>3.0000000000000001E-3</v>
      </c>
      <c r="BQ7" s="1">
        <v>1.4E-2</v>
      </c>
      <c r="BR7" s="1">
        <v>6.0000000000000001E-3</v>
      </c>
      <c r="BS7" s="1">
        <v>1.0999999999999999E-2</v>
      </c>
      <c r="BT7" s="1">
        <v>4.0000000000000001E-3</v>
      </c>
      <c r="BU7" s="1">
        <v>0.01</v>
      </c>
      <c r="BV7" s="1">
        <v>1.4E-2</v>
      </c>
      <c r="BW7" s="1">
        <v>7.0000000000000001E-3</v>
      </c>
      <c r="BX7" s="1">
        <v>0.157</v>
      </c>
      <c r="BY7" s="1">
        <v>1.4999999999999999E-2</v>
      </c>
      <c r="BZ7" s="1">
        <v>1.2E-2</v>
      </c>
      <c r="CA7" s="1">
        <v>6.0000000000000001E-3</v>
      </c>
      <c r="CB7" s="1">
        <v>7.0000000000000001E-3</v>
      </c>
      <c r="CC7" s="1">
        <v>8.9999999999999993E-3</v>
      </c>
      <c r="CD7" s="1">
        <v>1E-3</v>
      </c>
      <c r="CE7" s="1">
        <v>6.0000000000000001E-3</v>
      </c>
      <c r="CF7" s="1">
        <v>8.9999999999999993E-3</v>
      </c>
      <c r="CG7" s="1">
        <v>1.0999999999999999E-2</v>
      </c>
      <c r="CH7" s="1">
        <v>1.0999999999999999E-2</v>
      </c>
      <c r="CI7" s="1">
        <v>1.0999999999999999E-2</v>
      </c>
      <c r="CJ7" s="1">
        <v>1.7000000000000001E-2</v>
      </c>
      <c r="CK7" s="1">
        <v>0.13200000000000001</v>
      </c>
      <c r="CL7" s="1">
        <v>1.7999999999999999E-2</v>
      </c>
      <c r="CM7" s="1">
        <v>12.79087964</v>
      </c>
      <c r="CN7" s="83">
        <v>131.2301114</v>
      </c>
    </row>
    <row r="8" spans="1:92" s="3" customFormat="1" x14ac:dyDescent="0.25">
      <c r="A8" s="72">
        <v>5</v>
      </c>
      <c r="B8" s="81" t="s">
        <v>1057</v>
      </c>
      <c r="C8" s="1" t="s">
        <v>83</v>
      </c>
      <c r="D8" s="1" t="s">
        <v>92</v>
      </c>
      <c r="E8" s="1" t="s">
        <v>74</v>
      </c>
      <c r="F8" s="1" t="s">
        <v>93</v>
      </c>
      <c r="G8" s="1" t="s">
        <v>94</v>
      </c>
      <c r="H8" s="1" t="s">
        <v>525</v>
      </c>
      <c r="I8" s="1"/>
      <c r="J8" s="9" t="s">
        <v>506</v>
      </c>
      <c r="K8" s="10">
        <v>0.42134316666666699</v>
      </c>
      <c r="L8" s="1" t="s">
        <v>641</v>
      </c>
      <c r="M8" s="1" t="s">
        <v>76</v>
      </c>
      <c r="N8" s="1" t="s">
        <v>644</v>
      </c>
      <c r="O8" s="1" t="s">
        <v>34</v>
      </c>
      <c r="P8" s="82">
        <v>0.78500000000000003</v>
      </c>
      <c r="Q8" s="1" t="s">
        <v>76</v>
      </c>
      <c r="R8" s="81" t="s">
        <v>95</v>
      </c>
      <c r="S8" s="1">
        <v>3</v>
      </c>
      <c r="T8" s="1" t="s">
        <v>78</v>
      </c>
      <c r="U8" s="1" t="s">
        <v>660</v>
      </c>
      <c r="V8" s="1" t="s">
        <v>655</v>
      </c>
      <c r="W8" s="1">
        <v>34</v>
      </c>
      <c r="X8" s="1" t="s">
        <v>96</v>
      </c>
      <c r="Y8" s="1" t="s">
        <v>644</v>
      </c>
      <c r="Z8" s="1">
        <v>1E-3</v>
      </c>
      <c r="AA8" s="1">
        <v>2E-3</v>
      </c>
      <c r="AB8" s="1">
        <v>2E-3</v>
      </c>
      <c r="AC8" s="1">
        <v>8.9999999999999993E-3</v>
      </c>
      <c r="AD8" s="1">
        <v>2E-3</v>
      </c>
      <c r="AE8" s="1">
        <v>2E-3</v>
      </c>
      <c r="AF8" s="1">
        <v>2E-3</v>
      </c>
      <c r="AG8" s="1">
        <v>0</v>
      </c>
      <c r="AH8" s="1">
        <v>6.0000000000000001E-3</v>
      </c>
      <c r="AI8" s="1">
        <v>1E-3</v>
      </c>
      <c r="AJ8" s="1">
        <v>2E-3</v>
      </c>
      <c r="AK8" s="1">
        <v>4.0000000000000001E-3</v>
      </c>
      <c r="AL8" s="1">
        <v>2.4E-2</v>
      </c>
      <c r="AM8" s="1">
        <v>0</v>
      </c>
      <c r="AN8" s="1">
        <v>2E-3</v>
      </c>
      <c r="AO8" s="1">
        <v>2E-3</v>
      </c>
      <c r="AP8" s="1">
        <v>1E-3</v>
      </c>
      <c r="AQ8" s="1">
        <v>1E-3</v>
      </c>
      <c r="AR8" s="1">
        <v>1E-3</v>
      </c>
      <c r="AS8" s="1">
        <v>5.0000000000000001E-3</v>
      </c>
      <c r="AT8" s="1">
        <v>3.0000000000000001E-3</v>
      </c>
      <c r="AU8" s="1">
        <v>2E-3</v>
      </c>
      <c r="AV8" s="1">
        <v>2E-3</v>
      </c>
      <c r="AW8" s="1">
        <v>2E-3</v>
      </c>
      <c r="AX8" s="1">
        <v>4.0000000000000001E-3</v>
      </c>
      <c r="AY8" s="1">
        <v>2E-3</v>
      </c>
      <c r="AZ8" s="1">
        <v>3.0000000000000001E-3</v>
      </c>
      <c r="BA8" s="1">
        <v>5.0000000000000001E-3</v>
      </c>
      <c r="BB8" s="1">
        <v>2E-3</v>
      </c>
      <c r="BC8" s="1">
        <v>0.78500000000000003</v>
      </c>
      <c r="BD8" s="1">
        <v>6.0000000000000001E-3</v>
      </c>
      <c r="BE8" s="1">
        <v>1E-3</v>
      </c>
      <c r="BF8" s="1">
        <v>1E-3</v>
      </c>
      <c r="BG8" s="1">
        <v>1E-3</v>
      </c>
      <c r="BH8" s="1">
        <v>2E-3</v>
      </c>
      <c r="BI8" s="1">
        <v>1E-3</v>
      </c>
      <c r="BJ8" s="1">
        <v>0</v>
      </c>
      <c r="BK8" s="1">
        <v>1E-3</v>
      </c>
      <c r="BL8" s="1">
        <v>8.0000000000000002E-3</v>
      </c>
      <c r="BM8" s="1">
        <v>2E-3</v>
      </c>
      <c r="BN8" s="1">
        <v>2E-3</v>
      </c>
      <c r="BO8" s="1">
        <v>1E-3</v>
      </c>
      <c r="BP8" s="1">
        <v>0</v>
      </c>
      <c r="BQ8" s="1">
        <v>4.0000000000000001E-3</v>
      </c>
      <c r="BR8" s="1">
        <v>1E-3</v>
      </c>
      <c r="BS8" s="1">
        <v>1E-3</v>
      </c>
      <c r="BT8" s="1">
        <v>1E-3</v>
      </c>
      <c r="BU8" s="1">
        <v>3.0000000000000001E-3</v>
      </c>
      <c r="BV8" s="1">
        <v>2E-3</v>
      </c>
      <c r="BW8" s="1">
        <v>2E-3</v>
      </c>
      <c r="BX8" s="1">
        <v>1.7999999999999999E-2</v>
      </c>
      <c r="BY8" s="1">
        <v>8.0000000000000002E-3</v>
      </c>
      <c r="BZ8" s="1">
        <v>3.0000000000000001E-3</v>
      </c>
      <c r="CA8" s="1">
        <v>2E-3</v>
      </c>
      <c r="CB8" s="1">
        <v>0</v>
      </c>
      <c r="CC8" s="1">
        <v>2E-3</v>
      </c>
      <c r="CD8" s="1">
        <v>0</v>
      </c>
      <c r="CE8" s="1">
        <v>1E-3</v>
      </c>
      <c r="CF8" s="1">
        <v>1E-3</v>
      </c>
      <c r="CG8" s="1">
        <v>2E-3</v>
      </c>
      <c r="CH8" s="1">
        <v>3.0000000000000001E-3</v>
      </c>
      <c r="CI8" s="1">
        <v>3.0000000000000001E-3</v>
      </c>
      <c r="CJ8" s="1">
        <v>4.0000000000000001E-3</v>
      </c>
      <c r="CK8" s="1">
        <v>3.3000000000000002E-2</v>
      </c>
      <c r="CL8" s="1">
        <v>2E-3</v>
      </c>
      <c r="CM8" s="1">
        <v>53.613896599999997</v>
      </c>
      <c r="CN8" s="83">
        <v>100.8042925</v>
      </c>
    </row>
    <row r="9" spans="1:92" s="3" customFormat="1" x14ac:dyDescent="0.25">
      <c r="A9" s="72">
        <v>6</v>
      </c>
      <c r="B9" s="81" t="s">
        <v>845</v>
      </c>
      <c r="C9" s="1" t="s">
        <v>72</v>
      </c>
      <c r="D9" s="1" t="s">
        <v>73</v>
      </c>
      <c r="E9" s="1" t="s">
        <v>74</v>
      </c>
      <c r="F9" s="1" t="s">
        <v>97</v>
      </c>
      <c r="G9" s="1" t="s">
        <v>98</v>
      </c>
      <c r="H9" s="1" t="s">
        <v>97</v>
      </c>
      <c r="I9" s="1"/>
      <c r="J9" s="9" t="s">
        <v>506</v>
      </c>
      <c r="K9" s="10">
        <v>0.61001050000000001</v>
      </c>
      <c r="L9" s="1" t="s">
        <v>641</v>
      </c>
      <c r="M9" s="1" t="s">
        <v>76</v>
      </c>
      <c r="N9" s="1" t="s">
        <v>644</v>
      </c>
      <c r="O9" s="1" t="s">
        <v>52</v>
      </c>
      <c r="P9" s="82">
        <v>0.13800000000000001</v>
      </c>
      <c r="Q9" s="1" t="s">
        <v>76</v>
      </c>
      <c r="R9" s="81" t="s">
        <v>77</v>
      </c>
      <c r="S9" s="1" t="s">
        <v>76</v>
      </c>
      <c r="T9" s="1" t="s">
        <v>78</v>
      </c>
      <c r="U9" s="1" t="s">
        <v>659</v>
      </c>
      <c r="V9" s="1" t="s">
        <v>655</v>
      </c>
      <c r="W9" s="1">
        <v>12</v>
      </c>
      <c r="X9" s="1" t="s">
        <v>76</v>
      </c>
      <c r="Y9" s="1" t="s">
        <v>644</v>
      </c>
      <c r="Z9" s="1">
        <v>2E-3</v>
      </c>
      <c r="AA9" s="1">
        <v>8.0000000000000002E-3</v>
      </c>
      <c r="AB9" s="1">
        <v>6.0000000000000001E-3</v>
      </c>
      <c r="AC9" s="1">
        <v>2.5999999999999999E-2</v>
      </c>
      <c r="AD9" s="1">
        <v>5.0000000000000001E-3</v>
      </c>
      <c r="AE9" s="1">
        <v>6.0000000000000001E-3</v>
      </c>
      <c r="AF9" s="1">
        <v>0.01</v>
      </c>
      <c r="AG9" s="1">
        <v>1E-3</v>
      </c>
      <c r="AH9" s="1">
        <v>1.9E-2</v>
      </c>
      <c r="AI9" s="1">
        <v>2E-3</v>
      </c>
      <c r="AJ9" s="1">
        <v>3.0000000000000001E-3</v>
      </c>
      <c r="AK9" s="1">
        <v>4.9000000000000002E-2</v>
      </c>
      <c r="AL9" s="1">
        <v>1E-3</v>
      </c>
      <c r="AM9" s="1">
        <v>3.0000000000000001E-3</v>
      </c>
      <c r="AN9" s="1">
        <v>4.0000000000000001E-3</v>
      </c>
      <c r="AO9" s="1">
        <v>1.0999999999999999E-2</v>
      </c>
      <c r="AP9" s="1">
        <v>5.0000000000000001E-3</v>
      </c>
      <c r="AQ9" s="1">
        <v>4.0000000000000001E-3</v>
      </c>
      <c r="AR9" s="1">
        <v>3.0000000000000001E-3</v>
      </c>
      <c r="AS9" s="1">
        <v>2.4E-2</v>
      </c>
      <c r="AT9" s="1">
        <v>1.6E-2</v>
      </c>
      <c r="AU9" s="1">
        <v>1.4E-2</v>
      </c>
      <c r="AV9" s="1">
        <v>3.0000000000000001E-3</v>
      </c>
      <c r="AW9" s="1">
        <v>4.9000000000000002E-2</v>
      </c>
      <c r="AX9" s="1">
        <v>4.0000000000000001E-3</v>
      </c>
      <c r="AY9" s="1">
        <v>3.3000000000000002E-2</v>
      </c>
      <c r="AZ9" s="1">
        <v>2.7E-2</v>
      </c>
      <c r="BA9" s="1">
        <v>7.0000000000000007E-2</v>
      </c>
      <c r="BB9" s="1">
        <v>6.0000000000000001E-3</v>
      </c>
      <c r="BC9" s="1">
        <v>3.0000000000000001E-3</v>
      </c>
      <c r="BD9" s="1">
        <v>3.9E-2</v>
      </c>
      <c r="BE9" s="1">
        <v>5.0000000000000001E-3</v>
      </c>
      <c r="BF9" s="1">
        <v>2E-3</v>
      </c>
      <c r="BG9" s="1">
        <v>8.0000000000000002E-3</v>
      </c>
      <c r="BH9" s="1">
        <v>4.0000000000000001E-3</v>
      </c>
      <c r="BI9" s="1">
        <v>5.0000000000000001E-3</v>
      </c>
      <c r="BJ9" s="1">
        <v>2E-3</v>
      </c>
      <c r="BK9" s="1">
        <v>3.0000000000000001E-3</v>
      </c>
      <c r="BL9" s="1">
        <v>2.4E-2</v>
      </c>
      <c r="BM9" s="1">
        <v>7.0000000000000001E-3</v>
      </c>
      <c r="BN9" s="1">
        <v>0.01</v>
      </c>
      <c r="BO9" s="1">
        <v>3.0000000000000001E-3</v>
      </c>
      <c r="BP9" s="1">
        <v>1E-3</v>
      </c>
      <c r="BQ9" s="1">
        <v>2.5999999999999999E-2</v>
      </c>
      <c r="BR9" s="1">
        <v>7.0000000000000001E-3</v>
      </c>
      <c r="BS9" s="1">
        <v>4.0000000000000001E-3</v>
      </c>
      <c r="BT9" s="1">
        <v>6.0000000000000001E-3</v>
      </c>
      <c r="BU9" s="1">
        <v>0.13800000000000001</v>
      </c>
      <c r="BV9" s="1">
        <v>6.0000000000000001E-3</v>
      </c>
      <c r="BW9" s="1">
        <v>1.0999999999999999E-2</v>
      </c>
      <c r="BX9" s="1">
        <v>1.4E-2</v>
      </c>
      <c r="BY9" s="1">
        <v>2.1999999999999999E-2</v>
      </c>
      <c r="BZ9" s="1">
        <v>1.2E-2</v>
      </c>
      <c r="CA9" s="1">
        <v>1.0999999999999999E-2</v>
      </c>
      <c r="CB9" s="1">
        <v>2E-3</v>
      </c>
      <c r="CC9" s="1">
        <v>7.0000000000000001E-3</v>
      </c>
      <c r="CD9" s="1">
        <v>2E-3</v>
      </c>
      <c r="CE9" s="1">
        <v>5.0000000000000001E-3</v>
      </c>
      <c r="CF9" s="1">
        <v>1.6E-2</v>
      </c>
      <c r="CG9" s="1">
        <v>1.4999999999999999E-2</v>
      </c>
      <c r="CH9" s="1">
        <v>3.5999999999999997E-2</v>
      </c>
      <c r="CI9" s="1">
        <v>1.4999999999999999E-2</v>
      </c>
      <c r="CJ9" s="1">
        <v>4.2999999999999997E-2</v>
      </c>
      <c r="CK9" s="1">
        <v>4.2000000000000003E-2</v>
      </c>
      <c r="CL9" s="1">
        <v>2.8000000000000001E-2</v>
      </c>
      <c r="CM9" s="1">
        <v>-62.912296490000003</v>
      </c>
      <c r="CN9" s="83">
        <v>8.1470589350000004</v>
      </c>
    </row>
    <row r="10" spans="1:92" s="3" customFormat="1" x14ac:dyDescent="0.25">
      <c r="A10" s="72">
        <v>7</v>
      </c>
      <c r="B10" s="81" t="s">
        <v>1000</v>
      </c>
      <c r="C10" s="1" t="s">
        <v>72</v>
      </c>
      <c r="D10" s="1" t="s">
        <v>79</v>
      </c>
      <c r="E10" s="1" t="s">
        <v>99</v>
      </c>
      <c r="F10" s="1" t="s">
        <v>93</v>
      </c>
      <c r="G10" s="1" t="s">
        <v>80</v>
      </c>
      <c r="H10" s="1" t="s">
        <v>34</v>
      </c>
      <c r="I10" s="1"/>
      <c r="J10" s="9" t="s">
        <v>544</v>
      </c>
      <c r="K10" s="10">
        <v>0.40982049999999998</v>
      </c>
      <c r="L10" s="1" t="s">
        <v>641</v>
      </c>
      <c r="M10" s="1" t="s">
        <v>76</v>
      </c>
      <c r="N10" s="1" t="s">
        <v>644</v>
      </c>
      <c r="O10" s="1" t="s">
        <v>33</v>
      </c>
      <c r="P10" s="82">
        <v>0.24</v>
      </c>
      <c r="Q10" s="1" t="s">
        <v>76</v>
      </c>
      <c r="R10" s="81" t="s">
        <v>100</v>
      </c>
      <c r="S10" s="1" t="s">
        <v>76</v>
      </c>
      <c r="T10" s="1" t="s">
        <v>78</v>
      </c>
      <c r="U10" s="1" t="s">
        <v>658</v>
      </c>
      <c r="V10" s="1" t="s">
        <v>655</v>
      </c>
      <c r="W10" s="1">
        <v>19</v>
      </c>
      <c r="X10" s="1" t="s">
        <v>101</v>
      </c>
      <c r="Y10" s="1" t="s">
        <v>644</v>
      </c>
      <c r="Z10" s="1">
        <v>1E-3</v>
      </c>
      <c r="AA10" s="1">
        <v>5.0000000000000001E-3</v>
      </c>
      <c r="AB10" s="1">
        <v>6.0000000000000001E-3</v>
      </c>
      <c r="AC10" s="1">
        <v>2.5000000000000001E-2</v>
      </c>
      <c r="AD10" s="1">
        <v>4.0000000000000001E-3</v>
      </c>
      <c r="AE10" s="1">
        <v>1.0999999999999999E-2</v>
      </c>
      <c r="AF10" s="1">
        <v>6.0000000000000001E-3</v>
      </c>
      <c r="AG10" s="1">
        <v>1E-3</v>
      </c>
      <c r="AH10" s="1">
        <v>1.4E-2</v>
      </c>
      <c r="AI10" s="1">
        <v>1E-3</v>
      </c>
      <c r="AJ10" s="1">
        <v>6.0000000000000001E-3</v>
      </c>
      <c r="AK10" s="1">
        <v>4.8000000000000001E-2</v>
      </c>
      <c r="AL10" s="1">
        <v>1E-3</v>
      </c>
      <c r="AM10" s="1">
        <v>3.0000000000000001E-3</v>
      </c>
      <c r="AN10" s="1">
        <v>4.0000000000000001E-3</v>
      </c>
      <c r="AO10" s="1">
        <v>6.0000000000000001E-3</v>
      </c>
      <c r="AP10" s="1">
        <v>4.0000000000000001E-3</v>
      </c>
      <c r="AQ10" s="1">
        <v>3.0000000000000001E-3</v>
      </c>
      <c r="AR10" s="1">
        <v>4.0000000000000001E-3</v>
      </c>
      <c r="AS10" s="1">
        <v>1.7000000000000001E-2</v>
      </c>
      <c r="AT10" s="1">
        <v>8.9999999999999993E-3</v>
      </c>
      <c r="AU10" s="1">
        <v>1.2E-2</v>
      </c>
      <c r="AV10" s="1">
        <v>2E-3</v>
      </c>
      <c r="AW10" s="1">
        <v>6.0000000000000001E-3</v>
      </c>
      <c r="AX10" s="1">
        <v>3.0000000000000001E-3</v>
      </c>
      <c r="AY10" s="1">
        <v>7.0000000000000001E-3</v>
      </c>
      <c r="AZ10" s="1">
        <v>0.01</v>
      </c>
      <c r="BA10" s="1">
        <v>0.02</v>
      </c>
      <c r="BB10" s="1">
        <v>0.24</v>
      </c>
      <c r="BC10" s="1">
        <v>3.0000000000000001E-3</v>
      </c>
      <c r="BD10" s="1">
        <v>2.1999999999999999E-2</v>
      </c>
      <c r="BE10" s="1">
        <v>3.0000000000000001E-3</v>
      </c>
      <c r="BF10" s="1">
        <v>1E-3</v>
      </c>
      <c r="BG10" s="1">
        <v>5.0000000000000001E-3</v>
      </c>
      <c r="BH10" s="1">
        <v>3.0000000000000001E-3</v>
      </c>
      <c r="BI10" s="1">
        <v>3.0000000000000001E-3</v>
      </c>
      <c r="BJ10" s="1">
        <v>1E-3</v>
      </c>
      <c r="BK10" s="1">
        <v>3.0000000000000001E-3</v>
      </c>
      <c r="BL10" s="1">
        <v>8.0000000000000002E-3</v>
      </c>
      <c r="BM10" s="1">
        <v>3.0000000000000001E-3</v>
      </c>
      <c r="BN10" s="1">
        <v>7.0000000000000001E-3</v>
      </c>
      <c r="BO10" s="1">
        <v>1.2999999999999999E-2</v>
      </c>
      <c r="BP10" s="1">
        <v>1E-3</v>
      </c>
      <c r="BQ10" s="1">
        <v>1.0999999999999999E-2</v>
      </c>
      <c r="BR10" s="1">
        <v>4.0000000000000001E-3</v>
      </c>
      <c r="BS10" s="1">
        <v>4.0000000000000001E-3</v>
      </c>
      <c r="BT10" s="1">
        <v>4.0000000000000001E-3</v>
      </c>
      <c r="BU10" s="1">
        <v>0.05</v>
      </c>
      <c r="BV10" s="1">
        <v>7.0999999999999994E-2</v>
      </c>
      <c r="BW10" s="1">
        <v>6.0000000000000001E-3</v>
      </c>
      <c r="BX10" s="1">
        <v>0.14199999999999999</v>
      </c>
      <c r="BY10" s="1">
        <v>1.2999999999999999E-2</v>
      </c>
      <c r="BZ10" s="1">
        <v>7.0000000000000001E-3</v>
      </c>
      <c r="CA10" s="1">
        <v>5.0000000000000001E-3</v>
      </c>
      <c r="CB10" s="1">
        <v>2E-3</v>
      </c>
      <c r="CC10" s="1">
        <v>4.0000000000000001E-3</v>
      </c>
      <c r="CD10" s="1">
        <v>1E-3</v>
      </c>
      <c r="CE10" s="1">
        <v>3.0000000000000001E-3</v>
      </c>
      <c r="CF10" s="1">
        <v>3.0000000000000001E-3</v>
      </c>
      <c r="CG10" s="1">
        <v>6.0000000000000001E-3</v>
      </c>
      <c r="CH10" s="1">
        <v>0.01</v>
      </c>
      <c r="CI10" s="1">
        <v>0.01</v>
      </c>
      <c r="CJ10" s="1">
        <v>1.0999999999999999E-2</v>
      </c>
      <c r="CK10" s="1">
        <v>7.4999999999999997E-2</v>
      </c>
      <c r="CL10" s="1">
        <v>8.0000000000000002E-3</v>
      </c>
      <c r="CM10" s="1">
        <v>-7.8744277050000004</v>
      </c>
      <c r="CN10" s="83">
        <v>122.639427</v>
      </c>
    </row>
    <row r="11" spans="1:92" s="3" customFormat="1" x14ac:dyDescent="0.25">
      <c r="A11" s="72">
        <v>8</v>
      </c>
      <c r="B11" s="81" t="s">
        <v>907</v>
      </c>
      <c r="C11" s="1" t="s">
        <v>72</v>
      </c>
      <c r="D11" s="1" t="s">
        <v>79</v>
      </c>
      <c r="E11" s="1" t="s">
        <v>74</v>
      </c>
      <c r="F11" s="1" t="s">
        <v>93</v>
      </c>
      <c r="G11" s="1" t="s">
        <v>80</v>
      </c>
      <c r="H11" s="1" t="s">
        <v>34</v>
      </c>
      <c r="I11" s="1"/>
      <c r="J11" s="9" t="s">
        <v>544</v>
      </c>
      <c r="K11" s="10">
        <v>0.47533833333333397</v>
      </c>
      <c r="L11" s="1" t="s">
        <v>76</v>
      </c>
      <c r="M11" s="1" t="s">
        <v>506</v>
      </c>
      <c r="N11" s="1" t="s">
        <v>645</v>
      </c>
      <c r="O11" s="1" t="s">
        <v>34</v>
      </c>
      <c r="P11" s="82">
        <v>0.995</v>
      </c>
      <c r="Q11" s="1" t="s">
        <v>76</v>
      </c>
      <c r="R11" s="81" t="s">
        <v>104</v>
      </c>
      <c r="S11" s="1">
        <v>1</v>
      </c>
      <c r="T11" s="1" t="s">
        <v>78</v>
      </c>
      <c r="U11" s="1" t="s">
        <v>658</v>
      </c>
      <c r="V11" s="1" t="s">
        <v>655</v>
      </c>
      <c r="W11" s="1">
        <v>18</v>
      </c>
      <c r="X11" s="1" t="s">
        <v>76</v>
      </c>
      <c r="Y11" s="1" t="s">
        <v>645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3.0000000000000001E-3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0.995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1E-3</v>
      </c>
      <c r="CL11" s="1">
        <v>0</v>
      </c>
      <c r="CM11" s="1">
        <v>51.903020439999999</v>
      </c>
      <c r="CN11" s="83">
        <v>92.426801670000003</v>
      </c>
    </row>
    <row r="12" spans="1:92" s="3" customFormat="1" x14ac:dyDescent="0.25">
      <c r="A12" s="72">
        <v>9</v>
      </c>
      <c r="B12" s="81" t="s">
        <v>883</v>
      </c>
      <c r="C12" s="1" t="s">
        <v>72</v>
      </c>
      <c r="D12" s="1" t="s">
        <v>79</v>
      </c>
      <c r="E12" s="1" t="s">
        <v>74</v>
      </c>
      <c r="F12" s="1" t="s">
        <v>105</v>
      </c>
      <c r="G12" s="1" t="s">
        <v>106</v>
      </c>
      <c r="H12" s="1" t="s">
        <v>33</v>
      </c>
      <c r="I12" s="1"/>
      <c r="J12" s="9" t="s">
        <v>544</v>
      </c>
      <c r="K12" s="10">
        <v>0.38887850000000002</v>
      </c>
      <c r="L12" s="1" t="s">
        <v>549</v>
      </c>
      <c r="M12" s="1" t="s">
        <v>76</v>
      </c>
      <c r="N12" s="1" t="s">
        <v>644</v>
      </c>
      <c r="O12" s="1" t="s">
        <v>55</v>
      </c>
      <c r="P12" s="82">
        <v>0.13400000000000001</v>
      </c>
      <c r="Q12" s="1" t="s">
        <v>76</v>
      </c>
      <c r="R12" s="81" t="s">
        <v>87</v>
      </c>
      <c r="S12" s="1" t="s">
        <v>76</v>
      </c>
      <c r="T12" s="1" t="s">
        <v>78</v>
      </c>
      <c r="U12" s="1" t="s">
        <v>658</v>
      </c>
      <c r="V12" s="1" t="s">
        <v>655</v>
      </c>
      <c r="W12" s="1">
        <v>17</v>
      </c>
      <c r="X12" s="1" t="s">
        <v>107</v>
      </c>
      <c r="Y12" s="1" t="s">
        <v>644</v>
      </c>
      <c r="Z12" s="1">
        <v>0.01</v>
      </c>
      <c r="AA12" s="1">
        <v>7.0000000000000001E-3</v>
      </c>
      <c r="AB12" s="1">
        <v>7.0000000000000001E-3</v>
      </c>
      <c r="AC12" s="1">
        <v>6.3E-2</v>
      </c>
      <c r="AD12" s="1">
        <v>8.0000000000000002E-3</v>
      </c>
      <c r="AE12" s="1">
        <v>1.2E-2</v>
      </c>
      <c r="AF12" s="1">
        <v>7.0000000000000001E-3</v>
      </c>
      <c r="AG12" s="1">
        <v>1E-3</v>
      </c>
      <c r="AH12" s="1">
        <v>0.04</v>
      </c>
      <c r="AI12" s="1">
        <v>6.0000000000000001E-3</v>
      </c>
      <c r="AJ12" s="1">
        <v>0.01</v>
      </c>
      <c r="AK12" s="1">
        <v>0.02</v>
      </c>
      <c r="AL12" s="1">
        <v>1E-3</v>
      </c>
      <c r="AM12" s="1">
        <v>5.0000000000000001E-3</v>
      </c>
      <c r="AN12" s="1">
        <v>3.5000000000000003E-2</v>
      </c>
      <c r="AO12" s="1">
        <v>6.0000000000000001E-3</v>
      </c>
      <c r="AP12" s="1">
        <v>7.0000000000000001E-3</v>
      </c>
      <c r="AQ12" s="1">
        <v>4.0000000000000001E-3</v>
      </c>
      <c r="AR12" s="1">
        <v>4.0000000000000001E-3</v>
      </c>
      <c r="AS12" s="1">
        <v>2.1000000000000001E-2</v>
      </c>
      <c r="AT12" s="1">
        <v>0.01</v>
      </c>
      <c r="AU12" s="1">
        <v>7.0000000000000001E-3</v>
      </c>
      <c r="AV12" s="1">
        <v>5.0000000000000001E-3</v>
      </c>
      <c r="AW12" s="1">
        <v>7.0000000000000001E-3</v>
      </c>
      <c r="AX12" s="1">
        <v>5.0000000000000001E-3</v>
      </c>
      <c r="AY12" s="1">
        <v>1.2E-2</v>
      </c>
      <c r="AZ12" s="1">
        <v>1.2999999999999999E-2</v>
      </c>
      <c r="BA12" s="1">
        <v>2.8000000000000001E-2</v>
      </c>
      <c r="BB12" s="1">
        <v>8.8999999999999996E-2</v>
      </c>
      <c r="BC12" s="1">
        <v>4.0000000000000001E-3</v>
      </c>
      <c r="BD12" s="1">
        <v>4.7E-2</v>
      </c>
      <c r="BE12" s="1">
        <v>6.0000000000000001E-3</v>
      </c>
      <c r="BF12" s="1">
        <v>0.02</v>
      </c>
      <c r="BG12" s="1">
        <v>3.0000000000000001E-3</v>
      </c>
      <c r="BH12" s="1">
        <v>1.7999999999999999E-2</v>
      </c>
      <c r="BI12" s="1">
        <v>3.0000000000000001E-3</v>
      </c>
      <c r="BJ12" s="1">
        <v>2E-3</v>
      </c>
      <c r="BK12" s="1">
        <v>3.0000000000000001E-3</v>
      </c>
      <c r="BL12" s="1">
        <v>0.01</v>
      </c>
      <c r="BM12" s="1">
        <v>5.0000000000000001E-3</v>
      </c>
      <c r="BN12" s="1">
        <v>0.01</v>
      </c>
      <c r="BO12" s="1">
        <v>6.0000000000000001E-3</v>
      </c>
      <c r="BP12" s="1">
        <v>2E-3</v>
      </c>
      <c r="BQ12" s="1">
        <v>1.4E-2</v>
      </c>
      <c r="BR12" s="1">
        <v>8.0000000000000002E-3</v>
      </c>
      <c r="BS12" s="1">
        <v>6.0000000000000001E-3</v>
      </c>
      <c r="BT12" s="1">
        <v>4.0000000000000001E-3</v>
      </c>
      <c r="BU12" s="1">
        <v>4.7E-2</v>
      </c>
      <c r="BV12" s="1">
        <v>0.01</v>
      </c>
      <c r="BW12" s="1">
        <v>7.0000000000000001E-3</v>
      </c>
      <c r="BX12" s="1">
        <v>0.13400000000000001</v>
      </c>
      <c r="BY12" s="1">
        <v>0.02</v>
      </c>
      <c r="BZ12" s="1">
        <v>1.0999999999999999E-2</v>
      </c>
      <c r="CA12" s="1">
        <v>7.0000000000000001E-3</v>
      </c>
      <c r="CB12" s="1">
        <v>3.0000000000000001E-3</v>
      </c>
      <c r="CC12" s="1">
        <v>8.0000000000000002E-3</v>
      </c>
      <c r="CD12" s="1">
        <v>1E-3</v>
      </c>
      <c r="CE12" s="1">
        <v>7.0000000000000001E-3</v>
      </c>
      <c r="CF12" s="1">
        <v>7.0000000000000001E-3</v>
      </c>
      <c r="CG12" s="1">
        <v>1.0999999999999999E-2</v>
      </c>
      <c r="CH12" s="1">
        <v>1.0999999999999999E-2</v>
      </c>
      <c r="CI12" s="1">
        <v>1.2999999999999999E-2</v>
      </c>
      <c r="CJ12" s="1">
        <v>1.7000000000000001E-2</v>
      </c>
      <c r="CK12" s="1">
        <v>5.0999999999999997E-2</v>
      </c>
      <c r="CL12" s="1">
        <v>1.6E-2</v>
      </c>
      <c r="CM12" s="1">
        <v>16.790585549999999</v>
      </c>
      <c r="CN12" s="83">
        <v>124.6755931</v>
      </c>
    </row>
    <row r="13" spans="1:92" s="3" customFormat="1" x14ac:dyDescent="0.25">
      <c r="A13" s="72">
        <v>10</v>
      </c>
      <c r="B13" s="81" t="s">
        <v>1301</v>
      </c>
      <c r="C13" s="1" t="s">
        <v>72</v>
      </c>
      <c r="D13" s="1" t="s">
        <v>79</v>
      </c>
      <c r="E13" s="1" t="s">
        <v>74</v>
      </c>
      <c r="F13" s="1" t="s">
        <v>108</v>
      </c>
      <c r="G13" s="1" t="s">
        <v>80</v>
      </c>
      <c r="H13" s="1" t="s">
        <v>10</v>
      </c>
      <c r="I13" s="1"/>
      <c r="J13" s="9" t="s">
        <v>544</v>
      </c>
      <c r="K13" s="10">
        <v>0.34870533333333398</v>
      </c>
      <c r="L13" s="1" t="s">
        <v>509</v>
      </c>
      <c r="M13" s="1" t="s">
        <v>76</v>
      </c>
      <c r="N13" s="1" t="s">
        <v>644</v>
      </c>
      <c r="O13" s="1" t="s">
        <v>19</v>
      </c>
      <c r="P13" s="82">
        <v>0.63400000000000001</v>
      </c>
      <c r="Q13" s="1" t="s">
        <v>76</v>
      </c>
      <c r="R13" s="81" t="s">
        <v>81</v>
      </c>
      <c r="S13" s="1" t="s">
        <v>76</v>
      </c>
      <c r="T13" s="1" t="s">
        <v>78</v>
      </c>
      <c r="U13" s="1" t="s">
        <v>658</v>
      </c>
      <c r="V13" s="1" t="s">
        <v>655</v>
      </c>
      <c r="W13" s="1">
        <v>15</v>
      </c>
      <c r="X13" s="1" t="s">
        <v>109</v>
      </c>
      <c r="Y13" s="1" t="s">
        <v>644</v>
      </c>
      <c r="Z13" s="1">
        <v>1.4E-2</v>
      </c>
      <c r="AA13" s="1">
        <v>2E-3</v>
      </c>
      <c r="AB13" s="1">
        <v>2E-3</v>
      </c>
      <c r="AC13" s="1">
        <v>1.7000000000000001E-2</v>
      </c>
      <c r="AD13" s="1">
        <v>3.0000000000000001E-3</v>
      </c>
      <c r="AE13" s="1">
        <v>1.9E-2</v>
      </c>
      <c r="AF13" s="1">
        <v>2E-3</v>
      </c>
      <c r="AG13" s="1">
        <v>0</v>
      </c>
      <c r="AH13" s="1">
        <v>2.1999999999999999E-2</v>
      </c>
      <c r="AI13" s="1">
        <v>4.0000000000000001E-3</v>
      </c>
      <c r="AJ13" s="1">
        <v>8.0000000000000002E-3</v>
      </c>
      <c r="AK13" s="1">
        <v>0.01</v>
      </c>
      <c r="AL13" s="1">
        <v>0</v>
      </c>
      <c r="AM13" s="1">
        <v>3.0000000000000001E-3</v>
      </c>
      <c r="AN13" s="1">
        <v>0.63400000000000001</v>
      </c>
      <c r="AO13" s="1">
        <v>1E-3</v>
      </c>
      <c r="AP13" s="1">
        <v>2E-3</v>
      </c>
      <c r="AQ13" s="1">
        <v>1E-3</v>
      </c>
      <c r="AR13" s="1">
        <v>2E-3</v>
      </c>
      <c r="AS13" s="1">
        <v>4.0000000000000001E-3</v>
      </c>
      <c r="AT13" s="1">
        <v>2E-3</v>
      </c>
      <c r="AU13" s="1">
        <v>2E-3</v>
      </c>
      <c r="AV13" s="1">
        <v>2E-3</v>
      </c>
      <c r="AW13" s="1">
        <v>2E-3</v>
      </c>
      <c r="AX13" s="1">
        <v>1E-3</v>
      </c>
      <c r="AY13" s="1">
        <v>3.0000000000000001E-3</v>
      </c>
      <c r="AZ13" s="1">
        <v>5.0000000000000001E-3</v>
      </c>
      <c r="BA13" s="1">
        <v>8.9999999999999993E-3</v>
      </c>
      <c r="BB13" s="1">
        <v>2E-3</v>
      </c>
      <c r="BC13" s="1">
        <v>1E-3</v>
      </c>
      <c r="BD13" s="1">
        <v>1.2999999999999999E-2</v>
      </c>
      <c r="BE13" s="1">
        <v>2E-3</v>
      </c>
      <c r="BF13" s="1">
        <v>5.8999999999999997E-2</v>
      </c>
      <c r="BG13" s="1">
        <v>0</v>
      </c>
      <c r="BH13" s="1">
        <v>5.0000000000000001E-3</v>
      </c>
      <c r="BI13" s="1">
        <v>1E-3</v>
      </c>
      <c r="BJ13" s="1">
        <v>1E-3</v>
      </c>
      <c r="BK13" s="1">
        <v>1E-3</v>
      </c>
      <c r="BL13" s="1">
        <v>2E-3</v>
      </c>
      <c r="BM13" s="1">
        <v>1E-3</v>
      </c>
      <c r="BN13" s="1">
        <v>2E-3</v>
      </c>
      <c r="BO13" s="1">
        <v>1E-3</v>
      </c>
      <c r="BP13" s="1">
        <v>0</v>
      </c>
      <c r="BQ13" s="1">
        <v>3.0000000000000001E-3</v>
      </c>
      <c r="BR13" s="1">
        <v>2E-3</v>
      </c>
      <c r="BS13" s="1">
        <v>2E-3</v>
      </c>
      <c r="BT13" s="1">
        <v>1E-3</v>
      </c>
      <c r="BU13" s="1">
        <v>4.4999999999999998E-2</v>
      </c>
      <c r="BV13" s="1">
        <v>2E-3</v>
      </c>
      <c r="BW13" s="1">
        <v>2E-3</v>
      </c>
      <c r="BX13" s="1">
        <v>0.02</v>
      </c>
      <c r="BY13" s="1">
        <v>6.0000000000000001E-3</v>
      </c>
      <c r="BZ13" s="1">
        <v>3.0000000000000001E-3</v>
      </c>
      <c r="CA13" s="1">
        <v>3.0000000000000001E-3</v>
      </c>
      <c r="CB13" s="1">
        <v>1E-3</v>
      </c>
      <c r="CC13" s="1">
        <v>2E-3</v>
      </c>
      <c r="CD13" s="1">
        <v>0</v>
      </c>
      <c r="CE13" s="1">
        <v>2E-3</v>
      </c>
      <c r="CF13" s="1">
        <v>2E-3</v>
      </c>
      <c r="CG13" s="1">
        <v>4.0000000000000001E-3</v>
      </c>
      <c r="CH13" s="1">
        <v>3.0000000000000001E-3</v>
      </c>
      <c r="CI13" s="1">
        <v>3.0000000000000001E-3</v>
      </c>
      <c r="CJ13" s="1">
        <v>5.0000000000000001E-3</v>
      </c>
      <c r="CK13" s="1">
        <v>1.4999999999999999E-2</v>
      </c>
      <c r="CL13" s="1">
        <v>4.0000000000000001E-3</v>
      </c>
      <c r="CM13" s="1">
        <v>20.414954389999998</v>
      </c>
      <c r="CN13" s="83">
        <v>123.8556222</v>
      </c>
    </row>
    <row r="14" spans="1:92" s="3" customFormat="1" x14ac:dyDescent="0.25">
      <c r="A14" s="72">
        <v>11</v>
      </c>
      <c r="B14" s="81" t="s">
        <v>1139</v>
      </c>
      <c r="C14" s="1" t="s">
        <v>83</v>
      </c>
      <c r="D14" s="1" t="s">
        <v>79</v>
      </c>
      <c r="E14" s="1" t="s">
        <v>74</v>
      </c>
      <c r="F14" s="1" t="s">
        <v>84</v>
      </c>
      <c r="G14" s="1" t="s">
        <v>86</v>
      </c>
      <c r="H14" s="1" t="s">
        <v>85</v>
      </c>
      <c r="I14" s="1"/>
      <c r="J14" s="9" t="s">
        <v>544</v>
      </c>
      <c r="K14" s="10">
        <v>0.58325133333333301</v>
      </c>
      <c r="L14" s="1" t="s">
        <v>76</v>
      </c>
      <c r="M14" s="1" t="s">
        <v>506</v>
      </c>
      <c r="N14" s="1" t="s">
        <v>645</v>
      </c>
      <c r="O14" s="1" t="s">
        <v>17</v>
      </c>
      <c r="P14" s="82">
        <v>0.99199999999999999</v>
      </c>
      <c r="Q14" s="1" t="s">
        <v>76</v>
      </c>
      <c r="R14" s="81" t="s">
        <v>110</v>
      </c>
      <c r="S14" s="1">
        <v>3</v>
      </c>
      <c r="T14" s="1" t="s">
        <v>78</v>
      </c>
      <c r="U14" s="1" t="s">
        <v>658</v>
      </c>
      <c r="V14" s="1" t="s">
        <v>655</v>
      </c>
      <c r="W14" s="1">
        <v>62</v>
      </c>
      <c r="X14" s="1" t="s">
        <v>88</v>
      </c>
      <c r="Y14" s="1" t="s">
        <v>645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0.99199999999999999</v>
      </c>
      <c r="AM14" s="1">
        <v>8.0000000000000002E-3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3.8663448420000002</v>
      </c>
      <c r="CN14" s="83">
        <v>66.301077449999994</v>
      </c>
    </row>
    <row r="15" spans="1:92" s="3" customFormat="1" x14ac:dyDescent="0.25">
      <c r="A15" s="72">
        <v>12</v>
      </c>
      <c r="B15" s="81" t="s">
        <v>1197</v>
      </c>
      <c r="C15" s="1" t="s">
        <v>72</v>
      </c>
      <c r="D15" s="1" t="s">
        <v>79</v>
      </c>
      <c r="E15" s="1" t="s">
        <v>99</v>
      </c>
      <c r="F15" s="1" t="s">
        <v>144</v>
      </c>
      <c r="G15" s="1" t="s">
        <v>80</v>
      </c>
      <c r="H15" s="1" t="s">
        <v>532</v>
      </c>
      <c r="I15" s="1"/>
      <c r="J15" s="9" t="s">
        <v>506</v>
      </c>
      <c r="K15" s="10">
        <v>0.35247200000000001</v>
      </c>
      <c r="L15" s="1" t="s">
        <v>641</v>
      </c>
      <c r="M15" s="1" t="s">
        <v>76</v>
      </c>
      <c r="N15" s="1" t="s">
        <v>644</v>
      </c>
      <c r="O15" s="1" t="s">
        <v>55</v>
      </c>
      <c r="P15" s="82">
        <v>0.495</v>
      </c>
      <c r="Q15" s="1" t="s">
        <v>76</v>
      </c>
      <c r="R15" s="81" t="s">
        <v>77</v>
      </c>
      <c r="S15" s="1" t="s">
        <v>76</v>
      </c>
      <c r="T15" s="1" t="s">
        <v>78</v>
      </c>
      <c r="U15" s="1" t="s">
        <v>658</v>
      </c>
      <c r="V15" s="1" t="s">
        <v>655</v>
      </c>
      <c r="W15" s="1">
        <v>13</v>
      </c>
      <c r="X15" s="1" t="s">
        <v>111</v>
      </c>
      <c r="Y15" s="1" t="s">
        <v>644</v>
      </c>
      <c r="Z15" s="1">
        <v>4.0000000000000001E-3</v>
      </c>
      <c r="AA15" s="1">
        <v>4.0000000000000001E-3</v>
      </c>
      <c r="AB15" s="1">
        <v>4.0000000000000001E-3</v>
      </c>
      <c r="AC15" s="1">
        <v>2.4E-2</v>
      </c>
      <c r="AD15" s="1">
        <v>6.0000000000000001E-3</v>
      </c>
      <c r="AE15" s="1">
        <v>0.01</v>
      </c>
      <c r="AF15" s="1">
        <v>4.0000000000000001E-3</v>
      </c>
      <c r="AG15" s="1">
        <v>0</v>
      </c>
      <c r="AH15" s="1">
        <v>1.2E-2</v>
      </c>
      <c r="AI15" s="1">
        <v>2E-3</v>
      </c>
      <c r="AJ15" s="1">
        <v>2.5000000000000001E-2</v>
      </c>
      <c r="AK15" s="1">
        <v>8.0000000000000002E-3</v>
      </c>
      <c r="AL15" s="1">
        <v>0</v>
      </c>
      <c r="AM15" s="1">
        <v>2E-3</v>
      </c>
      <c r="AN15" s="1">
        <v>3.5999999999999997E-2</v>
      </c>
      <c r="AO15" s="1">
        <v>3.0000000000000001E-3</v>
      </c>
      <c r="AP15" s="1">
        <v>3.0000000000000001E-3</v>
      </c>
      <c r="AQ15" s="1">
        <v>2E-3</v>
      </c>
      <c r="AR15" s="1">
        <v>8.0000000000000002E-3</v>
      </c>
      <c r="AS15" s="1">
        <v>8.9999999999999993E-3</v>
      </c>
      <c r="AT15" s="1">
        <v>5.0000000000000001E-3</v>
      </c>
      <c r="AU15" s="1">
        <v>5.0000000000000001E-3</v>
      </c>
      <c r="AV15" s="1">
        <v>3.0000000000000001E-3</v>
      </c>
      <c r="AW15" s="1">
        <v>5.0000000000000001E-3</v>
      </c>
      <c r="AX15" s="1">
        <v>3.0000000000000001E-3</v>
      </c>
      <c r="AY15" s="1">
        <v>6.0000000000000001E-3</v>
      </c>
      <c r="AZ15" s="1">
        <v>8.0000000000000002E-3</v>
      </c>
      <c r="BA15" s="1">
        <v>1.2E-2</v>
      </c>
      <c r="BB15" s="1">
        <v>1.4999999999999999E-2</v>
      </c>
      <c r="BC15" s="1">
        <v>2E-3</v>
      </c>
      <c r="BD15" s="1">
        <v>1.6E-2</v>
      </c>
      <c r="BE15" s="1">
        <v>3.0000000000000001E-3</v>
      </c>
      <c r="BF15" s="1">
        <v>4.1000000000000002E-2</v>
      </c>
      <c r="BG15" s="1">
        <v>1E-3</v>
      </c>
      <c r="BH15" s="1">
        <v>7.0000000000000001E-3</v>
      </c>
      <c r="BI15" s="1">
        <v>2E-3</v>
      </c>
      <c r="BJ15" s="1">
        <v>1E-3</v>
      </c>
      <c r="BK15" s="1">
        <v>2E-3</v>
      </c>
      <c r="BL15" s="1">
        <v>5.0000000000000001E-3</v>
      </c>
      <c r="BM15" s="1">
        <v>3.0000000000000001E-3</v>
      </c>
      <c r="BN15" s="1">
        <v>4.0000000000000001E-3</v>
      </c>
      <c r="BO15" s="1">
        <v>2.4E-2</v>
      </c>
      <c r="BP15" s="1">
        <v>1E-3</v>
      </c>
      <c r="BQ15" s="1">
        <v>6.0000000000000001E-3</v>
      </c>
      <c r="BR15" s="1">
        <v>3.0000000000000001E-3</v>
      </c>
      <c r="BS15" s="1">
        <v>7.0000000000000001E-3</v>
      </c>
      <c r="BT15" s="1">
        <v>2E-3</v>
      </c>
      <c r="BU15" s="1">
        <v>1.0999999999999999E-2</v>
      </c>
      <c r="BV15" s="1">
        <v>1.2999999999999999E-2</v>
      </c>
      <c r="BW15" s="1">
        <v>4.0000000000000001E-3</v>
      </c>
      <c r="BX15" s="1">
        <v>0.495</v>
      </c>
      <c r="BY15" s="1">
        <v>8.9999999999999993E-3</v>
      </c>
      <c r="BZ15" s="1">
        <v>6.0000000000000001E-3</v>
      </c>
      <c r="CA15" s="1">
        <v>4.0000000000000001E-3</v>
      </c>
      <c r="CB15" s="1">
        <v>1E-3</v>
      </c>
      <c r="CC15" s="1">
        <v>3.0000000000000001E-3</v>
      </c>
      <c r="CD15" s="1">
        <v>0</v>
      </c>
      <c r="CE15" s="1">
        <v>3.0000000000000001E-3</v>
      </c>
      <c r="CF15" s="1">
        <v>3.0000000000000001E-3</v>
      </c>
      <c r="CG15" s="1">
        <v>5.0000000000000001E-3</v>
      </c>
      <c r="CH15" s="1">
        <v>6.0000000000000001E-3</v>
      </c>
      <c r="CI15" s="1">
        <v>6.0000000000000001E-3</v>
      </c>
      <c r="CJ15" s="1">
        <v>6.0000000000000001E-3</v>
      </c>
      <c r="CK15" s="1">
        <v>0.06</v>
      </c>
      <c r="CL15" s="1">
        <v>6.0000000000000001E-3</v>
      </c>
      <c r="CM15" s="1">
        <v>7.7800060860000002</v>
      </c>
      <c r="CN15" s="83">
        <v>127.22610330000001</v>
      </c>
    </row>
    <row r="16" spans="1:92" s="3" customFormat="1" x14ac:dyDescent="0.25">
      <c r="A16" s="72">
        <v>13</v>
      </c>
      <c r="B16" s="81" t="s">
        <v>1330</v>
      </c>
      <c r="C16" s="1" t="s">
        <v>72</v>
      </c>
      <c r="D16" s="1" t="s">
        <v>79</v>
      </c>
      <c r="E16" s="1" t="s">
        <v>99</v>
      </c>
      <c r="F16" s="1" t="s">
        <v>102</v>
      </c>
      <c r="G16" s="1" t="s">
        <v>80</v>
      </c>
      <c r="H16" s="1" t="s">
        <v>53</v>
      </c>
      <c r="I16" s="1"/>
      <c r="J16" s="9" t="s">
        <v>544</v>
      </c>
      <c r="K16" s="10">
        <v>0.43294850000000001</v>
      </c>
      <c r="L16" s="1" t="s">
        <v>76</v>
      </c>
      <c r="M16" s="1" t="s">
        <v>506</v>
      </c>
      <c r="N16" s="1" t="s">
        <v>645</v>
      </c>
      <c r="O16" s="1" t="s">
        <v>53</v>
      </c>
      <c r="P16" s="82">
        <v>0.98399999999999999</v>
      </c>
      <c r="Q16" s="1" t="s">
        <v>76</v>
      </c>
      <c r="R16" s="81" t="s">
        <v>91</v>
      </c>
      <c r="S16" s="1" t="s">
        <v>76</v>
      </c>
      <c r="T16" s="1" t="s">
        <v>78</v>
      </c>
      <c r="U16" s="1" t="s">
        <v>658</v>
      </c>
      <c r="V16" s="1" t="s">
        <v>655</v>
      </c>
      <c r="W16" s="1">
        <v>19</v>
      </c>
      <c r="X16" s="1" t="s">
        <v>76</v>
      </c>
      <c r="Y16" s="1" t="s">
        <v>645</v>
      </c>
      <c r="Z16" s="1">
        <v>0</v>
      </c>
      <c r="AA16" s="1">
        <v>0</v>
      </c>
      <c r="AB16" s="1">
        <v>0</v>
      </c>
      <c r="AC16" s="1">
        <v>1E-3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1E-3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2E-3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0.98399999999999999</v>
      </c>
      <c r="BW16" s="1">
        <v>0</v>
      </c>
      <c r="BX16" s="1">
        <v>3.0000000000000001E-3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5.0000000000000001E-3</v>
      </c>
      <c r="CL16" s="1">
        <v>0</v>
      </c>
      <c r="CM16" s="1">
        <v>-11.231547300000001</v>
      </c>
      <c r="CN16" s="83">
        <v>130.24701759999999</v>
      </c>
    </row>
    <row r="17" spans="1:92" s="3" customFormat="1" x14ac:dyDescent="0.25">
      <c r="A17" s="72">
        <v>14</v>
      </c>
      <c r="B17" s="81" t="s">
        <v>896</v>
      </c>
      <c r="C17" s="1" t="s">
        <v>72</v>
      </c>
      <c r="D17" s="1" t="s">
        <v>79</v>
      </c>
      <c r="E17" s="1" t="s">
        <v>99</v>
      </c>
      <c r="F17" s="1" t="s">
        <v>112</v>
      </c>
      <c r="G17" s="1" t="s">
        <v>80</v>
      </c>
      <c r="H17" s="1" t="s">
        <v>112</v>
      </c>
      <c r="I17" s="1"/>
      <c r="J17" s="9" t="s">
        <v>506</v>
      </c>
      <c r="K17" s="10">
        <v>0.38882933333333403</v>
      </c>
      <c r="L17" s="1" t="s">
        <v>641</v>
      </c>
      <c r="M17" s="1" t="s">
        <v>76</v>
      </c>
      <c r="N17" s="1" t="s">
        <v>644</v>
      </c>
      <c r="O17" s="1" t="s">
        <v>16</v>
      </c>
      <c r="P17" s="82">
        <v>0.13700000000000001</v>
      </c>
      <c r="Q17" s="1" t="s">
        <v>76</v>
      </c>
      <c r="R17" s="81" t="s">
        <v>91</v>
      </c>
      <c r="S17" s="1" t="s">
        <v>76</v>
      </c>
      <c r="T17" s="1" t="s">
        <v>78</v>
      </c>
      <c r="U17" s="1" t="s">
        <v>658</v>
      </c>
      <c r="V17" s="1" t="s">
        <v>655</v>
      </c>
      <c r="W17" s="1">
        <v>27</v>
      </c>
      <c r="X17" s="1" t="s">
        <v>76</v>
      </c>
      <c r="Y17" s="1" t="s">
        <v>644</v>
      </c>
      <c r="Z17" s="1">
        <v>7.0000000000000001E-3</v>
      </c>
      <c r="AA17" s="1">
        <v>5.0000000000000001E-3</v>
      </c>
      <c r="AB17" s="1">
        <v>1.2E-2</v>
      </c>
      <c r="AC17" s="1">
        <v>8.9999999999999993E-3</v>
      </c>
      <c r="AD17" s="1">
        <v>7.0000000000000001E-3</v>
      </c>
      <c r="AE17" s="1">
        <v>1.4E-2</v>
      </c>
      <c r="AF17" s="1">
        <v>1.2E-2</v>
      </c>
      <c r="AG17" s="1">
        <v>1E-3</v>
      </c>
      <c r="AH17" s="1">
        <v>2.5999999999999999E-2</v>
      </c>
      <c r="AI17" s="1">
        <v>2E-3</v>
      </c>
      <c r="AJ17" s="1">
        <v>3.9E-2</v>
      </c>
      <c r="AK17" s="1">
        <v>0.13700000000000001</v>
      </c>
      <c r="AL17" s="1">
        <v>4.0000000000000001E-3</v>
      </c>
      <c r="AM17" s="1">
        <v>1.4E-2</v>
      </c>
      <c r="AN17" s="1">
        <v>7.1999999999999995E-2</v>
      </c>
      <c r="AO17" s="1">
        <v>4.0000000000000001E-3</v>
      </c>
      <c r="AP17" s="1">
        <v>3.0000000000000001E-3</v>
      </c>
      <c r="AQ17" s="1">
        <v>4.0000000000000001E-3</v>
      </c>
      <c r="AR17" s="1">
        <v>9.6000000000000002E-2</v>
      </c>
      <c r="AS17" s="1">
        <v>1.2999999999999999E-2</v>
      </c>
      <c r="AT17" s="1">
        <v>6.0000000000000001E-3</v>
      </c>
      <c r="AU17" s="1">
        <v>8.9999999999999993E-3</v>
      </c>
      <c r="AV17" s="1">
        <v>4.0000000000000001E-3</v>
      </c>
      <c r="AW17" s="1">
        <v>8.9999999999999993E-3</v>
      </c>
      <c r="AX17" s="1">
        <v>8.0000000000000002E-3</v>
      </c>
      <c r="AY17" s="1">
        <v>7.0000000000000001E-3</v>
      </c>
      <c r="AZ17" s="1">
        <v>1.7000000000000001E-2</v>
      </c>
      <c r="BA17" s="1">
        <v>2.1000000000000001E-2</v>
      </c>
      <c r="BB17" s="1">
        <v>0.01</v>
      </c>
      <c r="BC17" s="1">
        <v>3.0000000000000001E-3</v>
      </c>
      <c r="BD17" s="1">
        <v>2.3E-2</v>
      </c>
      <c r="BE17" s="1">
        <v>3.0000000000000001E-3</v>
      </c>
      <c r="BF17" s="1">
        <v>3.0000000000000001E-3</v>
      </c>
      <c r="BG17" s="1">
        <v>2E-3</v>
      </c>
      <c r="BH17" s="1">
        <v>3.0000000000000001E-3</v>
      </c>
      <c r="BI17" s="1">
        <v>3.0000000000000001E-3</v>
      </c>
      <c r="BJ17" s="1">
        <v>2E-3</v>
      </c>
      <c r="BK17" s="1">
        <v>3.0000000000000001E-3</v>
      </c>
      <c r="BL17" s="1">
        <v>6.0000000000000001E-3</v>
      </c>
      <c r="BM17" s="1">
        <v>3.0000000000000001E-3</v>
      </c>
      <c r="BN17" s="1">
        <v>5.0000000000000001E-3</v>
      </c>
      <c r="BO17" s="1">
        <v>1.0999999999999999E-2</v>
      </c>
      <c r="BP17" s="1">
        <v>3.0000000000000001E-3</v>
      </c>
      <c r="BQ17" s="1">
        <v>8.9999999999999993E-3</v>
      </c>
      <c r="BR17" s="1">
        <v>4.0000000000000001E-3</v>
      </c>
      <c r="BS17" s="1">
        <v>2.1000000000000001E-2</v>
      </c>
      <c r="BT17" s="1">
        <v>4.0000000000000001E-3</v>
      </c>
      <c r="BU17" s="1">
        <v>8.8999999999999996E-2</v>
      </c>
      <c r="BV17" s="1">
        <v>7.0000000000000001E-3</v>
      </c>
      <c r="BW17" s="1">
        <v>5.0000000000000001E-3</v>
      </c>
      <c r="BX17" s="1">
        <v>2.5000000000000001E-2</v>
      </c>
      <c r="BY17" s="1">
        <v>1.0999999999999999E-2</v>
      </c>
      <c r="BZ17" s="1">
        <v>0.01</v>
      </c>
      <c r="CA17" s="1">
        <v>6.0000000000000001E-3</v>
      </c>
      <c r="CB17" s="1">
        <v>3.0000000000000001E-3</v>
      </c>
      <c r="CC17" s="1">
        <v>5.0000000000000001E-3</v>
      </c>
      <c r="CD17" s="1">
        <v>1E-3</v>
      </c>
      <c r="CE17" s="1">
        <v>4.0000000000000001E-3</v>
      </c>
      <c r="CF17" s="1">
        <v>4.0000000000000001E-3</v>
      </c>
      <c r="CG17" s="1">
        <v>7.0000000000000001E-3</v>
      </c>
      <c r="CH17" s="1">
        <v>8.0000000000000002E-3</v>
      </c>
      <c r="CI17" s="1">
        <v>8.0000000000000002E-3</v>
      </c>
      <c r="CJ17" s="1">
        <v>0.01</v>
      </c>
      <c r="CK17" s="1">
        <v>9.6000000000000002E-2</v>
      </c>
      <c r="CL17" s="1">
        <v>1.9E-2</v>
      </c>
      <c r="CM17" s="1">
        <v>2.87907695</v>
      </c>
      <c r="CN17" s="83">
        <v>122.9811809</v>
      </c>
    </row>
    <row r="18" spans="1:92" s="3" customFormat="1" x14ac:dyDescent="0.25">
      <c r="A18" s="72">
        <v>15</v>
      </c>
      <c r="B18" s="81" t="s">
        <v>1132</v>
      </c>
      <c r="C18" s="1" t="s">
        <v>72</v>
      </c>
      <c r="D18" s="1" t="s">
        <v>79</v>
      </c>
      <c r="E18" s="1" t="s">
        <v>74</v>
      </c>
      <c r="F18" s="1" t="s">
        <v>113</v>
      </c>
      <c r="G18" s="1" t="s">
        <v>80</v>
      </c>
      <c r="H18" s="1" t="s">
        <v>530</v>
      </c>
      <c r="I18" s="1"/>
      <c r="J18" s="9" t="s">
        <v>506</v>
      </c>
      <c r="K18" s="10">
        <v>0.384934</v>
      </c>
      <c r="L18" s="1" t="s">
        <v>641</v>
      </c>
      <c r="M18" s="1" t="s">
        <v>76</v>
      </c>
      <c r="N18" s="1" t="s">
        <v>644</v>
      </c>
      <c r="O18" s="1" t="s">
        <v>52</v>
      </c>
      <c r="P18" s="82">
        <v>0.214</v>
      </c>
      <c r="Q18" s="1" t="s">
        <v>76</v>
      </c>
      <c r="R18" s="81" t="s">
        <v>77</v>
      </c>
      <c r="S18" s="1" t="s">
        <v>76</v>
      </c>
      <c r="T18" s="1" t="s">
        <v>78</v>
      </c>
      <c r="U18" s="1" t="s">
        <v>658</v>
      </c>
      <c r="V18" s="1" t="s">
        <v>655</v>
      </c>
      <c r="W18" s="1">
        <v>19</v>
      </c>
      <c r="X18" s="1" t="s">
        <v>76</v>
      </c>
      <c r="Y18" s="1" t="s">
        <v>644</v>
      </c>
      <c r="Z18" s="1">
        <v>7.0000000000000001E-3</v>
      </c>
      <c r="AA18" s="1">
        <v>6.0000000000000001E-3</v>
      </c>
      <c r="AB18" s="1">
        <v>7.0000000000000001E-3</v>
      </c>
      <c r="AC18" s="1">
        <v>0.02</v>
      </c>
      <c r="AD18" s="1">
        <v>8.0000000000000002E-3</v>
      </c>
      <c r="AE18" s="1">
        <v>1.0999999999999999E-2</v>
      </c>
      <c r="AF18" s="1">
        <v>0.01</v>
      </c>
      <c r="AG18" s="1">
        <v>1E-3</v>
      </c>
      <c r="AH18" s="1">
        <v>1.7999999999999999E-2</v>
      </c>
      <c r="AI18" s="1">
        <v>2E-3</v>
      </c>
      <c r="AJ18" s="1">
        <v>1.2999999999999999E-2</v>
      </c>
      <c r="AK18" s="1">
        <v>2.1999999999999999E-2</v>
      </c>
      <c r="AL18" s="1">
        <v>0</v>
      </c>
      <c r="AM18" s="1">
        <v>4.0000000000000001E-3</v>
      </c>
      <c r="AN18" s="1">
        <v>1.9E-2</v>
      </c>
      <c r="AO18" s="1">
        <v>4.0000000000000001E-3</v>
      </c>
      <c r="AP18" s="1">
        <v>4.0000000000000001E-3</v>
      </c>
      <c r="AQ18" s="1">
        <v>3.0000000000000001E-3</v>
      </c>
      <c r="AR18" s="1">
        <v>2.5999999999999999E-2</v>
      </c>
      <c r="AS18" s="1">
        <v>1.6E-2</v>
      </c>
      <c r="AT18" s="1">
        <v>7.0000000000000001E-3</v>
      </c>
      <c r="AU18" s="1">
        <v>1.4999999999999999E-2</v>
      </c>
      <c r="AV18" s="1">
        <v>4.0000000000000001E-3</v>
      </c>
      <c r="AW18" s="1">
        <v>7.0000000000000001E-3</v>
      </c>
      <c r="AX18" s="1">
        <v>6.0000000000000001E-3</v>
      </c>
      <c r="AY18" s="1">
        <v>0.01</v>
      </c>
      <c r="AZ18" s="1">
        <v>1.6E-2</v>
      </c>
      <c r="BA18" s="1">
        <v>2.5999999999999999E-2</v>
      </c>
      <c r="BB18" s="1">
        <v>2.8000000000000001E-2</v>
      </c>
      <c r="BC18" s="1">
        <v>3.0000000000000001E-3</v>
      </c>
      <c r="BD18" s="1">
        <v>2.9000000000000001E-2</v>
      </c>
      <c r="BE18" s="1">
        <v>4.0000000000000001E-3</v>
      </c>
      <c r="BF18" s="1">
        <v>1.2E-2</v>
      </c>
      <c r="BG18" s="1">
        <v>3.0000000000000001E-3</v>
      </c>
      <c r="BH18" s="1">
        <v>5.0000000000000001E-3</v>
      </c>
      <c r="BI18" s="1">
        <v>3.0000000000000001E-3</v>
      </c>
      <c r="BJ18" s="1">
        <v>2E-3</v>
      </c>
      <c r="BK18" s="1">
        <v>3.0000000000000001E-3</v>
      </c>
      <c r="BL18" s="1">
        <v>7.0000000000000001E-3</v>
      </c>
      <c r="BM18" s="1">
        <v>4.0000000000000001E-3</v>
      </c>
      <c r="BN18" s="1">
        <v>7.0000000000000001E-3</v>
      </c>
      <c r="BO18" s="1">
        <v>2.3E-2</v>
      </c>
      <c r="BP18" s="1">
        <v>3.0000000000000001E-3</v>
      </c>
      <c r="BQ18" s="1">
        <v>1.0999999999999999E-2</v>
      </c>
      <c r="BR18" s="1">
        <v>5.0000000000000001E-3</v>
      </c>
      <c r="BS18" s="1">
        <v>0.04</v>
      </c>
      <c r="BT18" s="1">
        <v>5.0000000000000001E-3</v>
      </c>
      <c r="BU18" s="1">
        <v>0.214</v>
      </c>
      <c r="BV18" s="1">
        <v>0.01</v>
      </c>
      <c r="BW18" s="1">
        <v>6.0000000000000001E-3</v>
      </c>
      <c r="BX18" s="1">
        <v>0.10199999999999999</v>
      </c>
      <c r="BY18" s="1">
        <v>1.4999999999999999E-2</v>
      </c>
      <c r="BZ18" s="1">
        <v>0.01</v>
      </c>
      <c r="CA18" s="1">
        <v>7.0000000000000001E-3</v>
      </c>
      <c r="CB18" s="1">
        <v>3.0000000000000001E-3</v>
      </c>
      <c r="CC18" s="1">
        <v>6.0000000000000001E-3</v>
      </c>
      <c r="CD18" s="1">
        <v>1E-3</v>
      </c>
      <c r="CE18" s="1">
        <v>4.0000000000000001E-3</v>
      </c>
      <c r="CF18" s="1">
        <v>4.0000000000000001E-3</v>
      </c>
      <c r="CG18" s="1">
        <v>6.0000000000000001E-3</v>
      </c>
      <c r="CH18" s="1">
        <v>8.9999999999999993E-3</v>
      </c>
      <c r="CI18" s="1">
        <v>1.0999999999999999E-2</v>
      </c>
      <c r="CJ18" s="1">
        <v>1.0999999999999999E-2</v>
      </c>
      <c r="CK18" s="1">
        <v>8.3000000000000004E-2</v>
      </c>
      <c r="CL18" s="1">
        <v>1.2E-2</v>
      </c>
      <c r="CM18" s="1">
        <v>5.9994951419999998</v>
      </c>
      <c r="CN18" s="83">
        <v>127.7684235</v>
      </c>
    </row>
    <row r="19" spans="1:92" s="3" customFormat="1" x14ac:dyDescent="0.25">
      <c r="A19" s="72">
        <v>16</v>
      </c>
      <c r="B19" s="81" t="s">
        <v>982</v>
      </c>
      <c r="C19" s="1" t="s">
        <v>72</v>
      </c>
      <c r="D19" s="1" t="s">
        <v>79</v>
      </c>
      <c r="E19" s="1" t="s">
        <v>74</v>
      </c>
      <c r="F19" s="1" t="s">
        <v>112</v>
      </c>
      <c r="G19" s="1" t="s">
        <v>80</v>
      </c>
      <c r="H19" s="1" t="s">
        <v>112</v>
      </c>
      <c r="I19" s="1"/>
      <c r="J19" s="9" t="s">
        <v>506</v>
      </c>
      <c r="K19" s="10">
        <v>0.470353666666667</v>
      </c>
      <c r="L19" s="1" t="s">
        <v>641</v>
      </c>
      <c r="M19" s="1" t="s">
        <v>76</v>
      </c>
      <c r="N19" s="1" t="s">
        <v>644</v>
      </c>
      <c r="O19" s="1" t="s">
        <v>68</v>
      </c>
      <c r="P19" s="82">
        <v>6.9000000000000006E-2</v>
      </c>
      <c r="Q19" s="1" t="s">
        <v>76</v>
      </c>
      <c r="R19" s="81" t="s">
        <v>114</v>
      </c>
      <c r="S19" s="1" t="s">
        <v>76</v>
      </c>
      <c r="T19" s="1" t="s">
        <v>78</v>
      </c>
      <c r="U19" s="1" t="s">
        <v>658</v>
      </c>
      <c r="V19" s="1" t="s">
        <v>655</v>
      </c>
      <c r="W19" s="1">
        <v>30</v>
      </c>
      <c r="X19" s="1" t="s">
        <v>76</v>
      </c>
      <c r="Y19" s="1" t="s">
        <v>644</v>
      </c>
      <c r="Z19" s="1">
        <v>2E-3</v>
      </c>
      <c r="AA19" s="1">
        <v>7.0000000000000001E-3</v>
      </c>
      <c r="AB19" s="1">
        <v>1.4E-2</v>
      </c>
      <c r="AC19" s="1">
        <v>5.8000000000000003E-2</v>
      </c>
      <c r="AD19" s="1">
        <v>0.01</v>
      </c>
      <c r="AE19" s="1">
        <v>8.9999999999999993E-3</v>
      </c>
      <c r="AF19" s="1">
        <v>1.4E-2</v>
      </c>
      <c r="AG19" s="1">
        <v>1E-3</v>
      </c>
      <c r="AH19" s="1">
        <v>3.1E-2</v>
      </c>
      <c r="AI19" s="1">
        <v>3.0000000000000001E-3</v>
      </c>
      <c r="AJ19" s="1">
        <v>6.0000000000000001E-3</v>
      </c>
      <c r="AK19" s="1">
        <v>4.4999999999999998E-2</v>
      </c>
      <c r="AL19" s="1">
        <v>2E-3</v>
      </c>
      <c r="AM19" s="1">
        <v>6.0000000000000001E-3</v>
      </c>
      <c r="AN19" s="1">
        <v>6.0000000000000001E-3</v>
      </c>
      <c r="AO19" s="1">
        <v>1.2E-2</v>
      </c>
      <c r="AP19" s="1">
        <v>6.0000000000000001E-3</v>
      </c>
      <c r="AQ19" s="1">
        <v>5.0000000000000001E-3</v>
      </c>
      <c r="AR19" s="1">
        <v>4.0000000000000001E-3</v>
      </c>
      <c r="AS19" s="1">
        <v>4.8000000000000001E-2</v>
      </c>
      <c r="AT19" s="1">
        <v>2.1000000000000001E-2</v>
      </c>
      <c r="AU19" s="1">
        <v>8.9999999999999993E-3</v>
      </c>
      <c r="AV19" s="1">
        <v>4.0000000000000001E-3</v>
      </c>
      <c r="AW19" s="1">
        <v>1.4E-2</v>
      </c>
      <c r="AX19" s="1">
        <v>6.0000000000000001E-3</v>
      </c>
      <c r="AY19" s="1">
        <v>1.4999999999999999E-2</v>
      </c>
      <c r="AZ19" s="1">
        <v>1.9E-2</v>
      </c>
      <c r="BA19" s="1">
        <v>3.6999999999999998E-2</v>
      </c>
      <c r="BB19" s="1">
        <v>2.3E-2</v>
      </c>
      <c r="BC19" s="1">
        <v>4.0000000000000001E-3</v>
      </c>
      <c r="BD19" s="1">
        <v>4.3999999999999997E-2</v>
      </c>
      <c r="BE19" s="1">
        <v>6.0000000000000001E-3</v>
      </c>
      <c r="BF19" s="1">
        <v>2E-3</v>
      </c>
      <c r="BG19" s="1">
        <v>1.0999999999999999E-2</v>
      </c>
      <c r="BH19" s="1">
        <v>5.0000000000000001E-3</v>
      </c>
      <c r="BI19" s="1">
        <v>5.0000000000000001E-3</v>
      </c>
      <c r="BJ19" s="1">
        <v>2E-3</v>
      </c>
      <c r="BK19" s="1">
        <v>5.0000000000000001E-3</v>
      </c>
      <c r="BL19" s="1">
        <v>1.9E-2</v>
      </c>
      <c r="BM19" s="1">
        <v>7.0000000000000001E-3</v>
      </c>
      <c r="BN19" s="1">
        <v>0.02</v>
      </c>
      <c r="BO19" s="1">
        <v>5.0000000000000001E-3</v>
      </c>
      <c r="BP19" s="1">
        <v>2E-3</v>
      </c>
      <c r="BQ19" s="1">
        <v>2.1000000000000001E-2</v>
      </c>
      <c r="BR19" s="1">
        <v>8.0000000000000002E-3</v>
      </c>
      <c r="BS19" s="1">
        <v>6.0000000000000001E-3</v>
      </c>
      <c r="BT19" s="1">
        <v>8.0000000000000002E-3</v>
      </c>
      <c r="BU19" s="1">
        <v>6.4000000000000001E-2</v>
      </c>
      <c r="BV19" s="1">
        <v>0.01</v>
      </c>
      <c r="BW19" s="1">
        <v>1.2E-2</v>
      </c>
      <c r="BX19" s="1">
        <v>4.1000000000000002E-2</v>
      </c>
      <c r="BY19" s="1">
        <v>2.8000000000000001E-2</v>
      </c>
      <c r="BZ19" s="1">
        <v>1.4E-2</v>
      </c>
      <c r="CA19" s="1">
        <v>7.0000000000000001E-3</v>
      </c>
      <c r="CB19" s="1">
        <v>3.0000000000000001E-3</v>
      </c>
      <c r="CC19" s="1">
        <v>8.9999999999999993E-3</v>
      </c>
      <c r="CD19" s="1">
        <v>1E-3</v>
      </c>
      <c r="CE19" s="1">
        <v>6.0000000000000001E-3</v>
      </c>
      <c r="CF19" s="1">
        <v>6.0000000000000001E-3</v>
      </c>
      <c r="CG19" s="1">
        <v>1.4E-2</v>
      </c>
      <c r="CH19" s="1">
        <v>2.3E-2</v>
      </c>
      <c r="CI19" s="1">
        <v>2.1999999999999999E-2</v>
      </c>
      <c r="CJ19" s="1">
        <v>2.9000000000000001E-2</v>
      </c>
      <c r="CK19" s="1">
        <v>6.9000000000000006E-2</v>
      </c>
      <c r="CL19" s="1">
        <v>2.3E-2</v>
      </c>
      <c r="CM19" s="1">
        <v>-13.50003085</v>
      </c>
      <c r="CN19" s="83">
        <v>121.00274570000001</v>
      </c>
    </row>
    <row r="20" spans="1:92" s="3" customFormat="1" x14ac:dyDescent="0.25">
      <c r="A20" s="72">
        <v>17</v>
      </c>
      <c r="B20" s="81" t="s">
        <v>1281</v>
      </c>
      <c r="C20" s="1" t="s">
        <v>72</v>
      </c>
      <c r="D20" s="1" t="s">
        <v>79</v>
      </c>
      <c r="E20" s="1" t="s">
        <v>99</v>
      </c>
      <c r="F20" s="1" t="s">
        <v>93</v>
      </c>
      <c r="G20" s="1" t="s">
        <v>80</v>
      </c>
      <c r="H20" s="1" t="s">
        <v>34</v>
      </c>
      <c r="I20" s="1"/>
      <c r="J20" s="9" t="s">
        <v>544</v>
      </c>
      <c r="K20" s="10">
        <v>0.36016833333333398</v>
      </c>
      <c r="L20" s="1" t="s">
        <v>515</v>
      </c>
      <c r="M20" s="1" t="s">
        <v>76</v>
      </c>
      <c r="N20" s="1" t="s">
        <v>644</v>
      </c>
      <c r="O20" s="1" t="s">
        <v>10</v>
      </c>
      <c r="P20" s="82">
        <v>0.49299999999999999</v>
      </c>
      <c r="Q20" s="1" t="s">
        <v>76</v>
      </c>
      <c r="R20" s="81" t="s">
        <v>91</v>
      </c>
      <c r="S20" s="1" t="s">
        <v>76</v>
      </c>
      <c r="T20" s="1" t="s">
        <v>78</v>
      </c>
      <c r="U20" s="1" t="s">
        <v>658</v>
      </c>
      <c r="V20" s="1" t="s">
        <v>655</v>
      </c>
      <c r="W20" s="1">
        <v>22</v>
      </c>
      <c r="X20" s="1" t="s">
        <v>115</v>
      </c>
      <c r="Y20" s="1" t="s">
        <v>644</v>
      </c>
      <c r="Z20" s="1">
        <v>1E-3</v>
      </c>
      <c r="AA20" s="1">
        <v>1E-3</v>
      </c>
      <c r="AB20" s="1">
        <v>1E-3</v>
      </c>
      <c r="AC20" s="1">
        <v>4.0000000000000001E-3</v>
      </c>
      <c r="AD20" s="1">
        <v>2E-3</v>
      </c>
      <c r="AE20" s="1">
        <v>0.49299999999999999</v>
      </c>
      <c r="AF20" s="1">
        <v>1E-3</v>
      </c>
      <c r="AG20" s="1">
        <v>0</v>
      </c>
      <c r="AH20" s="1">
        <v>6.0000000000000001E-3</v>
      </c>
      <c r="AI20" s="1">
        <v>0</v>
      </c>
      <c r="AJ20" s="1">
        <v>0.28199999999999997</v>
      </c>
      <c r="AK20" s="1">
        <v>8.0000000000000002E-3</v>
      </c>
      <c r="AL20" s="1">
        <v>0</v>
      </c>
      <c r="AM20" s="1">
        <v>1E-3</v>
      </c>
      <c r="AN20" s="1">
        <v>1.4999999999999999E-2</v>
      </c>
      <c r="AO20" s="1">
        <v>1E-3</v>
      </c>
      <c r="AP20" s="1">
        <v>1E-3</v>
      </c>
      <c r="AQ20" s="1">
        <v>1E-3</v>
      </c>
      <c r="AR20" s="1">
        <v>2E-3</v>
      </c>
      <c r="AS20" s="1">
        <v>3.0000000000000001E-3</v>
      </c>
      <c r="AT20" s="1">
        <v>1E-3</v>
      </c>
      <c r="AU20" s="1">
        <v>1E-3</v>
      </c>
      <c r="AV20" s="1">
        <v>1E-3</v>
      </c>
      <c r="AW20" s="1">
        <v>2E-3</v>
      </c>
      <c r="AX20" s="1">
        <v>1E-3</v>
      </c>
      <c r="AY20" s="1">
        <v>2E-3</v>
      </c>
      <c r="AZ20" s="1">
        <v>3.0000000000000001E-3</v>
      </c>
      <c r="BA20" s="1">
        <v>3.0000000000000001E-3</v>
      </c>
      <c r="BB20" s="1">
        <v>3.0000000000000001E-3</v>
      </c>
      <c r="BC20" s="1">
        <v>1E-3</v>
      </c>
      <c r="BD20" s="1">
        <v>5.0000000000000001E-3</v>
      </c>
      <c r="BE20" s="1">
        <v>1E-3</v>
      </c>
      <c r="BF20" s="1">
        <v>0</v>
      </c>
      <c r="BG20" s="1">
        <v>1E-3</v>
      </c>
      <c r="BH20" s="1">
        <v>1E-3</v>
      </c>
      <c r="BI20" s="1">
        <v>1E-3</v>
      </c>
      <c r="BJ20" s="1">
        <v>0</v>
      </c>
      <c r="BK20" s="1">
        <v>1E-3</v>
      </c>
      <c r="BL20" s="1">
        <v>1E-3</v>
      </c>
      <c r="BM20" s="1">
        <v>1E-3</v>
      </c>
      <c r="BN20" s="1">
        <v>1E-3</v>
      </c>
      <c r="BO20" s="1">
        <v>4.0000000000000001E-3</v>
      </c>
      <c r="BP20" s="1">
        <v>0</v>
      </c>
      <c r="BQ20" s="1">
        <v>2E-3</v>
      </c>
      <c r="BR20" s="1">
        <v>1E-3</v>
      </c>
      <c r="BS20" s="1">
        <v>1E-3</v>
      </c>
      <c r="BT20" s="1">
        <v>1E-3</v>
      </c>
      <c r="BU20" s="1">
        <v>2E-3</v>
      </c>
      <c r="BV20" s="1">
        <v>5.0000000000000001E-3</v>
      </c>
      <c r="BW20" s="1">
        <v>1E-3</v>
      </c>
      <c r="BX20" s="1">
        <v>6.2E-2</v>
      </c>
      <c r="BY20" s="1">
        <v>2E-3</v>
      </c>
      <c r="BZ20" s="1">
        <v>2E-3</v>
      </c>
      <c r="CA20" s="1">
        <v>1E-3</v>
      </c>
      <c r="CB20" s="1">
        <v>1E-3</v>
      </c>
      <c r="CC20" s="1">
        <v>1E-3</v>
      </c>
      <c r="CD20" s="1">
        <v>0</v>
      </c>
      <c r="CE20" s="1">
        <v>1E-3</v>
      </c>
      <c r="CF20" s="1">
        <v>1E-3</v>
      </c>
      <c r="CG20" s="1">
        <v>2E-3</v>
      </c>
      <c r="CH20" s="1">
        <v>2E-3</v>
      </c>
      <c r="CI20" s="1">
        <v>1E-3</v>
      </c>
      <c r="CJ20" s="1">
        <v>2E-3</v>
      </c>
      <c r="CK20" s="1">
        <v>0.05</v>
      </c>
      <c r="CL20" s="1">
        <v>1E-3</v>
      </c>
      <c r="CM20" s="1">
        <v>7.5994309309999997</v>
      </c>
      <c r="CN20" s="83">
        <v>132.4309591</v>
      </c>
    </row>
    <row r="21" spans="1:92" s="3" customFormat="1" x14ac:dyDescent="0.25">
      <c r="A21" s="72">
        <v>18</v>
      </c>
      <c r="B21" s="81" t="s">
        <v>936</v>
      </c>
      <c r="C21" s="1" t="s">
        <v>72</v>
      </c>
      <c r="D21" s="1" t="s">
        <v>79</v>
      </c>
      <c r="E21" s="1" t="s">
        <v>99</v>
      </c>
      <c r="F21" s="1" t="s">
        <v>108</v>
      </c>
      <c r="G21" s="1" t="s">
        <v>80</v>
      </c>
      <c r="H21" s="1" t="s">
        <v>10</v>
      </c>
      <c r="I21" s="1"/>
      <c r="J21" s="9" t="s">
        <v>544</v>
      </c>
      <c r="K21" s="10">
        <v>0.42767549999999999</v>
      </c>
      <c r="L21" s="1" t="s">
        <v>641</v>
      </c>
      <c r="M21" s="1" t="s">
        <v>76</v>
      </c>
      <c r="N21" s="1" t="s">
        <v>649</v>
      </c>
      <c r="O21" s="1" t="s">
        <v>10</v>
      </c>
      <c r="P21" s="82">
        <v>0.28299999999999997</v>
      </c>
      <c r="Q21" s="1" t="s">
        <v>76</v>
      </c>
      <c r="R21" s="81" t="s">
        <v>87</v>
      </c>
      <c r="S21" s="1" t="s">
        <v>76</v>
      </c>
      <c r="T21" s="1" t="s">
        <v>78</v>
      </c>
      <c r="U21" s="1" t="s">
        <v>658</v>
      </c>
      <c r="V21" s="1" t="s">
        <v>655</v>
      </c>
      <c r="W21" s="1">
        <v>16</v>
      </c>
      <c r="X21" s="1" t="s">
        <v>116</v>
      </c>
      <c r="Y21" s="1" t="s">
        <v>649</v>
      </c>
      <c r="Z21" s="1">
        <v>3.0000000000000001E-3</v>
      </c>
      <c r="AA21" s="1">
        <v>4.0000000000000001E-3</v>
      </c>
      <c r="AB21" s="1">
        <v>5.0000000000000001E-3</v>
      </c>
      <c r="AC21" s="1">
        <v>0.04</v>
      </c>
      <c r="AD21" s="1">
        <v>6.0000000000000001E-3</v>
      </c>
      <c r="AE21" s="1">
        <v>0.28299999999999997</v>
      </c>
      <c r="AF21" s="1">
        <v>7.0000000000000001E-3</v>
      </c>
      <c r="AG21" s="1">
        <v>0</v>
      </c>
      <c r="AH21" s="1">
        <v>2.1000000000000001E-2</v>
      </c>
      <c r="AI21" s="1">
        <v>2E-3</v>
      </c>
      <c r="AJ21" s="1">
        <v>7.0000000000000001E-3</v>
      </c>
      <c r="AK21" s="1">
        <v>6.3E-2</v>
      </c>
      <c r="AL21" s="1">
        <v>1E-3</v>
      </c>
      <c r="AM21" s="1">
        <v>3.0000000000000001E-3</v>
      </c>
      <c r="AN21" s="1">
        <v>1.2999999999999999E-2</v>
      </c>
      <c r="AO21" s="1">
        <v>6.0000000000000001E-3</v>
      </c>
      <c r="AP21" s="1">
        <v>4.0000000000000001E-3</v>
      </c>
      <c r="AQ21" s="1">
        <v>3.0000000000000001E-3</v>
      </c>
      <c r="AR21" s="1">
        <v>3.0000000000000001E-3</v>
      </c>
      <c r="AS21" s="1">
        <v>1.6E-2</v>
      </c>
      <c r="AT21" s="1">
        <v>8.9999999999999993E-3</v>
      </c>
      <c r="AU21" s="1">
        <v>4.0000000000000001E-3</v>
      </c>
      <c r="AV21" s="1">
        <v>5.0000000000000001E-3</v>
      </c>
      <c r="AW21" s="1">
        <v>1.2999999999999999E-2</v>
      </c>
      <c r="AX21" s="1">
        <v>3.0000000000000001E-3</v>
      </c>
      <c r="AY21" s="1">
        <v>8.9999999999999993E-3</v>
      </c>
      <c r="AZ21" s="1">
        <v>1.2999999999999999E-2</v>
      </c>
      <c r="BA21" s="1">
        <v>2.5999999999999999E-2</v>
      </c>
      <c r="BB21" s="1">
        <v>6.0000000000000001E-3</v>
      </c>
      <c r="BC21" s="1">
        <v>3.0000000000000001E-3</v>
      </c>
      <c r="BD21" s="1">
        <v>2.7E-2</v>
      </c>
      <c r="BE21" s="1">
        <v>6.0000000000000001E-3</v>
      </c>
      <c r="BF21" s="1">
        <v>4.0000000000000001E-3</v>
      </c>
      <c r="BG21" s="1">
        <v>4.0000000000000001E-3</v>
      </c>
      <c r="BH21" s="1">
        <v>7.0000000000000001E-3</v>
      </c>
      <c r="BI21" s="1">
        <v>3.0000000000000001E-3</v>
      </c>
      <c r="BJ21" s="1">
        <v>1E-3</v>
      </c>
      <c r="BK21" s="1">
        <v>2E-3</v>
      </c>
      <c r="BL21" s="1">
        <v>7.0000000000000001E-3</v>
      </c>
      <c r="BM21" s="1">
        <v>4.0000000000000001E-3</v>
      </c>
      <c r="BN21" s="1">
        <v>7.0000000000000001E-3</v>
      </c>
      <c r="BO21" s="1">
        <v>3.0000000000000001E-3</v>
      </c>
      <c r="BP21" s="1">
        <v>1E-3</v>
      </c>
      <c r="BQ21" s="1">
        <v>1.4999999999999999E-2</v>
      </c>
      <c r="BR21" s="1">
        <v>5.0000000000000001E-3</v>
      </c>
      <c r="BS21" s="1">
        <v>4.0000000000000001E-3</v>
      </c>
      <c r="BT21" s="1">
        <v>4.0000000000000001E-3</v>
      </c>
      <c r="BU21" s="1">
        <v>0.106</v>
      </c>
      <c r="BV21" s="1">
        <v>5.0000000000000001E-3</v>
      </c>
      <c r="BW21" s="1">
        <v>5.0000000000000001E-3</v>
      </c>
      <c r="BX21" s="1">
        <v>2.1000000000000001E-2</v>
      </c>
      <c r="BY21" s="1">
        <v>1.7000000000000001E-2</v>
      </c>
      <c r="BZ21" s="1">
        <v>8.0000000000000002E-3</v>
      </c>
      <c r="CA21" s="1">
        <v>5.0000000000000001E-3</v>
      </c>
      <c r="CB21" s="1">
        <v>2E-3</v>
      </c>
      <c r="CC21" s="1">
        <v>6.0000000000000001E-3</v>
      </c>
      <c r="CD21" s="1">
        <v>0</v>
      </c>
      <c r="CE21" s="1">
        <v>4.0000000000000001E-3</v>
      </c>
      <c r="CF21" s="1">
        <v>4.0000000000000001E-3</v>
      </c>
      <c r="CG21" s="1">
        <v>7.0000000000000001E-3</v>
      </c>
      <c r="CH21" s="1">
        <v>0.01</v>
      </c>
      <c r="CI21" s="1">
        <v>0.01</v>
      </c>
      <c r="CJ21" s="1">
        <v>1.7999999999999999E-2</v>
      </c>
      <c r="CK21" s="1">
        <v>7.9000000000000001E-2</v>
      </c>
      <c r="CL21" s="1">
        <v>8.9999999999999993E-3</v>
      </c>
      <c r="CM21" s="1">
        <v>8.9894907429999993</v>
      </c>
      <c r="CN21" s="83">
        <v>133.9282729</v>
      </c>
    </row>
    <row r="22" spans="1:92" s="3" customFormat="1" x14ac:dyDescent="0.25">
      <c r="A22" s="72">
        <v>19</v>
      </c>
      <c r="B22" s="81" t="s">
        <v>1270</v>
      </c>
      <c r="C22" s="1" t="s">
        <v>72</v>
      </c>
      <c r="D22" s="1" t="s">
        <v>79</v>
      </c>
      <c r="E22" s="1" t="s">
        <v>99</v>
      </c>
      <c r="F22" s="1" t="s">
        <v>144</v>
      </c>
      <c r="G22" s="1" t="s">
        <v>80</v>
      </c>
      <c r="H22" s="1" t="s">
        <v>532</v>
      </c>
      <c r="I22" s="1"/>
      <c r="J22" s="9" t="s">
        <v>506</v>
      </c>
      <c r="K22" s="10">
        <v>0.35763333333333303</v>
      </c>
      <c r="L22" s="1" t="s">
        <v>641</v>
      </c>
      <c r="M22" s="1" t="s">
        <v>76</v>
      </c>
      <c r="N22" s="1" t="s">
        <v>644</v>
      </c>
      <c r="O22" s="1" t="s">
        <v>55</v>
      </c>
      <c r="P22" s="82">
        <v>0.32100000000000001</v>
      </c>
      <c r="Q22" s="1" t="s">
        <v>76</v>
      </c>
      <c r="R22" s="81" t="s">
        <v>77</v>
      </c>
      <c r="S22" s="1" t="s">
        <v>76</v>
      </c>
      <c r="T22" s="1" t="s">
        <v>78</v>
      </c>
      <c r="U22" s="1" t="s">
        <v>658</v>
      </c>
      <c r="V22" s="1" t="s">
        <v>655</v>
      </c>
      <c r="W22" s="1">
        <v>16</v>
      </c>
      <c r="X22" s="1" t="s">
        <v>117</v>
      </c>
      <c r="Y22" s="1" t="s">
        <v>644</v>
      </c>
      <c r="Z22" s="1">
        <v>7.0000000000000001E-3</v>
      </c>
      <c r="AA22" s="1">
        <v>3.0000000000000001E-3</v>
      </c>
      <c r="AB22" s="1">
        <v>3.0000000000000001E-3</v>
      </c>
      <c r="AC22" s="1">
        <v>1.0999999999999999E-2</v>
      </c>
      <c r="AD22" s="1">
        <v>5.0000000000000001E-3</v>
      </c>
      <c r="AE22" s="1">
        <v>1.0999999999999999E-2</v>
      </c>
      <c r="AF22" s="1">
        <v>4.0000000000000001E-3</v>
      </c>
      <c r="AG22" s="1">
        <v>0</v>
      </c>
      <c r="AH22" s="1">
        <v>1.4999999999999999E-2</v>
      </c>
      <c r="AI22" s="1">
        <v>2E-3</v>
      </c>
      <c r="AJ22" s="1">
        <v>0.153</v>
      </c>
      <c r="AK22" s="1">
        <v>6.0000000000000001E-3</v>
      </c>
      <c r="AL22" s="1">
        <v>0</v>
      </c>
      <c r="AM22" s="1">
        <v>3.0000000000000001E-3</v>
      </c>
      <c r="AN22" s="1">
        <v>0.13700000000000001</v>
      </c>
      <c r="AO22" s="1">
        <v>2E-3</v>
      </c>
      <c r="AP22" s="1">
        <v>2E-3</v>
      </c>
      <c r="AQ22" s="1">
        <v>2E-3</v>
      </c>
      <c r="AR22" s="1">
        <v>1.0999999999999999E-2</v>
      </c>
      <c r="AS22" s="1">
        <v>8.0000000000000002E-3</v>
      </c>
      <c r="AT22" s="1">
        <v>4.0000000000000001E-3</v>
      </c>
      <c r="AU22" s="1">
        <v>6.0000000000000001E-3</v>
      </c>
      <c r="AV22" s="1">
        <v>4.0000000000000001E-3</v>
      </c>
      <c r="AW22" s="1">
        <v>3.0000000000000001E-3</v>
      </c>
      <c r="AX22" s="1">
        <v>3.0000000000000001E-3</v>
      </c>
      <c r="AY22" s="1">
        <v>5.0000000000000001E-3</v>
      </c>
      <c r="AZ22" s="1">
        <v>8.0000000000000002E-3</v>
      </c>
      <c r="BA22" s="1">
        <v>1.0999999999999999E-2</v>
      </c>
      <c r="BB22" s="1">
        <v>0.01</v>
      </c>
      <c r="BC22" s="1">
        <v>2E-3</v>
      </c>
      <c r="BD22" s="1">
        <v>1.6E-2</v>
      </c>
      <c r="BE22" s="1">
        <v>2E-3</v>
      </c>
      <c r="BF22" s="1">
        <v>1.2999999999999999E-2</v>
      </c>
      <c r="BG22" s="1">
        <v>1E-3</v>
      </c>
      <c r="BH22" s="1">
        <v>4.0000000000000001E-3</v>
      </c>
      <c r="BI22" s="1">
        <v>2E-3</v>
      </c>
      <c r="BJ22" s="1">
        <v>1E-3</v>
      </c>
      <c r="BK22" s="1">
        <v>1E-3</v>
      </c>
      <c r="BL22" s="1">
        <v>3.0000000000000001E-3</v>
      </c>
      <c r="BM22" s="1">
        <v>2E-3</v>
      </c>
      <c r="BN22" s="1">
        <v>3.0000000000000001E-3</v>
      </c>
      <c r="BO22" s="1">
        <v>1.7999999999999999E-2</v>
      </c>
      <c r="BP22" s="1">
        <v>1E-3</v>
      </c>
      <c r="BQ22" s="1">
        <v>5.0000000000000001E-3</v>
      </c>
      <c r="BR22" s="1">
        <v>3.0000000000000001E-3</v>
      </c>
      <c r="BS22" s="1">
        <v>1.0999999999999999E-2</v>
      </c>
      <c r="BT22" s="1">
        <v>2E-3</v>
      </c>
      <c r="BU22" s="1">
        <v>1.9E-2</v>
      </c>
      <c r="BV22" s="1">
        <v>8.9999999999999993E-3</v>
      </c>
      <c r="BW22" s="1">
        <v>3.0000000000000001E-3</v>
      </c>
      <c r="BX22" s="1">
        <v>0.32100000000000001</v>
      </c>
      <c r="BY22" s="1">
        <v>7.0000000000000001E-3</v>
      </c>
      <c r="BZ22" s="1">
        <v>6.0000000000000001E-3</v>
      </c>
      <c r="CA22" s="1">
        <v>4.0000000000000001E-3</v>
      </c>
      <c r="CB22" s="1">
        <v>2E-3</v>
      </c>
      <c r="CC22" s="1">
        <v>3.0000000000000001E-3</v>
      </c>
      <c r="CD22" s="1">
        <v>0</v>
      </c>
      <c r="CE22" s="1">
        <v>3.0000000000000001E-3</v>
      </c>
      <c r="CF22" s="1">
        <v>2E-3</v>
      </c>
      <c r="CG22" s="1">
        <v>5.0000000000000001E-3</v>
      </c>
      <c r="CH22" s="1">
        <v>5.0000000000000001E-3</v>
      </c>
      <c r="CI22" s="1">
        <v>4.0000000000000001E-3</v>
      </c>
      <c r="CJ22" s="1">
        <v>5.0000000000000001E-3</v>
      </c>
      <c r="CK22" s="1">
        <v>7.0999999999999994E-2</v>
      </c>
      <c r="CL22" s="1">
        <v>5.0000000000000001E-3</v>
      </c>
      <c r="CM22" s="1">
        <v>9.8304460220000003</v>
      </c>
      <c r="CN22" s="83">
        <v>125.9434601</v>
      </c>
    </row>
    <row r="23" spans="1:92" s="3" customFormat="1" x14ac:dyDescent="0.25">
      <c r="A23" s="72">
        <v>20</v>
      </c>
      <c r="B23" s="81" t="s">
        <v>926</v>
      </c>
      <c r="C23" s="1" t="s">
        <v>72</v>
      </c>
      <c r="D23" s="1" t="s">
        <v>79</v>
      </c>
      <c r="E23" s="1" t="s">
        <v>74</v>
      </c>
      <c r="F23" s="1" t="s">
        <v>112</v>
      </c>
      <c r="G23" s="1" t="s">
        <v>80</v>
      </c>
      <c r="H23" s="1" t="s">
        <v>112</v>
      </c>
      <c r="I23" s="1"/>
      <c r="J23" s="9" t="s">
        <v>506</v>
      </c>
      <c r="K23" s="10">
        <v>0.43763316666666702</v>
      </c>
      <c r="L23" s="1" t="s">
        <v>641</v>
      </c>
      <c r="M23" s="1" t="s">
        <v>76</v>
      </c>
      <c r="N23" s="1" t="s">
        <v>644</v>
      </c>
      <c r="O23" s="1" t="s">
        <v>68</v>
      </c>
      <c r="P23" s="82">
        <v>0.11</v>
      </c>
      <c r="Q23" s="1" t="s">
        <v>76</v>
      </c>
      <c r="R23" s="81" t="s">
        <v>114</v>
      </c>
      <c r="S23" s="1" t="s">
        <v>76</v>
      </c>
      <c r="T23" s="1" t="s">
        <v>78</v>
      </c>
      <c r="U23" s="1" t="s">
        <v>658</v>
      </c>
      <c r="V23" s="1" t="s">
        <v>655</v>
      </c>
      <c r="W23" s="1">
        <v>57</v>
      </c>
      <c r="X23" s="1" t="s">
        <v>76</v>
      </c>
      <c r="Y23" s="1" t="s">
        <v>644</v>
      </c>
      <c r="Z23" s="1">
        <v>3.0000000000000001E-3</v>
      </c>
      <c r="AA23" s="1">
        <v>7.0000000000000001E-3</v>
      </c>
      <c r="AB23" s="1">
        <v>2.1000000000000001E-2</v>
      </c>
      <c r="AC23" s="1">
        <v>0.03</v>
      </c>
      <c r="AD23" s="1">
        <v>1.0999999999999999E-2</v>
      </c>
      <c r="AE23" s="1">
        <v>2.1999999999999999E-2</v>
      </c>
      <c r="AF23" s="1">
        <v>1.4E-2</v>
      </c>
      <c r="AG23" s="1">
        <v>1E-3</v>
      </c>
      <c r="AH23" s="1">
        <v>2.5999999999999999E-2</v>
      </c>
      <c r="AI23" s="1">
        <v>2E-3</v>
      </c>
      <c r="AJ23" s="1">
        <v>0.03</v>
      </c>
      <c r="AK23" s="1">
        <v>9.1999999999999998E-2</v>
      </c>
      <c r="AL23" s="1">
        <v>3.0000000000000001E-3</v>
      </c>
      <c r="AM23" s="1">
        <v>6.0000000000000001E-3</v>
      </c>
      <c r="AN23" s="1">
        <v>1.2E-2</v>
      </c>
      <c r="AO23" s="1">
        <v>7.0000000000000001E-3</v>
      </c>
      <c r="AP23" s="1">
        <v>4.0000000000000001E-3</v>
      </c>
      <c r="AQ23" s="1">
        <v>4.0000000000000001E-3</v>
      </c>
      <c r="AR23" s="1">
        <v>7.0000000000000001E-3</v>
      </c>
      <c r="AS23" s="1">
        <v>0.03</v>
      </c>
      <c r="AT23" s="1">
        <v>1.2999999999999999E-2</v>
      </c>
      <c r="AU23" s="1">
        <v>8.9999999999999993E-3</v>
      </c>
      <c r="AV23" s="1">
        <v>5.0000000000000001E-3</v>
      </c>
      <c r="AW23" s="1">
        <v>1.4999999999999999E-2</v>
      </c>
      <c r="AX23" s="1">
        <v>5.0000000000000001E-3</v>
      </c>
      <c r="AY23" s="1">
        <v>0.01</v>
      </c>
      <c r="AZ23" s="1">
        <v>1.7000000000000001E-2</v>
      </c>
      <c r="BA23" s="1">
        <v>2.5000000000000001E-2</v>
      </c>
      <c r="BB23" s="1">
        <v>3.2000000000000001E-2</v>
      </c>
      <c r="BC23" s="1">
        <v>4.0000000000000001E-3</v>
      </c>
      <c r="BD23" s="1">
        <v>0.03</v>
      </c>
      <c r="BE23" s="1">
        <v>5.0000000000000001E-3</v>
      </c>
      <c r="BF23" s="1">
        <v>2E-3</v>
      </c>
      <c r="BG23" s="1">
        <v>7.0000000000000001E-3</v>
      </c>
      <c r="BH23" s="1">
        <v>4.0000000000000001E-3</v>
      </c>
      <c r="BI23" s="1">
        <v>5.0000000000000001E-3</v>
      </c>
      <c r="BJ23" s="1">
        <v>2E-3</v>
      </c>
      <c r="BK23" s="1">
        <v>5.0000000000000001E-3</v>
      </c>
      <c r="BL23" s="1">
        <v>1.7000000000000001E-2</v>
      </c>
      <c r="BM23" s="1">
        <v>5.0000000000000001E-3</v>
      </c>
      <c r="BN23" s="1">
        <v>0.01</v>
      </c>
      <c r="BO23" s="1">
        <v>8.9999999999999993E-3</v>
      </c>
      <c r="BP23" s="1">
        <v>2E-3</v>
      </c>
      <c r="BQ23" s="1">
        <v>1.4E-2</v>
      </c>
      <c r="BR23" s="1">
        <v>6.0000000000000001E-3</v>
      </c>
      <c r="BS23" s="1">
        <v>8.0000000000000002E-3</v>
      </c>
      <c r="BT23" s="1">
        <v>6.0000000000000001E-3</v>
      </c>
      <c r="BU23" s="1">
        <v>1.9E-2</v>
      </c>
      <c r="BV23" s="1">
        <v>2.5000000000000001E-2</v>
      </c>
      <c r="BW23" s="1">
        <v>8.9999999999999993E-3</v>
      </c>
      <c r="BX23" s="1">
        <v>9.1999999999999998E-2</v>
      </c>
      <c r="BY23" s="1">
        <v>1.7999999999999999E-2</v>
      </c>
      <c r="BZ23" s="1">
        <v>1.0999999999999999E-2</v>
      </c>
      <c r="CA23" s="1">
        <v>6.0000000000000001E-3</v>
      </c>
      <c r="CB23" s="1">
        <v>3.0000000000000001E-3</v>
      </c>
      <c r="CC23" s="1">
        <v>7.0000000000000001E-3</v>
      </c>
      <c r="CD23" s="1">
        <v>1E-3</v>
      </c>
      <c r="CE23" s="1">
        <v>6.0000000000000001E-3</v>
      </c>
      <c r="CF23" s="1">
        <v>5.0000000000000001E-3</v>
      </c>
      <c r="CG23" s="1">
        <v>1.6E-2</v>
      </c>
      <c r="CH23" s="1">
        <v>1.2999999999999999E-2</v>
      </c>
      <c r="CI23" s="1">
        <v>1.2999999999999999E-2</v>
      </c>
      <c r="CJ23" s="1">
        <v>0.02</v>
      </c>
      <c r="CK23" s="1">
        <v>0.11</v>
      </c>
      <c r="CL23" s="1">
        <v>2.1999999999999999E-2</v>
      </c>
      <c r="CM23" s="1">
        <v>-11.24174857</v>
      </c>
      <c r="CN23" s="83">
        <v>120.82989019999999</v>
      </c>
    </row>
    <row r="24" spans="1:92" s="3" customFormat="1" x14ac:dyDescent="0.25">
      <c r="A24" s="72">
        <v>21</v>
      </c>
      <c r="B24" s="81" t="s">
        <v>1312</v>
      </c>
      <c r="C24" s="1" t="s">
        <v>72</v>
      </c>
      <c r="D24" s="1" t="s">
        <v>79</v>
      </c>
      <c r="E24" s="1" t="s">
        <v>99</v>
      </c>
      <c r="F24" s="1" t="s">
        <v>102</v>
      </c>
      <c r="G24" s="1" t="s">
        <v>80</v>
      </c>
      <c r="H24" s="1" t="s">
        <v>53</v>
      </c>
      <c r="I24" s="1"/>
      <c r="J24" s="9" t="s">
        <v>544</v>
      </c>
      <c r="K24" s="10">
        <v>0.35970566666666698</v>
      </c>
      <c r="L24" s="1" t="s">
        <v>76</v>
      </c>
      <c r="M24" s="1" t="s">
        <v>506</v>
      </c>
      <c r="N24" s="1" t="s">
        <v>645</v>
      </c>
      <c r="O24" s="1" t="s">
        <v>53</v>
      </c>
      <c r="P24" s="82">
        <v>0.995</v>
      </c>
      <c r="Q24" s="1" t="s">
        <v>76</v>
      </c>
      <c r="R24" s="81" t="s">
        <v>81</v>
      </c>
      <c r="S24" s="1" t="s">
        <v>76</v>
      </c>
      <c r="T24" s="1" t="s">
        <v>78</v>
      </c>
      <c r="U24" s="1" t="s">
        <v>658</v>
      </c>
      <c r="V24" s="1" t="s">
        <v>655</v>
      </c>
      <c r="W24" s="1">
        <v>52</v>
      </c>
      <c r="X24" s="1" t="s">
        <v>76</v>
      </c>
      <c r="Y24" s="1" t="s">
        <v>645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0.995</v>
      </c>
      <c r="BW24" s="1">
        <v>0</v>
      </c>
      <c r="BX24" s="1">
        <v>2E-3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1E-3</v>
      </c>
      <c r="CL24" s="1">
        <v>0</v>
      </c>
      <c r="CM24" s="1">
        <v>-6.3220440780000002</v>
      </c>
      <c r="CN24" s="83">
        <v>127.9134584</v>
      </c>
    </row>
    <row r="25" spans="1:92" s="3" customFormat="1" x14ac:dyDescent="0.25">
      <c r="A25" s="72">
        <v>22</v>
      </c>
      <c r="B25" s="81" t="s">
        <v>1365</v>
      </c>
      <c r="C25" s="1" t="s">
        <v>72</v>
      </c>
      <c r="D25" s="1" t="s">
        <v>79</v>
      </c>
      <c r="E25" s="1" t="s">
        <v>74</v>
      </c>
      <c r="F25" s="1" t="s">
        <v>102</v>
      </c>
      <c r="G25" s="1" t="s">
        <v>80</v>
      </c>
      <c r="H25" s="1" t="s">
        <v>53</v>
      </c>
      <c r="I25" s="1"/>
      <c r="J25" s="9" t="s">
        <v>544</v>
      </c>
      <c r="K25" s="10">
        <v>0.36546333333333297</v>
      </c>
      <c r="L25" s="1" t="s">
        <v>76</v>
      </c>
      <c r="M25" s="1" t="s">
        <v>506</v>
      </c>
      <c r="N25" s="1" t="s">
        <v>645</v>
      </c>
      <c r="O25" s="1" t="s">
        <v>53</v>
      </c>
      <c r="P25" s="82">
        <v>0.996</v>
      </c>
      <c r="Q25" s="1" t="s">
        <v>76</v>
      </c>
      <c r="R25" s="81" t="s">
        <v>118</v>
      </c>
      <c r="S25" s="1" t="s">
        <v>76</v>
      </c>
      <c r="T25" s="1" t="s">
        <v>78</v>
      </c>
      <c r="U25" s="1" t="s">
        <v>658</v>
      </c>
      <c r="V25" s="1" t="s">
        <v>655</v>
      </c>
      <c r="W25" s="1">
        <v>12</v>
      </c>
      <c r="X25" s="1" t="s">
        <v>119</v>
      </c>
      <c r="Y25" s="1" t="s">
        <v>645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0.996</v>
      </c>
      <c r="BW25" s="1">
        <v>0</v>
      </c>
      <c r="BX25" s="1">
        <v>2E-3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1E-3</v>
      </c>
      <c r="CL25" s="1">
        <v>0</v>
      </c>
      <c r="CM25" s="1">
        <v>-7.3468814829999998</v>
      </c>
      <c r="CN25" s="83">
        <v>129.88505040000001</v>
      </c>
    </row>
    <row r="26" spans="1:92" s="3" customFormat="1" x14ac:dyDescent="0.25">
      <c r="A26" s="72">
        <v>23</v>
      </c>
      <c r="B26" s="81" t="s">
        <v>1222</v>
      </c>
      <c r="C26" s="1" t="s">
        <v>72</v>
      </c>
      <c r="D26" s="1" t="s">
        <v>79</v>
      </c>
      <c r="E26" s="1" t="s">
        <v>74</v>
      </c>
      <c r="F26" s="1" t="s">
        <v>128</v>
      </c>
      <c r="G26" s="1" t="s">
        <v>572</v>
      </c>
      <c r="H26" s="1" t="s">
        <v>570</v>
      </c>
      <c r="I26" s="1"/>
      <c r="J26" s="9" t="s">
        <v>544</v>
      </c>
      <c r="K26" s="10">
        <v>0.33640566666666699</v>
      </c>
      <c r="L26" s="1" t="s">
        <v>641</v>
      </c>
      <c r="M26" s="1" t="s">
        <v>76</v>
      </c>
      <c r="N26" s="1" t="s">
        <v>644</v>
      </c>
      <c r="O26" s="1" t="s">
        <v>5</v>
      </c>
      <c r="P26" s="82">
        <v>0.26</v>
      </c>
      <c r="Q26" s="1" t="s">
        <v>76</v>
      </c>
      <c r="R26" s="81" t="s">
        <v>77</v>
      </c>
      <c r="S26" s="1" t="s">
        <v>76</v>
      </c>
      <c r="T26" s="1" t="s">
        <v>78</v>
      </c>
      <c r="U26" s="1" t="s">
        <v>658</v>
      </c>
      <c r="V26" s="1" t="s">
        <v>655</v>
      </c>
      <c r="W26" s="1">
        <v>54</v>
      </c>
      <c r="X26" s="1" t="s">
        <v>566</v>
      </c>
      <c r="Y26" s="1" t="s">
        <v>644</v>
      </c>
      <c r="Z26" s="1">
        <v>0.26</v>
      </c>
      <c r="AA26" s="1">
        <v>3.0000000000000001E-3</v>
      </c>
      <c r="AB26" s="1">
        <v>3.0000000000000001E-3</v>
      </c>
      <c r="AC26" s="1">
        <v>4.5999999999999999E-2</v>
      </c>
      <c r="AD26" s="1">
        <v>5.0000000000000001E-3</v>
      </c>
      <c r="AE26" s="1">
        <v>5.0000000000000001E-3</v>
      </c>
      <c r="AF26" s="1">
        <v>3.0000000000000001E-3</v>
      </c>
      <c r="AG26" s="1">
        <v>0</v>
      </c>
      <c r="AH26" s="1">
        <v>7.4999999999999997E-2</v>
      </c>
      <c r="AI26" s="1">
        <v>7.0000000000000001E-3</v>
      </c>
      <c r="AJ26" s="1">
        <v>8.9999999999999993E-3</v>
      </c>
      <c r="AK26" s="1">
        <v>4.0000000000000001E-3</v>
      </c>
      <c r="AL26" s="1">
        <v>1E-3</v>
      </c>
      <c r="AM26" s="1">
        <v>1E-3</v>
      </c>
      <c r="AN26" s="1">
        <v>0.222</v>
      </c>
      <c r="AO26" s="1">
        <v>2E-3</v>
      </c>
      <c r="AP26" s="1">
        <v>2E-3</v>
      </c>
      <c r="AQ26" s="1">
        <v>2E-3</v>
      </c>
      <c r="AR26" s="1">
        <v>1E-3</v>
      </c>
      <c r="AS26" s="1">
        <v>6.0000000000000001E-3</v>
      </c>
      <c r="AT26" s="1">
        <v>4.0000000000000001E-3</v>
      </c>
      <c r="AU26" s="1">
        <v>3.0000000000000001E-3</v>
      </c>
      <c r="AV26" s="1">
        <v>5.0000000000000001E-3</v>
      </c>
      <c r="AW26" s="1">
        <v>3.0000000000000001E-3</v>
      </c>
      <c r="AX26" s="1">
        <v>5.0000000000000001E-3</v>
      </c>
      <c r="AY26" s="1">
        <v>7.0000000000000001E-3</v>
      </c>
      <c r="AZ26" s="1">
        <v>6.0000000000000001E-3</v>
      </c>
      <c r="BA26" s="1">
        <v>1.2999999999999999E-2</v>
      </c>
      <c r="BB26" s="1">
        <v>3.0000000000000001E-3</v>
      </c>
      <c r="BC26" s="1">
        <v>1.0999999999999999E-2</v>
      </c>
      <c r="BD26" s="1">
        <v>1.7999999999999999E-2</v>
      </c>
      <c r="BE26" s="1">
        <v>2E-3</v>
      </c>
      <c r="BF26" s="1">
        <v>6.9000000000000006E-2</v>
      </c>
      <c r="BG26" s="1">
        <v>0</v>
      </c>
      <c r="BH26" s="1">
        <v>7.0000000000000001E-3</v>
      </c>
      <c r="BI26" s="1">
        <v>2E-3</v>
      </c>
      <c r="BJ26" s="1">
        <v>1E-3</v>
      </c>
      <c r="BK26" s="1">
        <v>1E-3</v>
      </c>
      <c r="BL26" s="1">
        <v>5.0000000000000001E-3</v>
      </c>
      <c r="BM26" s="1">
        <v>4.0000000000000001E-3</v>
      </c>
      <c r="BN26" s="1">
        <v>3.0000000000000001E-3</v>
      </c>
      <c r="BO26" s="1">
        <v>2E-3</v>
      </c>
      <c r="BP26" s="1">
        <v>1E-3</v>
      </c>
      <c r="BQ26" s="1">
        <v>4.0000000000000001E-3</v>
      </c>
      <c r="BR26" s="1">
        <v>4.0000000000000001E-3</v>
      </c>
      <c r="BS26" s="1">
        <v>2E-3</v>
      </c>
      <c r="BT26" s="1">
        <v>2E-3</v>
      </c>
      <c r="BU26" s="1">
        <v>2.1999999999999999E-2</v>
      </c>
      <c r="BV26" s="1">
        <v>2E-3</v>
      </c>
      <c r="BW26" s="1">
        <v>3.0000000000000001E-3</v>
      </c>
      <c r="BX26" s="1">
        <v>3.2000000000000001E-2</v>
      </c>
      <c r="BY26" s="1">
        <v>0.01</v>
      </c>
      <c r="BZ26" s="1">
        <v>5.0000000000000001E-3</v>
      </c>
      <c r="CA26" s="1">
        <v>5.0000000000000001E-3</v>
      </c>
      <c r="CB26" s="1">
        <v>1E-3</v>
      </c>
      <c r="CC26" s="1">
        <v>3.0000000000000001E-3</v>
      </c>
      <c r="CD26" s="1">
        <v>0</v>
      </c>
      <c r="CE26" s="1">
        <v>3.0000000000000001E-3</v>
      </c>
      <c r="CF26" s="1">
        <v>3.0000000000000001E-3</v>
      </c>
      <c r="CG26" s="1">
        <v>8.9999999999999993E-3</v>
      </c>
      <c r="CH26" s="1">
        <v>4.0000000000000001E-3</v>
      </c>
      <c r="CI26" s="1">
        <v>5.0000000000000001E-3</v>
      </c>
      <c r="CJ26" s="1">
        <v>7.0000000000000001E-3</v>
      </c>
      <c r="CK26" s="1">
        <v>3.3000000000000002E-2</v>
      </c>
      <c r="CL26" s="1">
        <v>7.0000000000000001E-3</v>
      </c>
      <c r="CM26" s="1">
        <v>46.427587359999997</v>
      </c>
      <c r="CN26" s="83">
        <v>107.257047</v>
      </c>
    </row>
    <row r="27" spans="1:92" s="3" customFormat="1" x14ac:dyDescent="0.25">
      <c r="A27" s="72">
        <v>24</v>
      </c>
      <c r="B27" s="81" t="s">
        <v>898</v>
      </c>
      <c r="C27" s="1" t="s">
        <v>72</v>
      </c>
      <c r="D27" s="1" t="s">
        <v>79</v>
      </c>
      <c r="E27" s="1" t="s">
        <v>74</v>
      </c>
      <c r="F27" s="1" t="s">
        <v>102</v>
      </c>
      <c r="G27" s="1" t="s">
        <v>80</v>
      </c>
      <c r="H27" s="1" t="s">
        <v>53</v>
      </c>
      <c r="I27" s="1"/>
      <c r="J27" s="9" t="s">
        <v>544</v>
      </c>
      <c r="K27" s="10">
        <v>0.34171249999999997</v>
      </c>
      <c r="L27" s="1" t="s">
        <v>76</v>
      </c>
      <c r="M27" s="1" t="s">
        <v>506</v>
      </c>
      <c r="N27" s="1" t="s">
        <v>645</v>
      </c>
      <c r="O27" s="1" t="s">
        <v>53</v>
      </c>
      <c r="P27" s="82">
        <v>0.94399999999999995</v>
      </c>
      <c r="Q27" s="1" t="s">
        <v>76</v>
      </c>
      <c r="R27" s="81" t="s">
        <v>118</v>
      </c>
      <c r="S27" s="1" t="s">
        <v>76</v>
      </c>
      <c r="T27" s="1" t="s">
        <v>78</v>
      </c>
      <c r="U27" s="1" t="s">
        <v>658</v>
      </c>
      <c r="V27" s="1" t="s">
        <v>655</v>
      </c>
      <c r="W27" s="1">
        <v>3</v>
      </c>
      <c r="X27" s="1" t="s">
        <v>119</v>
      </c>
      <c r="Y27" s="1" t="s">
        <v>645</v>
      </c>
      <c r="Z27" s="1">
        <v>0</v>
      </c>
      <c r="AA27" s="1">
        <v>0</v>
      </c>
      <c r="AB27" s="1">
        <v>0</v>
      </c>
      <c r="AC27" s="1">
        <v>1E-3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1E-3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4.0000000000000001E-3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1E-3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0.94399999999999995</v>
      </c>
      <c r="BW27" s="1">
        <v>0</v>
      </c>
      <c r="BX27" s="1">
        <v>3.4000000000000002E-2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8.0000000000000002E-3</v>
      </c>
      <c r="CL27" s="1">
        <v>0</v>
      </c>
      <c r="CM27" s="1">
        <v>-6.3875846369999998</v>
      </c>
      <c r="CN27" s="83">
        <v>129.8973652</v>
      </c>
    </row>
    <row r="28" spans="1:92" s="3" customFormat="1" x14ac:dyDescent="0.25">
      <c r="A28" s="72">
        <v>25</v>
      </c>
      <c r="B28" s="81" t="s">
        <v>983</v>
      </c>
      <c r="C28" s="1" t="s">
        <v>72</v>
      </c>
      <c r="D28" s="1" t="s">
        <v>79</v>
      </c>
      <c r="E28" s="1" t="s">
        <v>99</v>
      </c>
      <c r="F28" s="1" t="s">
        <v>669</v>
      </c>
      <c r="G28" s="1" t="s">
        <v>76</v>
      </c>
      <c r="H28" s="1" t="s">
        <v>68</v>
      </c>
      <c r="I28" s="1"/>
      <c r="J28" s="9" t="s">
        <v>544</v>
      </c>
      <c r="K28" s="10">
        <v>0.49923083333333301</v>
      </c>
      <c r="L28" s="1" t="s">
        <v>76</v>
      </c>
      <c r="M28" s="1" t="s">
        <v>506</v>
      </c>
      <c r="N28" s="1" t="s">
        <v>645</v>
      </c>
      <c r="O28" s="1" t="s">
        <v>68</v>
      </c>
      <c r="P28" s="82">
        <v>0.995</v>
      </c>
      <c r="Q28" s="1" t="s">
        <v>76</v>
      </c>
      <c r="R28" s="81" t="s">
        <v>114</v>
      </c>
      <c r="S28" s="1">
        <v>3</v>
      </c>
      <c r="T28" s="1" t="s">
        <v>120</v>
      </c>
      <c r="U28" s="1" t="s">
        <v>658</v>
      </c>
      <c r="V28" s="1" t="s">
        <v>655</v>
      </c>
      <c r="W28" s="1">
        <v>45</v>
      </c>
      <c r="X28" s="1" t="s">
        <v>115</v>
      </c>
      <c r="Y28" s="1" t="s">
        <v>645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1E-3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1E-3</v>
      </c>
      <c r="BT28" s="1">
        <v>0</v>
      </c>
      <c r="BU28" s="1">
        <v>0</v>
      </c>
      <c r="BV28" s="1">
        <v>0</v>
      </c>
      <c r="BW28" s="1">
        <v>0</v>
      </c>
      <c r="BX28" s="1">
        <v>1E-3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0.995</v>
      </c>
      <c r="CL28" s="1">
        <v>0</v>
      </c>
      <c r="CM28" s="1">
        <v>79.702187300000006</v>
      </c>
      <c r="CN28" s="83">
        <v>-31.806330070000001</v>
      </c>
    </row>
    <row r="29" spans="1:92" s="3" customFormat="1" x14ac:dyDescent="0.25">
      <c r="A29" s="72">
        <v>26</v>
      </c>
      <c r="B29" s="81" t="s">
        <v>1285</v>
      </c>
      <c r="C29" s="1" t="s">
        <v>72</v>
      </c>
      <c r="D29" s="1" t="s">
        <v>79</v>
      </c>
      <c r="E29" s="1" t="s">
        <v>99</v>
      </c>
      <c r="F29" s="1" t="s">
        <v>102</v>
      </c>
      <c r="G29" s="1" t="s">
        <v>80</v>
      </c>
      <c r="H29" s="1" t="s">
        <v>53</v>
      </c>
      <c r="I29" s="1"/>
      <c r="J29" s="9" t="s">
        <v>544</v>
      </c>
      <c r="K29" s="10">
        <v>0.38284433333333301</v>
      </c>
      <c r="L29" s="1" t="s">
        <v>76</v>
      </c>
      <c r="M29" s="1" t="s">
        <v>506</v>
      </c>
      <c r="N29" s="1" t="s">
        <v>645</v>
      </c>
      <c r="O29" s="1" t="s">
        <v>53</v>
      </c>
      <c r="P29" s="82">
        <v>0.999</v>
      </c>
      <c r="Q29" s="1" t="s">
        <v>76</v>
      </c>
      <c r="R29" s="81" t="s">
        <v>95</v>
      </c>
      <c r="S29" s="1" t="s">
        <v>76</v>
      </c>
      <c r="T29" s="1" t="s">
        <v>78</v>
      </c>
      <c r="U29" s="1" t="s">
        <v>658</v>
      </c>
      <c r="V29" s="1" t="s">
        <v>655</v>
      </c>
      <c r="W29" s="1">
        <v>28</v>
      </c>
      <c r="X29" s="1" t="s">
        <v>121</v>
      </c>
      <c r="Y29" s="1" t="s">
        <v>645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0.999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-6.8165737039999996</v>
      </c>
      <c r="CN29" s="83">
        <v>126.1939783</v>
      </c>
    </row>
    <row r="30" spans="1:92" s="3" customFormat="1" x14ac:dyDescent="0.25">
      <c r="A30" s="72">
        <v>27</v>
      </c>
      <c r="B30" s="81" t="s">
        <v>869</v>
      </c>
      <c r="C30" s="1" t="s">
        <v>72</v>
      </c>
      <c r="D30" s="1" t="s">
        <v>79</v>
      </c>
      <c r="E30" s="1" t="s">
        <v>99</v>
      </c>
      <c r="F30" s="1" t="s">
        <v>108</v>
      </c>
      <c r="G30" s="1" t="s">
        <v>80</v>
      </c>
      <c r="H30" s="1" t="s">
        <v>10</v>
      </c>
      <c r="I30" s="1"/>
      <c r="J30" s="9" t="s">
        <v>544</v>
      </c>
      <c r="K30" s="10">
        <v>0.44902283333333398</v>
      </c>
      <c r="L30" s="1" t="s">
        <v>641</v>
      </c>
      <c r="M30" s="1" t="s">
        <v>76</v>
      </c>
      <c r="N30" s="1" t="s">
        <v>649</v>
      </c>
      <c r="O30" s="1" t="s">
        <v>10</v>
      </c>
      <c r="P30" s="82">
        <v>0.34300000000000003</v>
      </c>
      <c r="Q30" s="1" t="s">
        <v>76</v>
      </c>
      <c r="R30" s="81" t="s">
        <v>77</v>
      </c>
      <c r="S30" s="1" t="s">
        <v>76</v>
      </c>
      <c r="T30" s="1" t="s">
        <v>78</v>
      </c>
      <c r="U30" s="1" t="s">
        <v>658</v>
      </c>
      <c r="V30" s="1" t="s">
        <v>655</v>
      </c>
      <c r="W30" s="1">
        <v>16</v>
      </c>
      <c r="X30" s="1" t="s">
        <v>109</v>
      </c>
      <c r="Y30" s="1" t="s">
        <v>649</v>
      </c>
      <c r="Z30" s="1">
        <v>1E-3</v>
      </c>
      <c r="AA30" s="1">
        <v>4.0000000000000001E-3</v>
      </c>
      <c r="AB30" s="1">
        <v>4.0000000000000001E-3</v>
      </c>
      <c r="AC30" s="1">
        <v>3.3000000000000002E-2</v>
      </c>
      <c r="AD30" s="1">
        <v>3.0000000000000001E-3</v>
      </c>
      <c r="AE30" s="1">
        <v>0.34300000000000003</v>
      </c>
      <c r="AF30" s="1">
        <v>4.0000000000000001E-3</v>
      </c>
      <c r="AG30" s="1">
        <v>0</v>
      </c>
      <c r="AH30" s="1">
        <v>2.1999999999999999E-2</v>
      </c>
      <c r="AI30" s="1">
        <v>1E-3</v>
      </c>
      <c r="AJ30" s="1">
        <v>2E-3</v>
      </c>
      <c r="AK30" s="1">
        <v>0.11899999999999999</v>
      </c>
      <c r="AL30" s="1">
        <v>1E-3</v>
      </c>
      <c r="AM30" s="1">
        <v>2E-3</v>
      </c>
      <c r="AN30" s="1">
        <v>4.0000000000000001E-3</v>
      </c>
      <c r="AO30" s="1">
        <v>8.0000000000000002E-3</v>
      </c>
      <c r="AP30" s="1">
        <v>6.0000000000000001E-3</v>
      </c>
      <c r="AQ30" s="1">
        <v>3.0000000000000001E-3</v>
      </c>
      <c r="AR30" s="1">
        <v>2E-3</v>
      </c>
      <c r="AS30" s="1">
        <v>0.02</v>
      </c>
      <c r="AT30" s="1">
        <v>1.2E-2</v>
      </c>
      <c r="AU30" s="1">
        <v>4.0000000000000001E-3</v>
      </c>
      <c r="AV30" s="1">
        <v>2E-3</v>
      </c>
      <c r="AW30" s="1">
        <v>0.02</v>
      </c>
      <c r="AX30" s="1">
        <v>3.0000000000000001E-3</v>
      </c>
      <c r="AY30" s="1">
        <v>7.0000000000000001E-3</v>
      </c>
      <c r="AZ30" s="1">
        <v>8.9999999999999993E-3</v>
      </c>
      <c r="BA30" s="1">
        <v>2.9000000000000001E-2</v>
      </c>
      <c r="BB30" s="1">
        <v>4.0000000000000001E-3</v>
      </c>
      <c r="BC30" s="1">
        <v>2E-3</v>
      </c>
      <c r="BD30" s="1">
        <v>0.02</v>
      </c>
      <c r="BE30" s="1">
        <v>4.0000000000000001E-3</v>
      </c>
      <c r="BF30" s="1">
        <v>1E-3</v>
      </c>
      <c r="BG30" s="1">
        <v>7.0000000000000001E-3</v>
      </c>
      <c r="BH30" s="1">
        <v>5.0000000000000001E-3</v>
      </c>
      <c r="BI30" s="1">
        <v>5.0000000000000001E-3</v>
      </c>
      <c r="BJ30" s="1">
        <v>1E-3</v>
      </c>
      <c r="BK30" s="1">
        <v>2E-3</v>
      </c>
      <c r="BL30" s="1">
        <v>8.0000000000000002E-3</v>
      </c>
      <c r="BM30" s="1">
        <v>3.0000000000000001E-3</v>
      </c>
      <c r="BN30" s="1">
        <v>8.0000000000000002E-3</v>
      </c>
      <c r="BO30" s="1">
        <v>2E-3</v>
      </c>
      <c r="BP30" s="1">
        <v>1E-3</v>
      </c>
      <c r="BQ30" s="1">
        <v>1.2999999999999999E-2</v>
      </c>
      <c r="BR30" s="1">
        <v>4.0000000000000001E-3</v>
      </c>
      <c r="BS30" s="1">
        <v>3.0000000000000001E-3</v>
      </c>
      <c r="BT30" s="1">
        <v>3.0000000000000001E-3</v>
      </c>
      <c r="BU30" s="1">
        <v>5.0000000000000001E-3</v>
      </c>
      <c r="BV30" s="1">
        <v>4.0000000000000001E-3</v>
      </c>
      <c r="BW30" s="1">
        <v>6.0000000000000001E-3</v>
      </c>
      <c r="BX30" s="1">
        <v>1.4999999999999999E-2</v>
      </c>
      <c r="BY30" s="1">
        <v>1.4E-2</v>
      </c>
      <c r="BZ30" s="1">
        <v>6.0000000000000001E-3</v>
      </c>
      <c r="CA30" s="1">
        <v>4.0000000000000001E-3</v>
      </c>
      <c r="CB30" s="1">
        <v>1E-3</v>
      </c>
      <c r="CC30" s="1">
        <v>5.0000000000000001E-3</v>
      </c>
      <c r="CD30" s="1">
        <v>0</v>
      </c>
      <c r="CE30" s="1">
        <v>4.0000000000000001E-3</v>
      </c>
      <c r="CF30" s="1">
        <v>4.0000000000000001E-3</v>
      </c>
      <c r="CG30" s="1">
        <v>7.0000000000000001E-3</v>
      </c>
      <c r="CH30" s="1">
        <v>1.7000000000000001E-2</v>
      </c>
      <c r="CI30" s="1">
        <v>0.01</v>
      </c>
      <c r="CJ30" s="1">
        <v>3.2000000000000001E-2</v>
      </c>
      <c r="CK30" s="1">
        <v>8.6999999999999994E-2</v>
      </c>
      <c r="CL30" s="1">
        <v>1.2E-2</v>
      </c>
      <c r="CM30" s="1">
        <v>-11.828933940000001</v>
      </c>
      <c r="CN30" s="83">
        <v>149.1209963</v>
      </c>
    </row>
    <row r="31" spans="1:92" s="3" customFormat="1" x14ac:dyDescent="0.25">
      <c r="A31" s="72">
        <v>28</v>
      </c>
      <c r="B31" s="81" t="s">
        <v>929</v>
      </c>
      <c r="C31" s="1" t="s">
        <v>72</v>
      </c>
      <c r="D31" s="1" t="s">
        <v>79</v>
      </c>
      <c r="E31" s="1" t="s">
        <v>99</v>
      </c>
      <c r="F31" s="1" t="s">
        <v>144</v>
      </c>
      <c r="G31" s="1" t="s">
        <v>80</v>
      </c>
      <c r="H31" s="1" t="s">
        <v>532</v>
      </c>
      <c r="I31" s="1"/>
      <c r="J31" s="9" t="s">
        <v>506</v>
      </c>
      <c r="K31" s="10">
        <v>0.34813050000000001</v>
      </c>
      <c r="L31" s="1" t="s">
        <v>641</v>
      </c>
      <c r="M31" s="1" t="s">
        <v>76</v>
      </c>
      <c r="N31" s="1" t="s">
        <v>644</v>
      </c>
      <c r="O31" s="1" t="s">
        <v>55</v>
      </c>
      <c r="P31" s="82">
        <v>0.44800000000000001</v>
      </c>
      <c r="Q31" s="1" t="s">
        <v>76</v>
      </c>
      <c r="R31" s="81" t="s">
        <v>91</v>
      </c>
      <c r="S31" s="1" t="s">
        <v>76</v>
      </c>
      <c r="T31" s="1" t="s">
        <v>78</v>
      </c>
      <c r="U31" s="1" t="s">
        <v>658</v>
      </c>
      <c r="V31" s="1" t="s">
        <v>655</v>
      </c>
      <c r="W31" s="1">
        <v>15</v>
      </c>
      <c r="X31" s="1" t="s">
        <v>122</v>
      </c>
      <c r="Y31" s="1" t="s">
        <v>644</v>
      </c>
      <c r="Z31" s="1">
        <v>4.0000000000000001E-3</v>
      </c>
      <c r="AA31" s="1">
        <v>3.0000000000000001E-3</v>
      </c>
      <c r="AB31" s="1">
        <v>3.0000000000000001E-3</v>
      </c>
      <c r="AC31" s="1">
        <v>7.0000000000000001E-3</v>
      </c>
      <c r="AD31" s="1">
        <v>4.0000000000000001E-3</v>
      </c>
      <c r="AE31" s="1">
        <v>8.0000000000000002E-3</v>
      </c>
      <c r="AF31" s="1">
        <v>3.0000000000000001E-3</v>
      </c>
      <c r="AG31" s="1">
        <v>0</v>
      </c>
      <c r="AH31" s="1">
        <v>1.0999999999999999E-2</v>
      </c>
      <c r="AI31" s="1">
        <v>1E-3</v>
      </c>
      <c r="AJ31" s="1">
        <v>0.217</v>
      </c>
      <c r="AK31" s="1">
        <v>3.0000000000000001E-3</v>
      </c>
      <c r="AL31" s="1">
        <v>0</v>
      </c>
      <c r="AM31" s="1">
        <v>1E-3</v>
      </c>
      <c r="AN31" s="1">
        <v>2.5000000000000001E-2</v>
      </c>
      <c r="AO31" s="1">
        <v>2E-3</v>
      </c>
      <c r="AP31" s="1">
        <v>1E-3</v>
      </c>
      <c r="AQ31" s="1">
        <v>1E-3</v>
      </c>
      <c r="AR31" s="1">
        <v>1.0999999999999999E-2</v>
      </c>
      <c r="AS31" s="1">
        <v>6.0000000000000001E-3</v>
      </c>
      <c r="AT31" s="1">
        <v>3.0000000000000001E-3</v>
      </c>
      <c r="AU31" s="1">
        <v>4.0000000000000001E-3</v>
      </c>
      <c r="AV31" s="1">
        <v>3.0000000000000001E-3</v>
      </c>
      <c r="AW31" s="1">
        <v>2E-3</v>
      </c>
      <c r="AX31" s="1">
        <v>3.0000000000000001E-3</v>
      </c>
      <c r="AY31" s="1">
        <v>4.0000000000000001E-3</v>
      </c>
      <c r="AZ31" s="1">
        <v>6.0000000000000001E-3</v>
      </c>
      <c r="BA31" s="1">
        <v>8.0000000000000002E-3</v>
      </c>
      <c r="BB31" s="1">
        <v>8.0000000000000002E-3</v>
      </c>
      <c r="BC31" s="1">
        <v>2E-3</v>
      </c>
      <c r="BD31" s="1">
        <v>1.0999999999999999E-2</v>
      </c>
      <c r="BE31" s="1">
        <v>2E-3</v>
      </c>
      <c r="BF31" s="1">
        <v>2E-3</v>
      </c>
      <c r="BG31" s="1">
        <v>1E-3</v>
      </c>
      <c r="BH31" s="1">
        <v>2E-3</v>
      </c>
      <c r="BI31" s="1">
        <v>1E-3</v>
      </c>
      <c r="BJ31" s="1">
        <v>1E-3</v>
      </c>
      <c r="BK31" s="1">
        <v>1E-3</v>
      </c>
      <c r="BL31" s="1">
        <v>2E-3</v>
      </c>
      <c r="BM31" s="1">
        <v>1E-3</v>
      </c>
      <c r="BN31" s="1">
        <v>3.0000000000000001E-3</v>
      </c>
      <c r="BO31" s="1">
        <v>1.6E-2</v>
      </c>
      <c r="BP31" s="1">
        <v>1E-3</v>
      </c>
      <c r="BQ31" s="1">
        <v>4.0000000000000001E-3</v>
      </c>
      <c r="BR31" s="1">
        <v>2E-3</v>
      </c>
      <c r="BS31" s="1">
        <v>8.0000000000000002E-3</v>
      </c>
      <c r="BT31" s="1">
        <v>1E-3</v>
      </c>
      <c r="BU31" s="1">
        <v>1.0999999999999999E-2</v>
      </c>
      <c r="BV31" s="1">
        <v>1.0999999999999999E-2</v>
      </c>
      <c r="BW31" s="1">
        <v>2E-3</v>
      </c>
      <c r="BX31" s="1">
        <v>0.44800000000000001</v>
      </c>
      <c r="BY31" s="1">
        <v>5.0000000000000001E-3</v>
      </c>
      <c r="BZ31" s="1">
        <v>4.0000000000000001E-3</v>
      </c>
      <c r="CA31" s="1">
        <v>2E-3</v>
      </c>
      <c r="CB31" s="1">
        <v>1E-3</v>
      </c>
      <c r="CC31" s="1">
        <v>2E-3</v>
      </c>
      <c r="CD31" s="1">
        <v>0</v>
      </c>
      <c r="CE31" s="1">
        <v>2E-3</v>
      </c>
      <c r="CF31" s="1">
        <v>2E-3</v>
      </c>
      <c r="CG31" s="1">
        <v>5.0000000000000001E-3</v>
      </c>
      <c r="CH31" s="1">
        <v>4.0000000000000001E-3</v>
      </c>
      <c r="CI31" s="1">
        <v>3.0000000000000001E-3</v>
      </c>
      <c r="CJ31" s="1">
        <v>4.0000000000000001E-3</v>
      </c>
      <c r="CK31" s="1">
        <v>7.4999999999999997E-2</v>
      </c>
      <c r="CL31" s="1">
        <v>4.0000000000000001E-3</v>
      </c>
      <c r="CM31" s="1">
        <v>8.3008716259999993</v>
      </c>
      <c r="CN31" s="83">
        <v>125.05457319999999</v>
      </c>
    </row>
    <row r="32" spans="1:92" s="3" customFormat="1" x14ac:dyDescent="0.25">
      <c r="A32" s="72">
        <v>29</v>
      </c>
      <c r="B32" s="81" t="s">
        <v>1316</v>
      </c>
      <c r="C32" s="1" t="s">
        <v>83</v>
      </c>
      <c r="D32" s="1" t="s">
        <v>79</v>
      </c>
      <c r="E32" s="1" t="s">
        <v>99</v>
      </c>
      <c r="F32" s="1" t="s">
        <v>84</v>
      </c>
      <c r="G32" s="1" t="s">
        <v>505</v>
      </c>
      <c r="H32" s="1" t="s">
        <v>85</v>
      </c>
      <c r="I32" s="1"/>
      <c r="J32" s="9" t="s">
        <v>544</v>
      </c>
      <c r="K32" s="10">
        <v>0.42085</v>
      </c>
      <c r="L32" s="1" t="s">
        <v>641</v>
      </c>
      <c r="M32" s="1" t="s">
        <v>76</v>
      </c>
      <c r="N32" s="1" t="s">
        <v>644</v>
      </c>
      <c r="O32" s="1" t="s">
        <v>68</v>
      </c>
      <c r="P32" s="82">
        <v>0.78</v>
      </c>
      <c r="Q32" s="1">
        <f>SUM(AK32:AN32)</f>
        <v>0.13800000000000001</v>
      </c>
      <c r="R32" s="81" t="s">
        <v>87</v>
      </c>
      <c r="S32" s="1" t="s">
        <v>123</v>
      </c>
      <c r="T32" s="1" t="s">
        <v>78</v>
      </c>
      <c r="U32" s="1" t="s">
        <v>658</v>
      </c>
      <c r="V32" s="1" t="s">
        <v>655</v>
      </c>
      <c r="W32" s="1">
        <v>53</v>
      </c>
      <c r="X32" s="1" t="s">
        <v>1728</v>
      </c>
      <c r="Y32" s="1" t="s">
        <v>644</v>
      </c>
      <c r="Z32" s="1">
        <v>3.0000000000000001E-3</v>
      </c>
      <c r="AA32" s="1">
        <v>2E-3</v>
      </c>
      <c r="AB32" s="1">
        <v>0</v>
      </c>
      <c r="AC32" s="1">
        <v>2E-3</v>
      </c>
      <c r="AD32" s="1">
        <v>1E-3</v>
      </c>
      <c r="AE32" s="1">
        <v>1E-3</v>
      </c>
      <c r="AF32" s="1">
        <v>1E-3</v>
      </c>
      <c r="AG32" s="1">
        <v>0</v>
      </c>
      <c r="AH32" s="1">
        <v>2E-3</v>
      </c>
      <c r="AI32" s="1">
        <v>2E-3</v>
      </c>
      <c r="AJ32" s="1">
        <v>1E-3</v>
      </c>
      <c r="AK32" s="1">
        <v>1E-3</v>
      </c>
      <c r="AL32" s="1">
        <v>0.106</v>
      </c>
      <c r="AM32" s="1">
        <v>1.4E-2</v>
      </c>
      <c r="AN32" s="1">
        <v>1.7000000000000001E-2</v>
      </c>
      <c r="AO32" s="1">
        <v>0</v>
      </c>
      <c r="AP32" s="1">
        <v>0</v>
      </c>
      <c r="AQ32" s="1">
        <v>0</v>
      </c>
      <c r="AR32" s="1">
        <v>3.0000000000000001E-3</v>
      </c>
      <c r="AS32" s="1">
        <v>1E-3</v>
      </c>
      <c r="AT32" s="1">
        <v>1E-3</v>
      </c>
      <c r="AU32" s="1">
        <v>1E-3</v>
      </c>
      <c r="AV32" s="1">
        <v>1E-3</v>
      </c>
      <c r="AW32" s="1">
        <v>2E-3</v>
      </c>
      <c r="AX32" s="1">
        <v>0.01</v>
      </c>
      <c r="AY32" s="1">
        <v>1E-3</v>
      </c>
      <c r="AZ32" s="1">
        <v>1E-3</v>
      </c>
      <c r="BA32" s="1">
        <v>1E-3</v>
      </c>
      <c r="BB32" s="1">
        <v>0</v>
      </c>
      <c r="BC32" s="1">
        <v>0</v>
      </c>
      <c r="BD32" s="1">
        <v>1E-3</v>
      </c>
      <c r="BE32" s="1">
        <v>0</v>
      </c>
      <c r="BF32" s="1">
        <v>4.0000000000000001E-3</v>
      </c>
      <c r="BG32" s="1">
        <v>0</v>
      </c>
      <c r="BH32" s="1">
        <v>1E-3</v>
      </c>
      <c r="BI32" s="1">
        <v>0</v>
      </c>
      <c r="BJ32" s="1">
        <v>0</v>
      </c>
      <c r="BK32" s="1">
        <v>0</v>
      </c>
      <c r="BL32" s="1">
        <v>8.0000000000000002E-3</v>
      </c>
      <c r="BM32" s="1">
        <v>1E-3</v>
      </c>
      <c r="BN32" s="1">
        <v>0</v>
      </c>
      <c r="BO32" s="1">
        <v>0</v>
      </c>
      <c r="BP32" s="1">
        <v>0</v>
      </c>
      <c r="BQ32" s="1">
        <v>1E-3</v>
      </c>
      <c r="BR32" s="1">
        <v>1E-3</v>
      </c>
      <c r="BS32" s="1">
        <v>1E-3</v>
      </c>
      <c r="BT32" s="1">
        <v>0</v>
      </c>
      <c r="BU32" s="1">
        <v>0</v>
      </c>
      <c r="BV32" s="1">
        <v>0</v>
      </c>
      <c r="BW32" s="1">
        <v>1E-3</v>
      </c>
      <c r="BX32" s="1">
        <v>4.0000000000000001E-3</v>
      </c>
      <c r="BY32" s="1">
        <v>1E-3</v>
      </c>
      <c r="BZ32" s="1">
        <v>4.0000000000000001E-3</v>
      </c>
      <c r="CA32" s="1">
        <v>2E-3</v>
      </c>
      <c r="CB32" s="1">
        <v>0</v>
      </c>
      <c r="CC32" s="1">
        <v>1E-3</v>
      </c>
      <c r="CD32" s="1">
        <v>0</v>
      </c>
      <c r="CE32" s="1">
        <v>1E-3</v>
      </c>
      <c r="CF32" s="1">
        <v>1E-3</v>
      </c>
      <c r="CG32" s="1">
        <v>5.0000000000000001E-3</v>
      </c>
      <c r="CH32" s="1">
        <v>1E-3</v>
      </c>
      <c r="CI32" s="1">
        <v>0</v>
      </c>
      <c r="CJ32" s="1">
        <v>1E-3</v>
      </c>
      <c r="CK32" s="1">
        <v>0.78</v>
      </c>
      <c r="CL32" s="1">
        <v>3.0000000000000001E-3</v>
      </c>
      <c r="CM32" s="1">
        <v>42.517349940000003</v>
      </c>
      <c r="CN32" s="83">
        <v>93.584866649999995</v>
      </c>
    </row>
    <row r="33" spans="1:92" s="3" customFormat="1" x14ac:dyDescent="0.25">
      <c r="A33" s="72">
        <v>30</v>
      </c>
      <c r="B33" s="81" t="s">
        <v>1123</v>
      </c>
      <c r="C33" s="1" t="s">
        <v>72</v>
      </c>
      <c r="D33" s="1" t="s">
        <v>79</v>
      </c>
      <c r="E33" s="1" t="s">
        <v>99</v>
      </c>
      <c r="F33" s="1" t="s">
        <v>112</v>
      </c>
      <c r="G33" s="1" t="s">
        <v>90</v>
      </c>
      <c r="H33" s="1" t="s">
        <v>112</v>
      </c>
      <c r="I33" s="1"/>
      <c r="J33" s="9" t="s">
        <v>506</v>
      </c>
      <c r="K33" s="10">
        <v>0.396287</v>
      </c>
      <c r="L33" s="1" t="s">
        <v>641</v>
      </c>
      <c r="M33" s="1" t="s">
        <v>76</v>
      </c>
      <c r="N33" s="1" t="s">
        <v>644</v>
      </c>
      <c r="O33" s="1" t="s">
        <v>16</v>
      </c>
      <c r="P33" s="82">
        <v>0.20599999999999999</v>
      </c>
      <c r="Q33" s="1" t="s">
        <v>76</v>
      </c>
      <c r="R33" s="81" t="s">
        <v>124</v>
      </c>
      <c r="S33" s="1" t="s">
        <v>76</v>
      </c>
      <c r="T33" s="1" t="s">
        <v>78</v>
      </c>
      <c r="U33" s="1" t="s">
        <v>658</v>
      </c>
      <c r="V33" s="1" t="s">
        <v>655</v>
      </c>
      <c r="W33" s="1">
        <v>36</v>
      </c>
      <c r="X33" s="1" t="s">
        <v>76</v>
      </c>
      <c r="Y33" s="1" t="s">
        <v>644</v>
      </c>
      <c r="Z33" s="1">
        <v>1E-3</v>
      </c>
      <c r="AA33" s="1">
        <v>5.0000000000000001E-3</v>
      </c>
      <c r="AB33" s="1">
        <v>7.0000000000000001E-3</v>
      </c>
      <c r="AC33" s="1">
        <v>2.1000000000000001E-2</v>
      </c>
      <c r="AD33" s="1">
        <v>5.0000000000000001E-3</v>
      </c>
      <c r="AE33" s="1">
        <v>7.8E-2</v>
      </c>
      <c r="AF33" s="1">
        <v>8.0000000000000002E-3</v>
      </c>
      <c r="AG33" s="1">
        <v>1E-3</v>
      </c>
      <c r="AH33" s="1">
        <v>1.9E-2</v>
      </c>
      <c r="AI33" s="1">
        <v>1E-3</v>
      </c>
      <c r="AJ33" s="1">
        <v>3.6999999999999998E-2</v>
      </c>
      <c r="AK33" s="1">
        <v>0.20599999999999999</v>
      </c>
      <c r="AL33" s="1">
        <v>3.0000000000000001E-3</v>
      </c>
      <c r="AM33" s="1">
        <v>5.0000000000000001E-3</v>
      </c>
      <c r="AN33" s="1">
        <v>1.0999999999999999E-2</v>
      </c>
      <c r="AO33" s="1">
        <v>5.0000000000000001E-3</v>
      </c>
      <c r="AP33" s="1">
        <v>3.0000000000000001E-3</v>
      </c>
      <c r="AQ33" s="1">
        <v>3.0000000000000001E-3</v>
      </c>
      <c r="AR33" s="1">
        <v>8.0000000000000002E-3</v>
      </c>
      <c r="AS33" s="1">
        <v>3.1E-2</v>
      </c>
      <c r="AT33" s="1">
        <v>8.9999999999999993E-3</v>
      </c>
      <c r="AU33" s="1">
        <v>6.0000000000000001E-3</v>
      </c>
      <c r="AV33" s="1">
        <v>4.0000000000000001E-3</v>
      </c>
      <c r="AW33" s="1">
        <v>8.9999999999999993E-3</v>
      </c>
      <c r="AX33" s="1">
        <v>3.0000000000000001E-3</v>
      </c>
      <c r="AY33" s="1">
        <v>6.0000000000000001E-3</v>
      </c>
      <c r="AZ33" s="1">
        <v>1.2E-2</v>
      </c>
      <c r="BA33" s="1">
        <v>0.02</v>
      </c>
      <c r="BB33" s="1">
        <v>1.6E-2</v>
      </c>
      <c r="BC33" s="1">
        <v>3.0000000000000001E-3</v>
      </c>
      <c r="BD33" s="1">
        <v>2.3E-2</v>
      </c>
      <c r="BE33" s="1">
        <v>5.0000000000000001E-3</v>
      </c>
      <c r="BF33" s="1">
        <v>1E-3</v>
      </c>
      <c r="BG33" s="1">
        <v>4.0000000000000001E-3</v>
      </c>
      <c r="BH33" s="1">
        <v>3.0000000000000001E-3</v>
      </c>
      <c r="BI33" s="1">
        <v>3.0000000000000001E-3</v>
      </c>
      <c r="BJ33" s="1">
        <v>2E-3</v>
      </c>
      <c r="BK33" s="1">
        <v>2E-3</v>
      </c>
      <c r="BL33" s="1">
        <v>6.0000000000000001E-3</v>
      </c>
      <c r="BM33" s="1">
        <v>3.0000000000000001E-3</v>
      </c>
      <c r="BN33" s="1">
        <v>8.0000000000000002E-3</v>
      </c>
      <c r="BO33" s="1">
        <v>0.02</v>
      </c>
      <c r="BP33" s="1">
        <v>1E-3</v>
      </c>
      <c r="BQ33" s="1">
        <v>1.2999999999999999E-2</v>
      </c>
      <c r="BR33" s="1">
        <v>4.0000000000000001E-3</v>
      </c>
      <c r="BS33" s="1">
        <v>4.0000000000000001E-3</v>
      </c>
      <c r="BT33" s="1">
        <v>4.0000000000000001E-3</v>
      </c>
      <c r="BU33" s="1">
        <v>0.01</v>
      </c>
      <c r="BV33" s="1">
        <v>5.2999999999999999E-2</v>
      </c>
      <c r="BW33" s="1">
        <v>6.0000000000000001E-3</v>
      </c>
      <c r="BX33" s="1">
        <v>5.1999999999999998E-2</v>
      </c>
      <c r="BY33" s="1">
        <v>0.01</v>
      </c>
      <c r="BZ33" s="1">
        <v>8.9999999999999993E-3</v>
      </c>
      <c r="CA33" s="1">
        <v>5.0000000000000001E-3</v>
      </c>
      <c r="CB33" s="1">
        <v>4.0000000000000001E-3</v>
      </c>
      <c r="CC33" s="1">
        <v>7.0000000000000001E-3</v>
      </c>
      <c r="CD33" s="1">
        <v>1E-3</v>
      </c>
      <c r="CE33" s="1">
        <v>4.0000000000000001E-3</v>
      </c>
      <c r="CF33" s="1">
        <v>4.0000000000000001E-3</v>
      </c>
      <c r="CG33" s="1">
        <v>0.01</v>
      </c>
      <c r="CH33" s="1">
        <v>1.2999999999999999E-2</v>
      </c>
      <c r="CI33" s="1">
        <v>8.9999999999999993E-3</v>
      </c>
      <c r="CJ33" s="1">
        <v>1.2999999999999999E-2</v>
      </c>
      <c r="CK33" s="1">
        <v>0.126</v>
      </c>
      <c r="CL33" s="1">
        <v>1.2E-2</v>
      </c>
      <c r="CM33" s="1">
        <v>-9.9912477150000001</v>
      </c>
      <c r="CN33" s="83">
        <v>137.52004049999999</v>
      </c>
    </row>
    <row r="34" spans="1:92" s="3" customFormat="1" x14ac:dyDescent="0.25">
      <c r="A34" s="72">
        <v>31</v>
      </c>
      <c r="B34" s="81" t="s">
        <v>1337</v>
      </c>
      <c r="C34" s="1" t="s">
        <v>72</v>
      </c>
      <c r="D34" s="1" t="s">
        <v>79</v>
      </c>
      <c r="E34" s="1" t="s">
        <v>99</v>
      </c>
      <c r="F34" s="1" t="s">
        <v>93</v>
      </c>
      <c r="G34" s="1" t="s">
        <v>103</v>
      </c>
      <c r="H34" s="1" t="s">
        <v>34</v>
      </c>
      <c r="I34" s="1"/>
      <c r="J34" s="9" t="s">
        <v>544</v>
      </c>
      <c r="K34" s="10">
        <v>0.41629566666666701</v>
      </c>
      <c r="L34" s="1" t="s">
        <v>76</v>
      </c>
      <c r="M34" s="1" t="s">
        <v>506</v>
      </c>
      <c r="N34" s="1" t="s">
        <v>645</v>
      </c>
      <c r="O34" s="1" t="s">
        <v>34</v>
      </c>
      <c r="P34" s="82">
        <v>0.90800000000000003</v>
      </c>
      <c r="Q34" s="1" t="s">
        <v>76</v>
      </c>
      <c r="R34" s="81" t="s">
        <v>77</v>
      </c>
      <c r="S34" s="1" t="s">
        <v>76</v>
      </c>
      <c r="T34" s="1" t="s">
        <v>78</v>
      </c>
      <c r="U34" s="1" t="s">
        <v>658</v>
      </c>
      <c r="V34" s="1" t="s">
        <v>655</v>
      </c>
      <c r="W34" s="1">
        <v>50</v>
      </c>
      <c r="X34" s="1" t="s">
        <v>125</v>
      </c>
      <c r="Y34" s="1" t="s">
        <v>645</v>
      </c>
      <c r="Z34" s="1">
        <v>0</v>
      </c>
      <c r="AA34" s="1">
        <v>1E-3</v>
      </c>
      <c r="AB34" s="1">
        <v>1E-3</v>
      </c>
      <c r="AC34" s="1">
        <v>4.0000000000000001E-3</v>
      </c>
      <c r="AD34" s="1">
        <v>1E-3</v>
      </c>
      <c r="AE34" s="1">
        <v>1E-3</v>
      </c>
      <c r="AF34" s="1">
        <v>0</v>
      </c>
      <c r="AG34" s="1">
        <v>0</v>
      </c>
      <c r="AH34" s="1">
        <v>2E-3</v>
      </c>
      <c r="AI34" s="1">
        <v>0</v>
      </c>
      <c r="AJ34" s="1">
        <v>0</v>
      </c>
      <c r="AK34" s="1">
        <v>1E-3</v>
      </c>
      <c r="AL34" s="1">
        <v>0.01</v>
      </c>
      <c r="AM34" s="1">
        <v>0</v>
      </c>
      <c r="AN34" s="1">
        <v>0</v>
      </c>
      <c r="AO34" s="1">
        <v>1E-3</v>
      </c>
      <c r="AP34" s="1">
        <v>1E-3</v>
      </c>
      <c r="AQ34" s="1">
        <v>0</v>
      </c>
      <c r="AR34" s="1">
        <v>0</v>
      </c>
      <c r="AS34" s="1">
        <v>2E-3</v>
      </c>
      <c r="AT34" s="1">
        <v>1E-3</v>
      </c>
      <c r="AU34" s="1">
        <v>1E-3</v>
      </c>
      <c r="AV34" s="1">
        <v>0</v>
      </c>
      <c r="AW34" s="1">
        <v>1E-3</v>
      </c>
      <c r="AX34" s="1">
        <v>1E-3</v>
      </c>
      <c r="AY34" s="1">
        <v>1E-3</v>
      </c>
      <c r="AZ34" s="1">
        <v>1E-3</v>
      </c>
      <c r="BA34" s="1">
        <v>1E-3</v>
      </c>
      <c r="BB34" s="1">
        <v>1E-3</v>
      </c>
      <c r="BC34" s="1">
        <v>0.90800000000000003</v>
      </c>
      <c r="BD34" s="1">
        <v>2E-3</v>
      </c>
      <c r="BE34" s="1">
        <v>0</v>
      </c>
      <c r="BF34" s="1">
        <v>0</v>
      </c>
      <c r="BG34" s="1">
        <v>1E-3</v>
      </c>
      <c r="BH34" s="1">
        <v>1E-3</v>
      </c>
      <c r="BI34" s="1">
        <v>0</v>
      </c>
      <c r="BJ34" s="1">
        <v>0</v>
      </c>
      <c r="BK34" s="1">
        <v>0</v>
      </c>
      <c r="BL34" s="1">
        <v>4.0000000000000001E-3</v>
      </c>
      <c r="BM34" s="1">
        <v>1E-3</v>
      </c>
      <c r="BN34" s="1">
        <v>1E-3</v>
      </c>
      <c r="BO34" s="1">
        <v>0</v>
      </c>
      <c r="BP34" s="1">
        <v>0</v>
      </c>
      <c r="BQ34" s="1">
        <v>1E-3</v>
      </c>
      <c r="BR34" s="1">
        <v>1E-3</v>
      </c>
      <c r="BS34" s="1">
        <v>0</v>
      </c>
      <c r="BT34" s="1">
        <v>0</v>
      </c>
      <c r="BU34" s="1">
        <v>0</v>
      </c>
      <c r="BV34" s="1">
        <v>1E-3</v>
      </c>
      <c r="BW34" s="1">
        <v>1E-3</v>
      </c>
      <c r="BX34" s="1">
        <v>1.7000000000000001E-2</v>
      </c>
      <c r="BY34" s="1">
        <v>3.0000000000000001E-3</v>
      </c>
      <c r="BZ34" s="1">
        <v>1E-3</v>
      </c>
      <c r="CA34" s="1">
        <v>1E-3</v>
      </c>
      <c r="CB34" s="1">
        <v>0</v>
      </c>
      <c r="CC34" s="1">
        <v>0</v>
      </c>
      <c r="CD34" s="1">
        <v>0</v>
      </c>
      <c r="CE34" s="1">
        <v>0</v>
      </c>
      <c r="CF34" s="1">
        <v>1E-3</v>
      </c>
      <c r="CG34" s="1">
        <v>1E-3</v>
      </c>
      <c r="CH34" s="1">
        <v>1E-3</v>
      </c>
      <c r="CI34" s="1">
        <v>1E-3</v>
      </c>
      <c r="CJ34" s="1">
        <v>2E-3</v>
      </c>
      <c r="CK34" s="1">
        <v>1.4999999999999999E-2</v>
      </c>
      <c r="CL34" s="1">
        <v>1E-3</v>
      </c>
      <c r="CM34" s="1">
        <v>56.52963845</v>
      </c>
      <c r="CN34" s="83">
        <v>99.880694869999999</v>
      </c>
    </row>
    <row r="35" spans="1:92" s="3" customFormat="1" x14ac:dyDescent="0.25">
      <c r="A35" s="72">
        <v>32</v>
      </c>
      <c r="B35" s="81" t="s">
        <v>1356</v>
      </c>
      <c r="C35" s="1" t="s">
        <v>72</v>
      </c>
      <c r="D35" s="1" t="s">
        <v>79</v>
      </c>
      <c r="E35" s="1" t="s">
        <v>74</v>
      </c>
      <c r="F35" s="1" t="s">
        <v>102</v>
      </c>
      <c r="G35" s="1" t="s">
        <v>80</v>
      </c>
      <c r="H35" s="1" t="s">
        <v>53</v>
      </c>
      <c r="I35" s="1"/>
      <c r="J35" s="9" t="s">
        <v>544</v>
      </c>
      <c r="K35" s="10">
        <v>0.34584933333333301</v>
      </c>
      <c r="L35" s="1" t="s">
        <v>641</v>
      </c>
      <c r="M35" s="1" t="s">
        <v>76</v>
      </c>
      <c r="N35" s="1" t="s">
        <v>649</v>
      </c>
      <c r="O35" s="1" t="s">
        <v>53</v>
      </c>
      <c r="P35" s="82">
        <v>0.40799999999999997</v>
      </c>
      <c r="Q35" s="1" t="s">
        <v>76</v>
      </c>
      <c r="R35" s="81" t="s">
        <v>81</v>
      </c>
      <c r="S35" s="1" t="s">
        <v>76</v>
      </c>
      <c r="T35" s="1" t="s">
        <v>78</v>
      </c>
      <c r="U35" s="1" t="s">
        <v>658</v>
      </c>
      <c r="V35" s="1" t="s">
        <v>655</v>
      </c>
      <c r="W35" s="1">
        <v>19</v>
      </c>
      <c r="X35" s="1" t="s">
        <v>119</v>
      </c>
      <c r="Y35" s="1" t="s">
        <v>649</v>
      </c>
      <c r="Z35" s="1">
        <v>1E-3</v>
      </c>
      <c r="AA35" s="1">
        <v>1E-3</v>
      </c>
      <c r="AB35" s="1">
        <v>1E-3</v>
      </c>
      <c r="AC35" s="1">
        <v>5.0000000000000001E-3</v>
      </c>
      <c r="AD35" s="1">
        <v>2E-3</v>
      </c>
      <c r="AE35" s="1">
        <v>5.0000000000000001E-3</v>
      </c>
      <c r="AF35" s="1">
        <v>1E-3</v>
      </c>
      <c r="AG35" s="1">
        <v>0</v>
      </c>
      <c r="AH35" s="1">
        <v>4.0000000000000001E-3</v>
      </c>
      <c r="AI35" s="1">
        <v>0</v>
      </c>
      <c r="AJ35" s="1">
        <v>0.13200000000000001</v>
      </c>
      <c r="AK35" s="1">
        <v>3.0000000000000001E-3</v>
      </c>
      <c r="AL35" s="1">
        <v>0</v>
      </c>
      <c r="AM35" s="1">
        <v>1E-3</v>
      </c>
      <c r="AN35" s="1">
        <v>4.0000000000000001E-3</v>
      </c>
      <c r="AO35" s="1">
        <v>1E-3</v>
      </c>
      <c r="AP35" s="1">
        <v>1E-3</v>
      </c>
      <c r="AQ35" s="1">
        <v>1E-3</v>
      </c>
      <c r="AR35" s="1">
        <v>2E-3</v>
      </c>
      <c r="AS35" s="1">
        <v>4.0000000000000001E-3</v>
      </c>
      <c r="AT35" s="1">
        <v>2E-3</v>
      </c>
      <c r="AU35" s="1">
        <v>1E-3</v>
      </c>
      <c r="AV35" s="1">
        <v>1E-3</v>
      </c>
      <c r="AW35" s="1">
        <v>1E-3</v>
      </c>
      <c r="AX35" s="1">
        <v>1E-3</v>
      </c>
      <c r="AY35" s="1">
        <v>1E-3</v>
      </c>
      <c r="AZ35" s="1">
        <v>2E-3</v>
      </c>
      <c r="BA35" s="1">
        <v>3.0000000000000001E-3</v>
      </c>
      <c r="BB35" s="1">
        <v>8.0000000000000002E-3</v>
      </c>
      <c r="BC35" s="1">
        <v>1E-3</v>
      </c>
      <c r="BD35" s="1">
        <v>5.0000000000000001E-3</v>
      </c>
      <c r="BE35" s="1">
        <v>1E-3</v>
      </c>
      <c r="BF35" s="1">
        <v>0</v>
      </c>
      <c r="BG35" s="1">
        <v>1E-3</v>
      </c>
      <c r="BH35" s="1">
        <v>1E-3</v>
      </c>
      <c r="BI35" s="1">
        <v>1E-3</v>
      </c>
      <c r="BJ35" s="1">
        <v>0</v>
      </c>
      <c r="BK35" s="1">
        <v>1E-3</v>
      </c>
      <c r="BL35" s="1">
        <v>1E-3</v>
      </c>
      <c r="BM35" s="1">
        <v>1E-3</v>
      </c>
      <c r="BN35" s="1">
        <v>1E-3</v>
      </c>
      <c r="BO35" s="1">
        <v>1.4999999999999999E-2</v>
      </c>
      <c r="BP35" s="1">
        <v>0</v>
      </c>
      <c r="BQ35" s="1">
        <v>2E-3</v>
      </c>
      <c r="BR35" s="1">
        <v>1E-3</v>
      </c>
      <c r="BS35" s="1">
        <v>1E-3</v>
      </c>
      <c r="BT35" s="1">
        <v>1E-3</v>
      </c>
      <c r="BU35" s="1">
        <v>2E-3</v>
      </c>
      <c r="BV35" s="1">
        <v>0.40799999999999997</v>
      </c>
      <c r="BW35" s="1">
        <v>1E-3</v>
      </c>
      <c r="BX35" s="1">
        <v>0.29699999999999999</v>
      </c>
      <c r="BY35" s="1">
        <v>2E-3</v>
      </c>
      <c r="BZ35" s="1">
        <v>2E-3</v>
      </c>
      <c r="CA35" s="1">
        <v>1E-3</v>
      </c>
      <c r="CB35" s="1">
        <v>0</v>
      </c>
      <c r="CC35" s="1">
        <v>1E-3</v>
      </c>
      <c r="CD35" s="1">
        <v>0</v>
      </c>
      <c r="CE35" s="1">
        <v>1E-3</v>
      </c>
      <c r="CF35" s="1">
        <v>1E-3</v>
      </c>
      <c r="CG35" s="1">
        <v>3.0000000000000001E-3</v>
      </c>
      <c r="CH35" s="1">
        <v>2E-3</v>
      </c>
      <c r="CI35" s="1">
        <v>1E-3</v>
      </c>
      <c r="CJ35" s="1">
        <v>2E-3</v>
      </c>
      <c r="CK35" s="1">
        <v>5.2999999999999999E-2</v>
      </c>
      <c r="CL35" s="1">
        <v>1E-3</v>
      </c>
      <c r="CM35" s="1">
        <v>1.005973121</v>
      </c>
      <c r="CN35" s="83">
        <v>120.60396900000001</v>
      </c>
    </row>
    <row r="36" spans="1:92" s="3" customFormat="1" x14ac:dyDescent="0.25">
      <c r="A36" s="72">
        <v>33</v>
      </c>
      <c r="B36" s="81" t="s">
        <v>937</v>
      </c>
      <c r="C36" s="1" t="s">
        <v>72</v>
      </c>
      <c r="D36" s="1" t="s">
        <v>79</v>
      </c>
      <c r="E36" s="1" t="s">
        <v>74</v>
      </c>
      <c r="F36" s="1" t="s">
        <v>144</v>
      </c>
      <c r="G36" s="1" t="s">
        <v>80</v>
      </c>
      <c r="H36" s="1" t="s">
        <v>532</v>
      </c>
      <c r="I36" s="1"/>
      <c r="J36" s="9" t="s">
        <v>506</v>
      </c>
      <c r="K36" s="10">
        <v>0.36591699999999999</v>
      </c>
      <c r="L36" s="1" t="s">
        <v>641</v>
      </c>
      <c r="M36" s="1" t="s">
        <v>76</v>
      </c>
      <c r="N36" s="1" t="s">
        <v>644</v>
      </c>
      <c r="O36" s="1" t="s">
        <v>55</v>
      </c>
      <c r="P36" s="82">
        <v>0.44800000000000001</v>
      </c>
      <c r="Q36" s="1" t="s">
        <v>76</v>
      </c>
      <c r="R36" s="81" t="s">
        <v>124</v>
      </c>
      <c r="S36" s="1" t="s">
        <v>76</v>
      </c>
      <c r="T36" s="1" t="s">
        <v>78</v>
      </c>
      <c r="U36" s="1" t="s">
        <v>658</v>
      </c>
      <c r="V36" s="1" t="s">
        <v>655</v>
      </c>
      <c r="W36" s="1">
        <v>61</v>
      </c>
      <c r="X36" s="1" t="s">
        <v>122</v>
      </c>
      <c r="Y36" s="1" t="s">
        <v>644</v>
      </c>
      <c r="Z36" s="1">
        <v>1E-3</v>
      </c>
      <c r="AA36" s="1">
        <v>2E-3</v>
      </c>
      <c r="AB36" s="1">
        <v>2E-3</v>
      </c>
      <c r="AC36" s="1">
        <v>1.2E-2</v>
      </c>
      <c r="AD36" s="1">
        <v>2E-3</v>
      </c>
      <c r="AE36" s="1">
        <v>8.0000000000000002E-3</v>
      </c>
      <c r="AF36" s="1">
        <v>2E-3</v>
      </c>
      <c r="AG36" s="1">
        <v>0</v>
      </c>
      <c r="AH36" s="1">
        <v>6.0000000000000001E-3</v>
      </c>
      <c r="AI36" s="1">
        <v>1E-3</v>
      </c>
      <c r="AJ36" s="1">
        <v>3.1E-2</v>
      </c>
      <c r="AK36" s="1">
        <v>8.0000000000000002E-3</v>
      </c>
      <c r="AL36" s="1">
        <v>0</v>
      </c>
      <c r="AM36" s="1">
        <v>1E-3</v>
      </c>
      <c r="AN36" s="1">
        <v>4.0000000000000001E-3</v>
      </c>
      <c r="AO36" s="1">
        <v>2E-3</v>
      </c>
      <c r="AP36" s="1">
        <v>1E-3</v>
      </c>
      <c r="AQ36" s="1">
        <v>1E-3</v>
      </c>
      <c r="AR36" s="1">
        <v>5.0000000000000001E-3</v>
      </c>
      <c r="AS36" s="1">
        <v>7.0000000000000001E-3</v>
      </c>
      <c r="AT36" s="1">
        <v>4.0000000000000001E-3</v>
      </c>
      <c r="AU36" s="1">
        <v>4.0000000000000001E-3</v>
      </c>
      <c r="AV36" s="1">
        <v>2E-3</v>
      </c>
      <c r="AW36" s="1">
        <v>2E-3</v>
      </c>
      <c r="AX36" s="1">
        <v>2E-3</v>
      </c>
      <c r="AY36" s="1">
        <v>3.0000000000000001E-3</v>
      </c>
      <c r="AZ36" s="1">
        <v>4.0000000000000001E-3</v>
      </c>
      <c r="BA36" s="1">
        <v>6.0000000000000001E-3</v>
      </c>
      <c r="BB36" s="1">
        <v>2.5999999999999999E-2</v>
      </c>
      <c r="BC36" s="1">
        <v>1E-3</v>
      </c>
      <c r="BD36" s="1">
        <v>0.01</v>
      </c>
      <c r="BE36" s="1">
        <v>1E-3</v>
      </c>
      <c r="BF36" s="1">
        <v>1E-3</v>
      </c>
      <c r="BG36" s="1">
        <v>2E-3</v>
      </c>
      <c r="BH36" s="1">
        <v>1E-3</v>
      </c>
      <c r="BI36" s="1">
        <v>1E-3</v>
      </c>
      <c r="BJ36" s="1">
        <v>1E-3</v>
      </c>
      <c r="BK36" s="1">
        <v>1E-3</v>
      </c>
      <c r="BL36" s="1">
        <v>3.0000000000000001E-3</v>
      </c>
      <c r="BM36" s="1">
        <v>1E-3</v>
      </c>
      <c r="BN36" s="1">
        <v>3.0000000000000001E-3</v>
      </c>
      <c r="BO36" s="1">
        <v>8.1000000000000003E-2</v>
      </c>
      <c r="BP36" s="1">
        <v>1E-3</v>
      </c>
      <c r="BQ36" s="1">
        <v>4.0000000000000001E-3</v>
      </c>
      <c r="BR36" s="1">
        <v>2E-3</v>
      </c>
      <c r="BS36" s="1">
        <v>4.0000000000000001E-3</v>
      </c>
      <c r="BT36" s="1">
        <v>1E-3</v>
      </c>
      <c r="BU36" s="1">
        <v>2E-3</v>
      </c>
      <c r="BV36" s="1">
        <v>0.156</v>
      </c>
      <c r="BW36" s="1">
        <v>3.0000000000000001E-3</v>
      </c>
      <c r="BX36" s="1">
        <v>0.44800000000000001</v>
      </c>
      <c r="BY36" s="1">
        <v>4.0000000000000001E-3</v>
      </c>
      <c r="BZ36" s="1">
        <v>4.0000000000000001E-3</v>
      </c>
      <c r="CA36" s="1">
        <v>2E-3</v>
      </c>
      <c r="CB36" s="1">
        <v>1E-3</v>
      </c>
      <c r="CC36" s="1">
        <v>3.0000000000000001E-3</v>
      </c>
      <c r="CD36" s="1">
        <v>0</v>
      </c>
      <c r="CE36" s="1">
        <v>2E-3</v>
      </c>
      <c r="CF36" s="1">
        <v>2E-3</v>
      </c>
      <c r="CG36" s="1">
        <v>4.0000000000000001E-3</v>
      </c>
      <c r="CH36" s="1">
        <v>4.0000000000000001E-3</v>
      </c>
      <c r="CI36" s="1">
        <v>3.0000000000000001E-3</v>
      </c>
      <c r="CJ36" s="1">
        <v>4.0000000000000001E-3</v>
      </c>
      <c r="CK36" s="1">
        <v>0.09</v>
      </c>
      <c r="CL36" s="1">
        <v>3.0000000000000001E-3</v>
      </c>
      <c r="CM36" s="1">
        <v>-2.6477761700000002</v>
      </c>
      <c r="CN36" s="83">
        <v>127.5301432</v>
      </c>
    </row>
    <row r="37" spans="1:92" s="3" customFormat="1" x14ac:dyDescent="0.25">
      <c r="A37" s="72">
        <v>34</v>
      </c>
      <c r="B37" s="81" t="s">
        <v>964</v>
      </c>
      <c r="C37" s="1" t="s">
        <v>72</v>
      </c>
      <c r="D37" s="1" t="s">
        <v>79</v>
      </c>
      <c r="E37" s="1" t="s">
        <v>74</v>
      </c>
      <c r="F37" s="1" t="s">
        <v>112</v>
      </c>
      <c r="G37" s="1" t="s">
        <v>80</v>
      </c>
      <c r="H37" s="1" t="s">
        <v>112</v>
      </c>
      <c r="I37" s="1"/>
      <c r="J37" s="9" t="s">
        <v>506</v>
      </c>
      <c r="K37" s="10">
        <v>0.37871050000000001</v>
      </c>
      <c r="L37" s="1" t="s">
        <v>641</v>
      </c>
      <c r="M37" s="1" t="s">
        <v>76</v>
      </c>
      <c r="N37" s="1" t="s">
        <v>644</v>
      </c>
      <c r="O37" s="1" t="s">
        <v>68</v>
      </c>
      <c r="P37" s="82">
        <v>0.17399999999999999</v>
      </c>
      <c r="Q37" s="1" t="s">
        <v>76</v>
      </c>
      <c r="R37" s="81" t="s">
        <v>91</v>
      </c>
      <c r="S37" s="1" t="s">
        <v>76</v>
      </c>
      <c r="T37" s="1" t="s">
        <v>78</v>
      </c>
      <c r="U37" s="1" t="s">
        <v>658</v>
      </c>
      <c r="V37" s="1" t="s">
        <v>655</v>
      </c>
      <c r="W37" s="1">
        <v>13</v>
      </c>
      <c r="X37" s="1" t="s">
        <v>76</v>
      </c>
      <c r="Y37" s="1" t="s">
        <v>644</v>
      </c>
      <c r="Z37" s="1">
        <v>8.0000000000000002E-3</v>
      </c>
      <c r="AA37" s="1">
        <v>6.0000000000000001E-3</v>
      </c>
      <c r="AB37" s="1">
        <v>8.0000000000000002E-3</v>
      </c>
      <c r="AC37" s="1">
        <v>8.9999999999999993E-3</v>
      </c>
      <c r="AD37" s="1">
        <v>7.0000000000000001E-3</v>
      </c>
      <c r="AE37" s="1">
        <v>1.2E-2</v>
      </c>
      <c r="AF37" s="1">
        <v>8.0000000000000002E-3</v>
      </c>
      <c r="AG37" s="1">
        <v>1E-3</v>
      </c>
      <c r="AH37" s="1">
        <v>1.9E-2</v>
      </c>
      <c r="AI37" s="1">
        <v>2E-3</v>
      </c>
      <c r="AJ37" s="1">
        <v>0.06</v>
      </c>
      <c r="AK37" s="1">
        <v>0.02</v>
      </c>
      <c r="AL37" s="1">
        <v>1E-3</v>
      </c>
      <c r="AM37" s="1">
        <v>5.0000000000000001E-3</v>
      </c>
      <c r="AN37" s="1">
        <v>3.5999999999999997E-2</v>
      </c>
      <c r="AO37" s="1">
        <v>3.0000000000000001E-3</v>
      </c>
      <c r="AP37" s="1">
        <v>3.0000000000000001E-3</v>
      </c>
      <c r="AQ37" s="1">
        <v>3.0000000000000001E-3</v>
      </c>
      <c r="AR37" s="1">
        <v>0.13400000000000001</v>
      </c>
      <c r="AS37" s="1">
        <v>1.2E-2</v>
      </c>
      <c r="AT37" s="1">
        <v>5.0000000000000001E-3</v>
      </c>
      <c r="AU37" s="1">
        <v>1.2E-2</v>
      </c>
      <c r="AV37" s="1">
        <v>4.0000000000000001E-3</v>
      </c>
      <c r="AW37" s="1">
        <v>5.0000000000000001E-3</v>
      </c>
      <c r="AX37" s="1">
        <v>0.01</v>
      </c>
      <c r="AY37" s="1">
        <v>7.0000000000000001E-3</v>
      </c>
      <c r="AZ37" s="1">
        <v>1.2999999999999999E-2</v>
      </c>
      <c r="BA37" s="1">
        <v>0.02</v>
      </c>
      <c r="BB37" s="1">
        <v>1.4E-2</v>
      </c>
      <c r="BC37" s="1">
        <v>3.0000000000000001E-3</v>
      </c>
      <c r="BD37" s="1">
        <v>0.02</v>
      </c>
      <c r="BE37" s="1">
        <v>3.0000000000000001E-3</v>
      </c>
      <c r="BF37" s="1">
        <v>3.0000000000000001E-3</v>
      </c>
      <c r="BG37" s="1">
        <v>2E-3</v>
      </c>
      <c r="BH37" s="1">
        <v>3.0000000000000001E-3</v>
      </c>
      <c r="BI37" s="1">
        <v>3.0000000000000001E-3</v>
      </c>
      <c r="BJ37" s="1">
        <v>2E-3</v>
      </c>
      <c r="BK37" s="1">
        <v>3.0000000000000001E-3</v>
      </c>
      <c r="BL37" s="1">
        <v>5.0000000000000001E-3</v>
      </c>
      <c r="BM37" s="1">
        <v>3.0000000000000001E-3</v>
      </c>
      <c r="BN37" s="1">
        <v>5.0000000000000001E-3</v>
      </c>
      <c r="BO37" s="1">
        <v>2.9000000000000001E-2</v>
      </c>
      <c r="BP37" s="1">
        <v>3.0000000000000001E-3</v>
      </c>
      <c r="BQ37" s="1">
        <v>8.0000000000000002E-3</v>
      </c>
      <c r="BR37" s="1">
        <v>4.0000000000000001E-3</v>
      </c>
      <c r="BS37" s="1">
        <v>4.2000000000000003E-2</v>
      </c>
      <c r="BT37" s="1">
        <v>3.0000000000000001E-3</v>
      </c>
      <c r="BU37" s="1">
        <v>0.04</v>
      </c>
      <c r="BV37" s="1">
        <v>1.0999999999999999E-2</v>
      </c>
      <c r="BW37" s="1">
        <v>5.0000000000000001E-3</v>
      </c>
      <c r="BX37" s="1">
        <v>0.108</v>
      </c>
      <c r="BY37" s="1">
        <v>0.01</v>
      </c>
      <c r="BZ37" s="1">
        <v>0.01</v>
      </c>
      <c r="CA37" s="1">
        <v>5.0000000000000001E-3</v>
      </c>
      <c r="CB37" s="1">
        <v>3.0000000000000001E-3</v>
      </c>
      <c r="CC37" s="1">
        <v>5.0000000000000001E-3</v>
      </c>
      <c r="CD37" s="1">
        <v>0</v>
      </c>
      <c r="CE37" s="1">
        <v>4.0000000000000001E-3</v>
      </c>
      <c r="CF37" s="1">
        <v>3.0000000000000001E-3</v>
      </c>
      <c r="CG37" s="1">
        <v>5.0000000000000001E-3</v>
      </c>
      <c r="CH37" s="1">
        <v>7.0000000000000001E-3</v>
      </c>
      <c r="CI37" s="1">
        <v>6.0000000000000001E-3</v>
      </c>
      <c r="CJ37" s="1">
        <v>8.0000000000000002E-3</v>
      </c>
      <c r="CK37" s="1">
        <v>0.17399999999999999</v>
      </c>
      <c r="CL37" s="1">
        <v>8.9999999999999993E-3</v>
      </c>
      <c r="CM37" s="1">
        <v>1.905450782</v>
      </c>
      <c r="CN37" s="83">
        <v>123.30519409999999</v>
      </c>
    </row>
    <row r="38" spans="1:92" s="3" customFormat="1" x14ac:dyDescent="0.25">
      <c r="A38" s="72">
        <v>35</v>
      </c>
      <c r="B38" s="81" t="s">
        <v>1219</v>
      </c>
      <c r="C38" s="1" t="s">
        <v>72</v>
      </c>
      <c r="D38" s="1" t="s">
        <v>79</v>
      </c>
      <c r="E38" s="1" t="s">
        <v>74</v>
      </c>
      <c r="F38" s="1" t="s">
        <v>144</v>
      </c>
      <c r="G38" s="1" t="s">
        <v>80</v>
      </c>
      <c r="H38" s="1" t="s">
        <v>532</v>
      </c>
      <c r="I38" s="1"/>
      <c r="J38" s="9" t="s">
        <v>506</v>
      </c>
      <c r="K38" s="10">
        <v>0.35998533333333399</v>
      </c>
      <c r="L38" s="1" t="s">
        <v>641</v>
      </c>
      <c r="M38" s="1" t="s">
        <v>76</v>
      </c>
      <c r="N38" s="1" t="s">
        <v>644</v>
      </c>
      <c r="O38" s="1" t="s">
        <v>37</v>
      </c>
      <c r="P38" s="82">
        <v>0.60799999999999998</v>
      </c>
      <c r="Q38" s="1" t="s">
        <v>76</v>
      </c>
      <c r="R38" s="81" t="s">
        <v>95</v>
      </c>
      <c r="S38" s="1" t="s">
        <v>76</v>
      </c>
      <c r="T38" s="1" t="s">
        <v>78</v>
      </c>
      <c r="U38" s="1" t="s">
        <v>658</v>
      </c>
      <c r="V38" s="1" t="s">
        <v>655</v>
      </c>
      <c r="W38" s="1">
        <v>7</v>
      </c>
      <c r="X38" s="1" t="s">
        <v>117</v>
      </c>
      <c r="Y38" s="1" t="s">
        <v>644</v>
      </c>
      <c r="Z38" s="1">
        <v>3.0000000000000001E-3</v>
      </c>
      <c r="AA38" s="1">
        <v>2E-3</v>
      </c>
      <c r="AB38" s="1">
        <v>2E-3</v>
      </c>
      <c r="AC38" s="1">
        <v>1.7999999999999999E-2</v>
      </c>
      <c r="AD38" s="1">
        <v>3.0000000000000001E-3</v>
      </c>
      <c r="AE38" s="1">
        <v>7.0000000000000001E-3</v>
      </c>
      <c r="AF38" s="1">
        <v>2E-3</v>
      </c>
      <c r="AG38" s="1">
        <v>0</v>
      </c>
      <c r="AH38" s="1">
        <v>6.0000000000000001E-3</v>
      </c>
      <c r="AI38" s="1">
        <v>3.0000000000000001E-3</v>
      </c>
      <c r="AJ38" s="1">
        <v>5.0000000000000001E-3</v>
      </c>
      <c r="AK38" s="1">
        <v>4.0000000000000001E-3</v>
      </c>
      <c r="AL38" s="1">
        <v>0</v>
      </c>
      <c r="AM38" s="1">
        <v>1E-3</v>
      </c>
      <c r="AN38" s="1">
        <v>7.9000000000000001E-2</v>
      </c>
      <c r="AO38" s="1">
        <v>2E-3</v>
      </c>
      <c r="AP38" s="1">
        <v>2E-3</v>
      </c>
      <c r="AQ38" s="1">
        <v>1E-3</v>
      </c>
      <c r="AR38" s="1">
        <v>2E-3</v>
      </c>
      <c r="AS38" s="1">
        <v>4.0000000000000001E-3</v>
      </c>
      <c r="AT38" s="1">
        <v>2E-3</v>
      </c>
      <c r="AU38" s="1">
        <v>2E-3</v>
      </c>
      <c r="AV38" s="1">
        <v>2E-3</v>
      </c>
      <c r="AW38" s="1">
        <v>2E-3</v>
      </c>
      <c r="AX38" s="1">
        <v>1E-3</v>
      </c>
      <c r="AY38" s="1">
        <v>2E-3</v>
      </c>
      <c r="AZ38" s="1">
        <v>4.0000000000000001E-3</v>
      </c>
      <c r="BA38" s="1">
        <v>6.0000000000000001E-3</v>
      </c>
      <c r="BB38" s="1">
        <v>3.0000000000000001E-3</v>
      </c>
      <c r="BC38" s="1">
        <v>1E-3</v>
      </c>
      <c r="BD38" s="1">
        <v>8.9999999999999993E-3</v>
      </c>
      <c r="BE38" s="1">
        <v>1E-3</v>
      </c>
      <c r="BF38" s="1">
        <v>0.60799999999999998</v>
      </c>
      <c r="BG38" s="1">
        <v>0</v>
      </c>
      <c r="BH38" s="1">
        <v>0.01</v>
      </c>
      <c r="BI38" s="1">
        <v>1E-3</v>
      </c>
      <c r="BJ38" s="1">
        <v>0</v>
      </c>
      <c r="BK38" s="1">
        <v>1E-3</v>
      </c>
      <c r="BL38" s="1">
        <v>2E-3</v>
      </c>
      <c r="BM38" s="1">
        <v>1E-3</v>
      </c>
      <c r="BN38" s="1">
        <v>2E-3</v>
      </c>
      <c r="BO38" s="1">
        <v>3.0000000000000001E-3</v>
      </c>
      <c r="BP38" s="1">
        <v>0</v>
      </c>
      <c r="BQ38" s="1">
        <v>3.0000000000000001E-3</v>
      </c>
      <c r="BR38" s="1">
        <v>2E-3</v>
      </c>
      <c r="BS38" s="1">
        <v>3.0000000000000001E-3</v>
      </c>
      <c r="BT38" s="1">
        <v>1E-3</v>
      </c>
      <c r="BU38" s="1">
        <v>8.9999999999999993E-3</v>
      </c>
      <c r="BV38" s="1">
        <v>3.0000000000000001E-3</v>
      </c>
      <c r="BW38" s="1">
        <v>2E-3</v>
      </c>
      <c r="BX38" s="1">
        <v>0.127</v>
      </c>
      <c r="BY38" s="1">
        <v>4.0000000000000001E-3</v>
      </c>
      <c r="BZ38" s="1">
        <v>2E-3</v>
      </c>
      <c r="CA38" s="1">
        <v>2E-3</v>
      </c>
      <c r="CB38" s="1">
        <v>1E-3</v>
      </c>
      <c r="CC38" s="1">
        <v>1E-3</v>
      </c>
      <c r="CD38" s="1">
        <v>0</v>
      </c>
      <c r="CE38" s="1">
        <v>1E-3</v>
      </c>
      <c r="CF38" s="1">
        <v>2E-3</v>
      </c>
      <c r="CG38" s="1">
        <v>2E-3</v>
      </c>
      <c r="CH38" s="1">
        <v>3.0000000000000001E-3</v>
      </c>
      <c r="CI38" s="1">
        <v>3.0000000000000001E-3</v>
      </c>
      <c r="CJ38" s="1">
        <v>3.0000000000000001E-3</v>
      </c>
      <c r="CK38" s="1">
        <v>1.6E-2</v>
      </c>
      <c r="CL38" s="1">
        <v>3.0000000000000001E-3</v>
      </c>
      <c r="CM38" s="1">
        <v>16.176964000000002</v>
      </c>
      <c r="CN38" s="83">
        <v>123.2582365</v>
      </c>
    </row>
    <row r="39" spans="1:92" s="3" customFormat="1" x14ac:dyDescent="0.25">
      <c r="A39" s="72">
        <v>36</v>
      </c>
      <c r="B39" s="81" t="s">
        <v>1007</v>
      </c>
      <c r="C39" s="1" t="s">
        <v>72</v>
      </c>
      <c r="D39" s="1" t="s">
        <v>73</v>
      </c>
      <c r="E39" s="1" t="s">
        <v>74</v>
      </c>
      <c r="F39" s="1" t="s">
        <v>97</v>
      </c>
      <c r="G39" s="1" t="s">
        <v>126</v>
      </c>
      <c r="H39" s="1" t="s">
        <v>97</v>
      </c>
      <c r="I39" s="1"/>
      <c r="J39" s="9" t="s">
        <v>506</v>
      </c>
      <c r="K39" s="10">
        <v>0.368885666666667</v>
      </c>
      <c r="L39" s="1" t="s">
        <v>605</v>
      </c>
      <c r="M39" s="1"/>
      <c r="N39" s="1" t="s">
        <v>647</v>
      </c>
      <c r="O39" s="1" t="s">
        <v>33</v>
      </c>
      <c r="P39" s="82">
        <v>0.91</v>
      </c>
      <c r="Q39" s="1" t="s">
        <v>76</v>
      </c>
      <c r="R39" s="81" t="s">
        <v>77</v>
      </c>
      <c r="S39" s="1" t="s">
        <v>76</v>
      </c>
      <c r="T39" s="1" t="s">
        <v>78</v>
      </c>
      <c r="U39" s="1" t="s">
        <v>658</v>
      </c>
      <c r="V39" s="1" t="s">
        <v>655</v>
      </c>
      <c r="W39" s="1">
        <v>14</v>
      </c>
      <c r="X39" s="1" t="s">
        <v>76</v>
      </c>
      <c r="Y39" s="1" t="s">
        <v>647</v>
      </c>
      <c r="Z39" s="1">
        <v>0</v>
      </c>
      <c r="AA39" s="1">
        <v>0</v>
      </c>
      <c r="AB39" s="1">
        <v>0</v>
      </c>
      <c r="AC39" s="1">
        <v>2E-3</v>
      </c>
      <c r="AD39" s="1">
        <v>0</v>
      </c>
      <c r="AE39" s="1">
        <v>0</v>
      </c>
      <c r="AF39" s="1">
        <v>0</v>
      </c>
      <c r="AG39" s="1">
        <v>0</v>
      </c>
      <c r="AH39" s="1">
        <v>1E-3</v>
      </c>
      <c r="AI39" s="1">
        <v>0</v>
      </c>
      <c r="AJ39" s="1">
        <v>1E-3</v>
      </c>
      <c r="AK39" s="1">
        <v>2E-3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1E-3</v>
      </c>
      <c r="AT39" s="1">
        <v>1E-3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1E-3</v>
      </c>
      <c r="BB39" s="1">
        <v>0.91</v>
      </c>
      <c r="BC39" s="1">
        <v>0</v>
      </c>
      <c r="BD39" s="1">
        <v>1E-3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1E-3</v>
      </c>
      <c r="BP39" s="1">
        <v>0</v>
      </c>
      <c r="BQ39" s="1">
        <v>1E-3</v>
      </c>
      <c r="BR39" s="1">
        <v>0</v>
      </c>
      <c r="BS39" s="1">
        <v>0</v>
      </c>
      <c r="BT39" s="1">
        <v>0</v>
      </c>
      <c r="BU39" s="1">
        <v>1E-3</v>
      </c>
      <c r="BV39" s="1">
        <v>6.0000000000000001E-3</v>
      </c>
      <c r="BW39" s="1">
        <v>0</v>
      </c>
      <c r="BX39" s="1">
        <v>0.05</v>
      </c>
      <c r="BY39" s="1">
        <v>1E-3</v>
      </c>
      <c r="BZ39" s="1">
        <v>1E-3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1E-3</v>
      </c>
      <c r="CI39" s="1">
        <v>1E-3</v>
      </c>
      <c r="CJ39" s="1">
        <v>1E-3</v>
      </c>
      <c r="CK39" s="1">
        <v>7.0000000000000001E-3</v>
      </c>
      <c r="CL39" s="1">
        <v>1E-3</v>
      </c>
      <c r="CM39" s="1">
        <v>-11.498870610000001</v>
      </c>
      <c r="CN39" s="83">
        <v>117.9593686</v>
      </c>
    </row>
    <row r="40" spans="1:92" s="3" customFormat="1" ht="15" customHeight="1" x14ac:dyDescent="0.25">
      <c r="A40" s="72">
        <v>37</v>
      </c>
      <c r="B40" s="81" t="s">
        <v>1205</v>
      </c>
      <c r="C40" s="1" t="s">
        <v>72</v>
      </c>
      <c r="D40" s="1" t="s">
        <v>79</v>
      </c>
      <c r="E40" s="1" t="s">
        <v>99</v>
      </c>
      <c r="F40" s="1" t="s">
        <v>102</v>
      </c>
      <c r="G40" s="1" t="s">
        <v>76</v>
      </c>
      <c r="H40" s="1" t="s">
        <v>53</v>
      </c>
      <c r="I40" s="1"/>
      <c r="J40" s="9" t="s">
        <v>544</v>
      </c>
      <c r="K40" s="10">
        <v>0.42601816666666698</v>
      </c>
      <c r="L40" s="1" t="s">
        <v>76</v>
      </c>
      <c r="M40" s="1" t="s">
        <v>506</v>
      </c>
      <c r="N40" s="1" t="s">
        <v>645</v>
      </c>
      <c r="O40" s="1" t="s">
        <v>53</v>
      </c>
      <c r="P40" s="82">
        <v>0.996</v>
      </c>
      <c r="Q40" s="1" t="s">
        <v>76</v>
      </c>
      <c r="R40" s="81" t="s">
        <v>81</v>
      </c>
      <c r="S40" s="1" t="s">
        <v>76</v>
      </c>
      <c r="T40" s="1" t="s">
        <v>78</v>
      </c>
      <c r="U40" s="1" t="s">
        <v>658</v>
      </c>
      <c r="V40" s="1" t="s">
        <v>655</v>
      </c>
      <c r="W40" s="1">
        <v>3</v>
      </c>
      <c r="X40" s="1" t="s">
        <v>76</v>
      </c>
      <c r="Y40" s="1" t="s">
        <v>645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0.996</v>
      </c>
      <c r="BW40" s="1">
        <v>0</v>
      </c>
      <c r="BX40" s="1">
        <v>1E-3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2E-3</v>
      </c>
      <c r="CL40" s="1">
        <v>0</v>
      </c>
      <c r="CM40" s="1">
        <v>-11.49847478</v>
      </c>
      <c r="CN40" s="83">
        <v>131.6420798</v>
      </c>
    </row>
    <row r="41" spans="1:92" s="3" customFormat="1" x14ac:dyDescent="0.25">
      <c r="A41" s="72">
        <v>38</v>
      </c>
      <c r="B41" s="81" t="s">
        <v>1203</v>
      </c>
      <c r="C41" s="1" t="s">
        <v>72</v>
      </c>
      <c r="D41" s="1" t="s">
        <v>79</v>
      </c>
      <c r="E41" s="1" t="s">
        <v>99</v>
      </c>
      <c r="F41" s="1" t="s">
        <v>144</v>
      </c>
      <c r="G41" s="1" t="s">
        <v>80</v>
      </c>
      <c r="H41" s="1" t="s">
        <v>532</v>
      </c>
      <c r="I41" s="1"/>
      <c r="J41" s="9" t="s">
        <v>506</v>
      </c>
      <c r="K41" s="10">
        <v>0.35424</v>
      </c>
      <c r="L41" s="1" t="s">
        <v>675</v>
      </c>
      <c r="M41" s="1" t="s">
        <v>506</v>
      </c>
      <c r="N41" s="1" t="s">
        <v>648</v>
      </c>
      <c r="O41" s="1" t="s">
        <v>55</v>
      </c>
      <c r="P41" s="82">
        <v>0.93700000000000006</v>
      </c>
      <c r="Q41" s="1" t="s">
        <v>76</v>
      </c>
      <c r="R41" s="81" t="s">
        <v>91</v>
      </c>
      <c r="S41" s="1" t="s">
        <v>76</v>
      </c>
      <c r="T41" s="1" t="s">
        <v>78</v>
      </c>
      <c r="U41" s="1" t="s">
        <v>658</v>
      </c>
      <c r="V41" s="1" t="s">
        <v>655</v>
      </c>
      <c r="W41" s="1">
        <v>15</v>
      </c>
      <c r="X41" s="1" t="s">
        <v>1723</v>
      </c>
      <c r="Y41" s="1" t="s">
        <v>648</v>
      </c>
      <c r="Z41" s="1">
        <v>0</v>
      </c>
      <c r="AA41" s="1">
        <v>0</v>
      </c>
      <c r="AB41" s="1">
        <v>0</v>
      </c>
      <c r="AC41" s="1">
        <v>3.0000000000000001E-3</v>
      </c>
      <c r="AD41" s="1">
        <v>0</v>
      </c>
      <c r="AE41" s="1">
        <v>1E-3</v>
      </c>
      <c r="AF41" s="1">
        <v>0</v>
      </c>
      <c r="AG41" s="1">
        <v>0</v>
      </c>
      <c r="AH41" s="1">
        <v>2E-3</v>
      </c>
      <c r="AI41" s="1">
        <v>0</v>
      </c>
      <c r="AJ41" s="1">
        <v>4.0000000000000001E-3</v>
      </c>
      <c r="AK41" s="1">
        <v>1E-3</v>
      </c>
      <c r="AL41" s="1">
        <v>0</v>
      </c>
      <c r="AM41" s="1">
        <v>0</v>
      </c>
      <c r="AN41" s="1">
        <v>1E-3</v>
      </c>
      <c r="AO41" s="1">
        <v>0</v>
      </c>
      <c r="AP41" s="1">
        <v>0</v>
      </c>
      <c r="AQ41" s="1">
        <v>0</v>
      </c>
      <c r="AR41" s="1">
        <v>1E-3</v>
      </c>
      <c r="AS41" s="1">
        <v>1E-3</v>
      </c>
      <c r="AT41" s="1">
        <v>1E-3</v>
      </c>
      <c r="AU41" s="1">
        <v>1E-3</v>
      </c>
      <c r="AV41" s="1">
        <v>0</v>
      </c>
      <c r="AW41" s="1">
        <v>0</v>
      </c>
      <c r="AX41" s="1">
        <v>0</v>
      </c>
      <c r="AY41" s="1">
        <v>0</v>
      </c>
      <c r="AZ41" s="1">
        <v>1E-3</v>
      </c>
      <c r="BA41" s="1">
        <v>1E-3</v>
      </c>
      <c r="BB41" s="1">
        <v>0.01</v>
      </c>
      <c r="BC41" s="1">
        <v>0</v>
      </c>
      <c r="BD41" s="1">
        <v>2E-3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1E-3</v>
      </c>
      <c r="BM41" s="1">
        <v>0</v>
      </c>
      <c r="BN41" s="1">
        <v>1E-3</v>
      </c>
      <c r="BO41" s="1">
        <v>4.0000000000000001E-3</v>
      </c>
      <c r="BP41" s="1">
        <v>0</v>
      </c>
      <c r="BQ41" s="1">
        <v>1E-3</v>
      </c>
      <c r="BR41" s="1">
        <v>0</v>
      </c>
      <c r="BS41" s="1">
        <v>0</v>
      </c>
      <c r="BT41" s="1">
        <v>0</v>
      </c>
      <c r="BU41" s="1">
        <v>0</v>
      </c>
      <c r="BV41" s="1">
        <v>5.0000000000000001E-3</v>
      </c>
      <c r="BW41" s="1">
        <v>1E-3</v>
      </c>
      <c r="BX41" s="1">
        <v>0.93700000000000006</v>
      </c>
      <c r="BY41" s="1">
        <v>1E-3</v>
      </c>
      <c r="BZ41" s="1">
        <v>1E-3</v>
      </c>
      <c r="CA41" s="1">
        <v>0</v>
      </c>
      <c r="CB41" s="1">
        <v>0</v>
      </c>
      <c r="CC41" s="1">
        <v>1E-3</v>
      </c>
      <c r="CD41" s="1">
        <v>0</v>
      </c>
      <c r="CE41" s="1">
        <v>0</v>
      </c>
      <c r="CF41" s="1">
        <v>0</v>
      </c>
      <c r="CG41" s="1">
        <v>1E-3</v>
      </c>
      <c r="CH41" s="1">
        <v>1E-3</v>
      </c>
      <c r="CI41" s="1">
        <v>1E-3</v>
      </c>
      <c r="CJ41" s="1">
        <v>1E-3</v>
      </c>
      <c r="CK41" s="1">
        <v>8.0000000000000002E-3</v>
      </c>
      <c r="CL41" s="1">
        <v>1E-3</v>
      </c>
      <c r="CM41" s="1">
        <v>1.8811511990000001</v>
      </c>
      <c r="CN41" s="83">
        <v>130.03126689999999</v>
      </c>
    </row>
    <row r="42" spans="1:92" s="3" customFormat="1" x14ac:dyDescent="0.25">
      <c r="A42" s="72">
        <v>39</v>
      </c>
      <c r="B42" s="81" t="s">
        <v>1382</v>
      </c>
      <c r="C42" s="1" t="s">
        <v>72</v>
      </c>
      <c r="D42" s="1" t="s">
        <v>79</v>
      </c>
      <c r="E42" s="1" t="s">
        <v>99</v>
      </c>
      <c r="F42" s="1" t="s">
        <v>93</v>
      </c>
      <c r="G42" s="1" t="s">
        <v>80</v>
      </c>
      <c r="H42" s="1" t="s">
        <v>34</v>
      </c>
      <c r="I42" s="1"/>
      <c r="J42" s="9" t="s">
        <v>544</v>
      </c>
      <c r="K42" s="10">
        <v>0.42392350000000001</v>
      </c>
      <c r="L42" s="1" t="s">
        <v>76</v>
      </c>
      <c r="M42" s="1" t="s">
        <v>506</v>
      </c>
      <c r="N42" s="1" t="s">
        <v>645</v>
      </c>
      <c r="O42" s="1" t="s">
        <v>34</v>
      </c>
      <c r="P42" s="82">
        <v>0.998</v>
      </c>
      <c r="Q42" s="1" t="s">
        <v>76</v>
      </c>
      <c r="R42" s="81" t="s">
        <v>91</v>
      </c>
      <c r="S42" s="1" t="s">
        <v>76</v>
      </c>
      <c r="T42" s="1" t="s">
        <v>78</v>
      </c>
      <c r="U42" s="1" t="s">
        <v>658</v>
      </c>
      <c r="V42" s="1" t="s">
        <v>655</v>
      </c>
      <c r="W42" s="1">
        <v>51</v>
      </c>
      <c r="X42" s="1" t="s">
        <v>127</v>
      </c>
      <c r="Y42" s="1" t="s">
        <v>645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1E-3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0.998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54.930119580000003</v>
      </c>
      <c r="CN42" s="83">
        <v>97.571037369999999</v>
      </c>
    </row>
    <row r="43" spans="1:92" s="3" customFormat="1" x14ac:dyDescent="0.25">
      <c r="A43" s="72">
        <v>40</v>
      </c>
      <c r="B43" s="81" t="s">
        <v>1066</v>
      </c>
      <c r="C43" s="1" t="s">
        <v>72</v>
      </c>
      <c r="D43" s="1" t="s">
        <v>79</v>
      </c>
      <c r="E43" s="1" t="s">
        <v>74</v>
      </c>
      <c r="F43" s="1" t="s">
        <v>128</v>
      </c>
      <c r="G43" s="1" t="s">
        <v>168</v>
      </c>
      <c r="H43" s="1" t="s">
        <v>534</v>
      </c>
      <c r="I43" s="1"/>
      <c r="J43" s="9" t="s">
        <v>506</v>
      </c>
      <c r="K43" s="10">
        <v>0.395139666666667</v>
      </c>
      <c r="L43" s="1" t="s">
        <v>76</v>
      </c>
      <c r="M43" s="1" t="s">
        <v>506</v>
      </c>
      <c r="N43" s="1" t="s">
        <v>648</v>
      </c>
      <c r="O43" s="1" t="s">
        <v>68</v>
      </c>
      <c r="P43" s="82">
        <v>0.9</v>
      </c>
      <c r="Q43" s="1" t="s">
        <v>76</v>
      </c>
      <c r="R43" s="81" t="s">
        <v>129</v>
      </c>
      <c r="S43" s="1">
        <v>3</v>
      </c>
      <c r="T43" s="1" t="s">
        <v>120</v>
      </c>
      <c r="U43" s="1" t="s">
        <v>658</v>
      </c>
      <c r="V43" s="1" t="s">
        <v>655</v>
      </c>
      <c r="W43" s="1">
        <v>41</v>
      </c>
      <c r="X43" s="1" t="s">
        <v>504</v>
      </c>
      <c r="Y43" s="1" t="s">
        <v>648</v>
      </c>
      <c r="Z43" s="1">
        <v>3.0000000000000001E-3</v>
      </c>
      <c r="AA43" s="1">
        <v>1E-3</v>
      </c>
      <c r="AB43" s="1">
        <v>0</v>
      </c>
      <c r="AC43" s="1">
        <v>2E-3</v>
      </c>
      <c r="AD43" s="1">
        <v>1E-3</v>
      </c>
      <c r="AE43" s="1">
        <v>1E-3</v>
      </c>
      <c r="AF43" s="1">
        <v>1E-3</v>
      </c>
      <c r="AG43" s="1">
        <v>0</v>
      </c>
      <c r="AH43" s="1">
        <v>1E-3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1E-3</v>
      </c>
      <c r="AO43" s="1">
        <v>0</v>
      </c>
      <c r="AP43" s="1">
        <v>0</v>
      </c>
      <c r="AQ43" s="1">
        <v>0</v>
      </c>
      <c r="AR43" s="1">
        <v>4.0000000000000001E-3</v>
      </c>
      <c r="AS43" s="1">
        <v>1E-3</v>
      </c>
      <c r="AT43" s="1">
        <v>0</v>
      </c>
      <c r="AU43" s="1">
        <v>2E-3</v>
      </c>
      <c r="AV43" s="1">
        <v>0</v>
      </c>
      <c r="AW43" s="1">
        <v>0</v>
      </c>
      <c r="AX43" s="1">
        <v>1E-3</v>
      </c>
      <c r="AY43" s="1">
        <v>1E-3</v>
      </c>
      <c r="AZ43" s="1">
        <v>1E-3</v>
      </c>
      <c r="BA43" s="1">
        <v>1E-3</v>
      </c>
      <c r="BB43" s="1">
        <v>0</v>
      </c>
      <c r="BC43" s="1">
        <v>0</v>
      </c>
      <c r="BD43" s="1">
        <v>1E-3</v>
      </c>
      <c r="BE43" s="1">
        <v>0</v>
      </c>
      <c r="BF43" s="1">
        <v>6.0000000000000001E-3</v>
      </c>
      <c r="BG43" s="1">
        <v>0</v>
      </c>
      <c r="BH43" s="1">
        <v>1E-3</v>
      </c>
      <c r="BI43" s="1">
        <v>0</v>
      </c>
      <c r="BJ43" s="1">
        <v>0</v>
      </c>
      <c r="BK43" s="1">
        <v>0</v>
      </c>
      <c r="BL43" s="1">
        <v>1E-3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6.0000000000000001E-3</v>
      </c>
      <c r="BT43" s="1">
        <v>0</v>
      </c>
      <c r="BU43" s="1">
        <v>0</v>
      </c>
      <c r="BV43" s="1">
        <v>0</v>
      </c>
      <c r="BW43" s="1">
        <v>0</v>
      </c>
      <c r="BX43" s="1">
        <v>0.05</v>
      </c>
      <c r="BY43" s="1">
        <v>1E-3</v>
      </c>
      <c r="BZ43" s="1">
        <v>1E-3</v>
      </c>
      <c r="CA43" s="1">
        <v>1E-3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1E-3</v>
      </c>
      <c r="CH43" s="1">
        <v>0</v>
      </c>
      <c r="CI43" s="1">
        <v>0</v>
      </c>
      <c r="CJ43" s="1">
        <v>1E-3</v>
      </c>
      <c r="CK43" s="1">
        <v>0.9</v>
      </c>
      <c r="CL43" s="1">
        <v>1E-3</v>
      </c>
      <c r="CM43" s="1">
        <v>82.693977899999993</v>
      </c>
      <c r="CN43" s="83">
        <v>-28.914204399999999</v>
      </c>
    </row>
    <row r="44" spans="1:92" s="3" customFormat="1" x14ac:dyDescent="0.25">
      <c r="A44" s="72">
        <v>41</v>
      </c>
      <c r="B44" s="81" t="s">
        <v>891</v>
      </c>
      <c r="C44" s="1" t="s">
        <v>72</v>
      </c>
      <c r="D44" s="1" t="s">
        <v>79</v>
      </c>
      <c r="E44" s="1" t="s">
        <v>74</v>
      </c>
      <c r="F44" s="1" t="s">
        <v>108</v>
      </c>
      <c r="G44" s="1" t="s">
        <v>80</v>
      </c>
      <c r="H44" s="1" t="s">
        <v>10</v>
      </c>
      <c r="I44" s="1"/>
      <c r="J44" s="9" t="s">
        <v>544</v>
      </c>
      <c r="K44" s="10">
        <v>0.46604800000000102</v>
      </c>
      <c r="L44" s="1" t="s">
        <v>76</v>
      </c>
      <c r="M44" s="1" t="s">
        <v>506</v>
      </c>
      <c r="N44" s="1" t="s">
        <v>645</v>
      </c>
      <c r="O44" s="1" t="s">
        <v>10</v>
      </c>
      <c r="P44" s="82">
        <v>0.94899999999999995</v>
      </c>
      <c r="Q44" s="1" t="s">
        <v>76</v>
      </c>
      <c r="R44" s="81" t="s">
        <v>81</v>
      </c>
      <c r="S44" s="1" t="s">
        <v>76</v>
      </c>
      <c r="T44" s="1" t="s">
        <v>78</v>
      </c>
      <c r="U44" s="1" t="s">
        <v>658</v>
      </c>
      <c r="V44" s="1" t="s">
        <v>655</v>
      </c>
      <c r="W44" s="1">
        <v>16</v>
      </c>
      <c r="X44" s="1" t="s">
        <v>109</v>
      </c>
      <c r="Y44" s="1" t="s">
        <v>645</v>
      </c>
      <c r="Z44" s="1">
        <v>0</v>
      </c>
      <c r="AA44" s="1">
        <v>0</v>
      </c>
      <c r="AB44" s="1">
        <v>0</v>
      </c>
      <c r="AC44" s="1">
        <v>2E-3</v>
      </c>
      <c r="AD44" s="1">
        <v>0</v>
      </c>
      <c r="AE44" s="1">
        <v>0.94899999999999995</v>
      </c>
      <c r="AF44" s="1">
        <v>0</v>
      </c>
      <c r="AG44" s="1">
        <v>0</v>
      </c>
      <c r="AH44" s="1">
        <v>1E-3</v>
      </c>
      <c r="AI44" s="1">
        <v>0</v>
      </c>
      <c r="AJ44" s="1">
        <v>0</v>
      </c>
      <c r="AK44" s="1">
        <v>0.02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1E-3</v>
      </c>
      <c r="AT44" s="1">
        <v>1E-3</v>
      </c>
      <c r="AU44" s="1">
        <v>0</v>
      </c>
      <c r="AV44" s="1">
        <v>0</v>
      </c>
      <c r="AW44" s="1">
        <v>2E-3</v>
      </c>
      <c r="AX44" s="1">
        <v>0</v>
      </c>
      <c r="AY44" s="1">
        <v>0</v>
      </c>
      <c r="AZ44" s="1">
        <v>1E-3</v>
      </c>
      <c r="BA44" s="1">
        <v>1E-3</v>
      </c>
      <c r="BB44" s="1">
        <v>0</v>
      </c>
      <c r="BC44" s="1">
        <v>0</v>
      </c>
      <c r="BD44" s="1">
        <v>1E-3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1E-3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1E-3</v>
      </c>
      <c r="BY44" s="1">
        <v>1E-3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1E-3</v>
      </c>
      <c r="CI44" s="1">
        <v>0</v>
      </c>
      <c r="CJ44" s="1">
        <v>2E-3</v>
      </c>
      <c r="CK44" s="1">
        <v>8.9999999999999993E-3</v>
      </c>
      <c r="CL44" s="1">
        <v>0</v>
      </c>
      <c r="CM44" s="1">
        <v>-15.669600190000001</v>
      </c>
      <c r="CN44" s="83">
        <v>152.80129790000001</v>
      </c>
    </row>
    <row r="45" spans="1:92" s="3" customFormat="1" x14ac:dyDescent="0.25">
      <c r="A45" s="72">
        <v>42</v>
      </c>
      <c r="B45" s="81" t="s">
        <v>918</v>
      </c>
      <c r="C45" s="1" t="s">
        <v>72</v>
      </c>
      <c r="D45" s="1" t="s">
        <v>79</v>
      </c>
      <c r="E45" s="1" t="s">
        <v>99</v>
      </c>
      <c r="F45" s="1" t="s">
        <v>112</v>
      </c>
      <c r="G45" s="1" t="s">
        <v>80</v>
      </c>
      <c r="H45" s="1" t="s">
        <v>112</v>
      </c>
      <c r="I45" s="1"/>
      <c r="J45" s="9" t="s">
        <v>506</v>
      </c>
      <c r="K45" s="10">
        <v>0.42353283333333303</v>
      </c>
      <c r="L45" s="1" t="s">
        <v>641</v>
      </c>
      <c r="M45" s="1" t="s">
        <v>76</v>
      </c>
      <c r="N45" s="1" t="s">
        <v>644</v>
      </c>
      <c r="O45" s="1" t="s">
        <v>68</v>
      </c>
      <c r="P45" s="82">
        <v>0.14099999999999999</v>
      </c>
      <c r="Q45" s="1" t="s">
        <v>76</v>
      </c>
      <c r="R45" s="81" t="s">
        <v>87</v>
      </c>
      <c r="S45" s="1" t="s">
        <v>76</v>
      </c>
      <c r="T45" s="1" t="s">
        <v>78</v>
      </c>
      <c r="U45" s="1" t="s">
        <v>658</v>
      </c>
      <c r="V45" s="1" t="s">
        <v>655</v>
      </c>
      <c r="W45" s="1">
        <v>19</v>
      </c>
      <c r="X45" s="1" t="s">
        <v>76</v>
      </c>
      <c r="Y45" s="1" t="s">
        <v>644</v>
      </c>
      <c r="Z45" s="1">
        <v>7.0000000000000001E-3</v>
      </c>
      <c r="AA45" s="1">
        <v>8.0000000000000002E-3</v>
      </c>
      <c r="AB45" s="1">
        <v>1.0999999999999999E-2</v>
      </c>
      <c r="AC45" s="1">
        <v>2.8000000000000001E-2</v>
      </c>
      <c r="AD45" s="1">
        <v>1.0999999999999999E-2</v>
      </c>
      <c r="AE45" s="1">
        <v>1.7999999999999999E-2</v>
      </c>
      <c r="AF45" s="1">
        <v>8.9999999999999993E-3</v>
      </c>
      <c r="AG45" s="1">
        <v>1E-3</v>
      </c>
      <c r="AH45" s="1">
        <v>3.6999999999999998E-2</v>
      </c>
      <c r="AI45" s="1">
        <v>4.0000000000000001E-3</v>
      </c>
      <c r="AJ45" s="1">
        <v>3.4000000000000002E-2</v>
      </c>
      <c r="AK45" s="1">
        <v>4.9000000000000002E-2</v>
      </c>
      <c r="AL45" s="1">
        <v>2E-3</v>
      </c>
      <c r="AM45" s="1">
        <v>7.0000000000000001E-3</v>
      </c>
      <c r="AN45" s="1">
        <v>3.9E-2</v>
      </c>
      <c r="AO45" s="1">
        <v>7.0000000000000001E-3</v>
      </c>
      <c r="AP45" s="1">
        <v>5.0000000000000001E-3</v>
      </c>
      <c r="AQ45" s="1">
        <v>4.0000000000000001E-3</v>
      </c>
      <c r="AR45" s="1">
        <v>2.1000000000000001E-2</v>
      </c>
      <c r="AS45" s="1">
        <v>1.9E-2</v>
      </c>
      <c r="AT45" s="1">
        <v>1.2E-2</v>
      </c>
      <c r="AU45" s="1">
        <v>2.5000000000000001E-2</v>
      </c>
      <c r="AV45" s="1">
        <v>7.0000000000000001E-3</v>
      </c>
      <c r="AW45" s="1">
        <v>1.2999999999999999E-2</v>
      </c>
      <c r="AX45" s="1">
        <v>8.9999999999999993E-3</v>
      </c>
      <c r="AY45" s="1">
        <v>1.0999999999999999E-2</v>
      </c>
      <c r="AZ45" s="1">
        <v>1.4999999999999999E-2</v>
      </c>
      <c r="BA45" s="1">
        <v>3.2000000000000001E-2</v>
      </c>
      <c r="BB45" s="1">
        <v>2.1000000000000001E-2</v>
      </c>
      <c r="BC45" s="1">
        <v>4.0000000000000001E-3</v>
      </c>
      <c r="BD45" s="1">
        <v>3.7999999999999999E-2</v>
      </c>
      <c r="BE45" s="1">
        <v>5.0000000000000001E-3</v>
      </c>
      <c r="BF45" s="1">
        <v>8.0000000000000002E-3</v>
      </c>
      <c r="BG45" s="1">
        <v>5.0000000000000001E-3</v>
      </c>
      <c r="BH45" s="1">
        <v>8.0000000000000002E-3</v>
      </c>
      <c r="BI45" s="1">
        <v>4.0000000000000001E-3</v>
      </c>
      <c r="BJ45" s="1">
        <v>3.0000000000000001E-3</v>
      </c>
      <c r="BK45" s="1">
        <v>4.0000000000000001E-3</v>
      </c>
      <c r="BL45" s="1">
        <v>1.2E-2</v>
      </c>
      <c r="BM45" s="1">
        <v>5.0000000000000001E-3</v>
      </c>
      <c r="BN45" s="1">
        <v>0.01</v>
      </c>
      <c r="BO45" s="1">
        <v>2.3E-2</v>
      </c>
      <c r="BP45" s="1">
        <v>3.0000000000000001E-3</v>
      </c>
      <c r="BQ45" s="1">
        <v>1.2E-2</v>
      </c>
      <c r="BR45" s="1">
        <v>6.0000000000000001E-3</v>
      </c>
      <c r="BS45" s="1">
        <v>1.6E-2</v>
      </c>
      <c r="BT45" s="1">
        <v>4.0000000000000001E-3</v>
      </c>
      <c r="BU45" s="1">
        <v>8.0000000000000002E-3</v>
      </c>
      <c r="BV45" s="1">
        <v>1.7000000000000001E-2</v>
      </c>
      <c r="BW45" s="1">
        <v>8.0000000000000002E-3</v>
      </c>
      <c r="BX45" s="1">
        <v>4.9000000000000002E-2</v>
      </c>
      <c r="BY45" s="1">
        <v>1.7999999999999999E-2</v>
      </c>
      <c r="BZ45" s="1">
        <v>1.2E-2</v>
      </c>
      <c r="CA45" s="1">
        <v>8.9999999999999993E-3</v>
      </c>
      <c r="CB45" s="1">
        <v>3.0000000000000001E-3</v>
      </c>
      <c r="CC45" s="1">
        <v>8.0000000000000002E-3</v>
      </c>
      <c r="CD45" s="1">
        <v>1E-3</v>
      </c>
      <c r="CE45" s="1">
        <v>6.0000000000000001E-3</v>
      </c>
      <c r="CF45" s="1">
        <v>7.0000000000000001E-3</v>
      </c>
      <c r="CG45" s="1">
        <v>1.4999999999999999E-2</v>
      </c>
      <c r="CH45" s="1">
        <v>1.2E-2</v>
      </c>
      <c r="CI45" s="1">
        <v>0.01</v>
      </c>
      <c r="CJ45" s="1">
        <v>1.6E-2</v>
      </c>
      <c r="CK45" s="1">
        <v>0.14099999999999999</v>
      </c>
      <c r="CL45" s="1">
        <v>2.3E-2</v>
      </c>
      <c r="CM45" s="1">
        <v>6.0653565049999996</v>
      </c>
      <c r="CN45" s="83">
        <v>129.55207139999999</v>
      </c>
    </row>
    <row r="46" spans="1:92" s="3" customFormat="1" x14ac:dyDescent="0.25">
      <c r="A46" s="72">
        <v>43</v>
      </c>
      <c r="B46" s="81" t="s">
        <v>1122</v>
      </c>
      <c r="C46" s="1" t="s">
        <v>72</v>
      </c>
      <c r="D46" s="1" t="s">
        <v>79</v>
      </c>
      <c r="E46" s="1" t="s">
        <v>74</v>
      </c>
      <c r="F46" s="1" t="s">
        <v>666</v>
      </c>
      <c r="G46" s="1" t="s">
        <v>80</v>
      </c>
      <c r="H46" s="1" t="s">
        <v>130</v>
      </c>
      <c r="I46" s="1"/>
      <c r="J46" s="9" t="s">
        <v>506</v>
      </c>
      <c r="K46" s="10">
        <v>0.34197499999999997</v>
      </c>
      <c r="L46" s="1" t="s">
        <v>641</v>
      </c>
      <c r="M46" s="1" t="s">
        <v>76</v>
      </c>
      <c r="N46" s="1" t="s">
        <v>644</v>
      </c>
      <c r="O46" s="1" t="s">
        <v>37</v>
      </c>
      <c r="P46" s="82">
        <v>0.59</v>
      </c>
      <c r="Q46" s="1" t="s">
        <v>76</v>
      </c>
      <c r="R46" s="81" t="s">
        <v>124</v>
      </c>
      <c r="S46" s="1" t="s">
        <v>76</v>
      </c>
      <c r="T46" s="1" t="s">
        <v>120</v>
      </c>
      <c r="U46" s="1" t="s">
        <v>658</v>
      </c>
      <c r="V46" s="1" t="s">
        <v>655</v>
      </c>
      <c r="W46" s="1">
        <v>27</v>
      </c>
      <c r="X46" s="1" t="s">
        <v>76</v>
      </c>
      <c r="Y46" s="1" t="s">
        <v>644</v>
      </c>
      <c r="Z46" s="1">
        <v>1.2E-2</v>
      </c>
      <c r="AA46" s="1">
        <v>3.0000000000000001E-3</v>
      </c>
      <c r="AB46" s="1">
        <v>3.0000000000000001E-3</v>
      </c>
      <c r="AC46" s="1">
        <v>1.0999999999999999E-2</v>
      </c>
      <c r="AD46" s="1">
        <v>1.2999999999999999E-2</v>
      </c>
      <c r="AE46" s="1">
        <v>4.0000000000000001E-3</v>
      </c>
      <c r="AF46" s="1">
        <v>3.0000000000000001E-3</v>
      </c>
      <c r="AG46" s="1">
        <v>0</v>
      </c>
      <c r="AH46" s="1">
        <v>6.0000000000000001E-3</v>
      </c>
      <c r="AI46" s="1">
        <v>2E-3</v>
      </c>
      <c r="AJ46" s="1">
        <v>2E-3</v>
      </c>
      <c r="AK46" s="1">
        <v>4.0000000000000001E-3</v>
      </c>
      <c r="AL46" s="1">
        <v>0</v>
      </c>
      <c r="AM46" s="1">
        <v>1E-3</v>
      </c>
      <c r="AN46" s="1">
        <v>3.4000000000000002E-2</v>
      </c>
      <c r="AO46" s="1">
        <v>2E-3</v>
      </c>
      <c r="AP46" s="1">
        <v>2E-3</v>
      </c>
      <c r="AQ46" s="1">
        <v>1E-3</v>
      </c>
      <c r="AR46" s="1">
        <v>3.9E-2</v>
      </c>
      <c r="AS46" s="1">
        <v>4.0000000000000001E-3</v>
      </c>
      <c r="AT46" s="1">
        <v>3.0000000000000001E-3</v>
      </c>
      <c r="AU46" s="1">
        <v>8.0000000000000002E-3</v>
      </c>
      <c r="AV46" s="1">
        <v>3.0000000000000001E-3</v>
      </c>
      <c r="AW46" s="1">
        <v>2E-3</v>
      </c>
      <c r="AX46" s="1">
        <v>5.0000000000000001E-3</v>
      </c>
      <c r="AY46" s="1">
        <v>4.0000000000000001E-3</v>
      </c>
      <c r="AZ46" s="1">
        <v>5.0000000000000001E-3</v>
      </c>
      <c r="BA46" s="1">
        <v>7.0000000000000001E-3</v>
      </c>
      <c r="BB46" s="1">
        <v>2E-3</v>
      </c>
      <c r="BC46" s="1">
        <v>1E-3</v>
      </c>
      <c r="BD46" s="1">
        <v>8.9999999999999993E-3</v>
      </c>
      <c r="BE46" s="1">
        <v>2E-3</v>
      </c>
      <c r="BF46" s="1">
        <v>0.59</v>
      </c>
      <c r="BG46" s="1">
        <v>1E-3</v>
      </c>
      <c r="BH46" s="1">
        <v>6.0000000000000001E-3</v>
      </c>
      <c r="BI46" s="1">
        <v>1E-3</v>
      </c>
      <c r="BJ46" s="1">
        <v>1E-3</v>
      </c>
      <c r="BK46" s="1">
        <v>1E-3</v>
      </c>
      <c r="BL46" s="1">
        <v>2E-3</v>
      </c>
      <c r="BM46" s="1">
        <v>1E-3</v>
      </c>
      <c r="BN46" s="1">
        <v>2E-3</v>
      </c>
      <c r="BO46" s="1">
        <v>5.0000000000000001E-3</v>
      </c>
      <c r="BP46" s="1">
        <v>3.0000000000000001E-3</v>
      </c>
      <c r="BQ46" s="1">
        <v>3.0000000000000001E-3</v>
      </c>
      <c r="BR46" s="1">
        <v>2E-3</v>
      </c>
      <c r="BS46" s="1">
        <v>0.06</v>
      </c>
      <c r="BT46" s="1">
        <v>1E-3</v>
      </c>
      <c r="BU46" s="1">
        <v>5.0000000000000001E-3</v>
      </c>
      <c r="BV46" s="1">
        <v>2E-3</v>
      </c>
      <c r="BW46" s="1">
        <v>2E-3</v>
      </c>
      <c r="BX46" s="1">
        <v>0.03</v>
      </c>
      <c r="BY46" s="1">
        <v>6.0000000000000001E-3</v>
      </c>
      <c r="BZ46" s="1">
        <v>4.0000000000000001E-3</v>
      </c>
      <c r="CA46" s="1">
        <v>3.0000000000000001E-3</v>
      </c>
      <c r="CB46" s="1">
        <v>1E-3</v>
      </c>
      <c r="CC46" s="1">
        <v>2E-3</v>
      </c>
      <c r="CD46" s="1">
        <v>0</v>
      </c>
      <c r="CE46" s="1">
        <v>2E-3</v>
      </c>
      <c r="CF46" s="1">
        <v>2E-3</v>
      </c>
      <c r="CG46" s="1">
        <v>3.0000000000000001E-3</v>
      </c>
      <c r="CH46" s="1">
        <v>3.0000000000000001E-3</v>
      </c>
      <c r="CI46" s="1">
        <v>3.0000000000000001E-3</v>
      </c>
      <c r="CJ46" s="1">
        <v>4.0000000000000001E-3</v>
      </c>
      <c r="CK46" s="1">
        <v>4.1000000000000002E-2</v>
      </c>
      <c r="CL46" s="1">
        <v>8.0000000000000002E-3</v>
      </c>
      <c r="CM46" s="1">
        <v>13.449179389999999</v>
      </c>
      <c r="CN46" s="83">
        <v>130.47674620000001</v>
      </c>
    </row>
    <row r="47" spans="1:92" s="3" customFormat="1" x14ac:dyDescent="0.25">
      <c r="A47" s="72">
        <v>44</v>
      </c>
      <c r="B47" s="81" t="s">
        <v>882</v>
      </c>
      <c r="C47" s="1" t="s">
        <v>72</v>
      </c>
      <c r="D47" s="1" t="s">
        <v>79</v>
      </c>
      <c r="E47" s="1" t="s">
        <v>99</v>
      </c>
      <c r="F47" s="1" t="s">
        <v>108</v>
      </c>
      <c r="G47" s="1" t="s">
        <v>80</v>
      </c>
      <c r="H47" s="1" t="s">
        <v>10</v>
      </c>
      <c r="I47" s="1"/>
      <c r="J47" s="9" t="s">
        <v>544</v>
      </c>
      <c r="K47" s="10">
        <v>0.42591316666666701</v>
      </c>
      <c r="L47" s="1" t="s">
        <v>76</v>
      </c>
      <c r="M47" s="1" t="s">
        <v>506</v>
      </c>
      <c r="N47" s="1" t="s">
        <v>645</v>
      </c>
      <c r="O47" s="1" t="s">
        <v>10</v>
      </c>
      <c r="P47" s="82">
        <v>0.99099999999999999</v>
      </c>
      <c r="Q47" s="1" t="s">
        <v>76</v>
      </c>
      <c r="R47" s="81" t="s">
        <v>87</v>
      </c>
      <c r="S47" s="1" t="s">
        <v>76</v>
      </c>
      <c r="T47" s="1" t="s">
        <v>78</v>
      </c>
      <c r="U47" s="1" t="s">
        <v>658</v>
      </c>
      <c r="V47" s="1" t="s">
        <v>655</v>
      </c>
      <c r="W47" s="1">
        <v>15</v>
      </c>
      <c r="X47" s="1" t="s">
        <v>109</v>
      </c>
      <c r="Y47" s="1" t="s">
        <v>645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0.99099999999999999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4.0000000000000001E-3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2E-3</v>
      </c>
      <c r="CL47" s="1">
        <v>0</v>
      </c>
      <c r="CM47" s="1">
        <v>-11.002869499999999</v>
      </c>
      <c r="CN47" s="83">
        <v>151.59571650000001</v>
      </c>
    </row>
    <row r="48" spans="1:92" s="3" customFormat="1" x14ac:dyDescent="0.25">
      <c r="A48" s="72">
        <v>45</v>
      </c>
      <c r="B48" s="81" t="s">
        <v>906</v>
      </c>
      <c r="C48" s="1" t="s">
        <v>72</v>
      </c>
      <c r="D48" s="1" t="s">
        <v>79</v>
      </c>
      <c r="E48" s="1" t="s">
        <v>99</v>
      </c>
      <c r="F48" s="1" t="s">
        <v>128</v>
      </c>
      <c r="G48" s="1" t="s">
        <v>320</v>
      </c>
      <c r="H48" s="1" t="s">
        <v>570</v>
      </c>
      <c r="I48" s="1"/>
      <c r="J48" s="9" t="s">
        <v>544</v>
      </c>
      <c r="K48" s="10">
        <v>0.38799383333333298</v>
      </c>
      <c r="L48" s="1" t="s">
        <v>641</v>
      </c>
      <c r="M48" s="1" t="s">
        <v>76</v>
      </c>
      <c r="N48" s="1" t="s">
        <v>649</v>
      </c>
      <c r="O48" s="1" t="s">
        <v>55</v>
      </c>
      <c r="P48" s="82">
        <v>0.28000000000000003</v>
      </c>
      <c r="Q48" s="1" t="s">
        <v>76</v>
      </c>
      <c r="R48" s="81" t="s">
        <v>91</v>
      </c>
      <c r="S48" s="1">
        <v>3</v>
      </c>
      <c r="T48" s="1" t="s">
        <v>78</v>
      </c>
      <c r="U48" s="1" t="s">
        <v>658</v>
      </c>
      <c r="V48" s="1" t="s">
        <v>655</v>
      </c>
      <c r="W48" s="1">
        <v>11</v>
      </c>
      <c r="X48" s="1" t="s">
        <v>566</v>
      </c>
      <c r="Y48" s="1" t="s">
        <v>649</v>
      </c>
      <c r="Z48" s="1">
        <v>3.0000000000000001E-3</v>
      </c>
      <c r="AA48" s="1">
        <v>6.0000000000000001E-3</v>
      </c>
      <c r="AB48" s="1">
        <v>5.0000000000000001E-3</v>
      </c>
      <c r="AC48" s="1">
        <v>3.5000000000000003E-2</v>
      </c>
      <c r="AD48" s="1">
        <v>6.0000000000000001E-3</v>
      </c>
      <c r="AE48" s="1">
        <v>1.7999999999999999E-2</v>
      </c>
      <c r="AF48" s="1">
        <v>6.0000000000000001E-3</v>
      </c>
      <c r="AG48" s="1">
        <v>1E-3</v>
      </c>
      <c r="AH48" s="1">
        <v>1.7999999999999999E-2</v>
      </c>
      <c r="AI48" s="1">
        <v>3.0000000000000001E-3</v>
      </c>
      <c r="AJ48" s="1">
        <v>1.4999999999999999E-2</v>
      </c>
      <c r="AK48" s="1">
        <v>2.8000000000000001E-2</v>
      </c>
      <c r="AL48" s="1">
        <v>1E-3</v>
      </c>
      <c r="AM48" s="1">
        <v>3.0000000000000001E-3</v>
      </c>
      <c r="AN48" s="1">
        <v>1.2999999999999999E-2</v>
      </c>
      <c r="AO48" s="1">
        <v>6.0000000000000001E-3</v>
      </c>
      <c r="AP48" s="1">
        <v>5.0000000000000001E-3</v>
      </c>
      <c r="AQ48" s="1">
        <v>3.0000000000000001E-3</v>
      </c>
      <c r="AR48" s="1">
        <v>5.0000000000000001E-3</v>
      </c>
      <c r="AS48" s="1">
        <v>1.7999999999999999E-2</v>
      </c>
      <c r="AT48" s="1">
        <v>8.9999999999999993E-3</v>
      </c>
      <c r="AU48" s="1">
        <v>7.0000000000000001E-3</v>
      </c>
      <c r="AV48" s="1">
        <v>4.0000000000000001E-3</v>
      </c>
      <c r="AW48" s="1">
        <v>6.0000000000000001E-3</v>
      </c>
      <c r="AX48" s="1">
        <v>3.0000000000000001E-3</v>
      </c>
      <c r="AY48" s="1">
        <v>8.0000000000000002E-3</v>
      </c>
      <c r="AZ48" s="1">
        <v>1.0999999999999999E-2</v>
      </c>
      <c r="BA48" s="1">
        <v>0.02</v>
      </c>
      <c r="BB48" s="1">
        <v>0.05</v>
      </c>
      <c r="BC48" s="1">
        <v>3.0000000000000001E-3</v>
      </c>
      <c r="BD48" s="1">
        <v>2.5000000000000001E-2</v>
      </c>
      <c r="BE48" s="1">
        <v>4.0000000000000001E-3</v>
      </c>
      <c r="BF48" s="1">
        <v>0.01</v>
      </c>
      <c r="BG48" s="1">
        <v>4.0000000000000001E-3</v>
      </c>
      <c r="BH48" s="1">
        <v>8.0000000000000002E-3</v>
      </c>
      <c r="BI48" s="1">
        <v>3.0000000000000001E-3</v>
      </c>
      <c r="BJ48" s="1">
        <v>1E-3</v>
      </c>
      <c r="BK48" s="1">
        <v>3.0000000000000001E-3</v>
      </c>
      <c r="BL48" s="1">
        <v>8.0000000000000002E-3</v>
      </c>
      <c r="BM48" s="1">
        <v>4.0000000000000001E-3</v>
      </c>
      <c r="BN48" s="1">
        <v>8.0000000000000002E-3</v>
      </c>
      <c r="BO48" s="1">
        <v>1.9E-2</v>
      </c>
      <c r="BP48" s="1">
        <v>1E-3</v>
      </c>
      <c r="BQ48" s="1">
        <v>1.0999999999999999E-2</v>
      </c>
      <c r="BR48" s="1">
        <v>5.0000000000000001E-3</v>
      </c>
      <c r="BS48" s="1">
        <v>8.0000000000000002E-3</v>
      </c>
      <c r="BT48" s="1">
        <v>3.0000000000000001E-3</v>
      </c>
      <c r="BU48" s="1">
        <v>2.4E-2</v>
      </c>
      <c r="BV48" s="1">
        <v>7.3999999999999996E-2</v>
      </c>
      <c r="BW48" s="1">
        <v>7.0000000000000001E-3</v>
      </c>
      <c r="BX48" s="1">
        <v>0.28000000000000003</v>
      </c>
      <c r="BY48" s="1">
        <v>1.4E-2</v>
      </c>
      <c r="BZ48" s="1">
        <v>8.0000000000000002E-3</v>
      </c>
      <c r="CA48" s="1">
        <v>5.0000000000000001E-3</v>
      </c>
      <c r="CB48" s="1">
        <v>2E-3</v>
      </c>
      <c r="CC48" s="1">
        <v>5.0000000000000001E-3</v>
      </c>
      <c r="CD48" s="1">
        <v>1E-3</v>
      </c>
      <c r="CE48" s="1">
        <v>4.0000000000000001E-3</v>
      </c>
      <c r="CF48" s="1">
        <v>5.0000000000000001E-3</v>
      </c>
      <c r="CG48" s="1">
        <v>0.01</v>
      </c>
      <c r="CH48" s="1">
        <v>1.0999999999999999E-2</v>
      </c>
      <c r="CI48" s="1">
        <v>0.01</v>
      </c>
      <c r="CJ48" s="1">
        <v>1.2999999999999999E-2</v>
      </c>
      <c r="CK48" s="1">
        <v>8.1000000000000003E-2</v>
      </c>
      <c r="CL48" s="1">
        <v>8.0000000000000002E-3</v>
      </c>
      <c r="CM48" s="1">
        <v>1.9692796610000001</v>
      </c>
      <c r="CN48" s="83">
        <v>131.20241659999999</v>
      </c>
    </row>
    <row r="49" spans="1:92" s="3" customFormat="1" x14ac:dyDescent="0.25">
      <c r="A49" s="72">
        <v>46</v>
      </c>
      <c r="B49" s="81" t="s">
        <v>1334</v>
      </c>
      <c r="C49" s="1" t="s">
        <v>72</v>
      </c>
      <c r="D49" s="1" t="s">
        <v>79</v>
      </c>
      <c r="E49" s="1" t="s">
        <v>99</v>
      </c>
      <c r="F49" s="1" t="s">
        <v>144</v>
      </c>
      <c r="G49" s="1" t="s">
        <v>80</v>
      </c>
      <c r="H49" s="1" t="s">
        <v>532</v>
      </c>
      <c r="I49" s="1"/>
      <c r="J49" s="9" t="s">
        <v>506</v>
      </c>
      <c r="K49" s="10">
        <v>0.38606449999999998</v>
      </c>
      <c r="L49" s="1" t="s">
        <v>641</v>
      </c>
      <c r="M49" s="1" t="s">
        <v>76</v>
      </c>
      <c r="N49" s="1" t="s">
        <v>644</v>
      </c>
      <c r="O49" s="1" t="s">
        <v>55</v>
      </c>
      <c r="P49" s="82">
        <v>0.58499999999999996</v>
      </c>
      <c r="Q49" s="1" t="s">
        <v>76</v>
      </c>
      <c r="R49" s="81" t="s">
        <v>91</v>
      </c>
      <c r="S49" s="1" t="s">
        <v>76</v>
      </c>
      <c r="T49" s="1" t="s">
        <v>78</v>
      </c>
      <c r="U49" s="1" t="s">
        <v>658</v>
      </c>
      <c r="V49" s="1" t="s">
        <v>655</v>
      </c>
      <c r="W49" s="1">
        <v>9</v>
      </c>
      <c r="X49" s="1" t="s">
        <v>117</v>
      </c>
      <c r="Y49" s="1" t="s">
        <v>644</v>
      </c>
      <c r="Z49" s="1">
        <v>2E-3</v>
      </c>
      <c r="AA49" s="1">
        <v>3.0000000000000001E-3</v>
      </c>
      <c r="AB49" s="1">
        <v>3.0000000000000001E-3</v>
      </c>
      <c r="AC49" s="1">
        <v>0.01</v>
      </c>
      <c r="AD49" s="1">
        <v>3.0000000000000001E-3</v>
      </c>
      <c r="AE49" s="1">
        <v>8.9999999999999993E-3</v>
      </c>
      <c r="AF49" s="1">
        <v>3.0000000000000001E-3</v>
      </c>
      <c r="AG49" s="1">
        <v>0</v>
      </c>
      <c r="AH49" s="1">
        <v>0.01</v>
      </c>
      <c r="AI49" s="1">
        <v>1E-3</v>
      </c>
      <c r="AJ49" s="1">
        <v>9.0999999999999998E-2</v>
      </c>
      <c r="AK49" s="1">
        <v>6.0000000000000001E-3</v>
      </c>
      <c r="AL49" s="1">
        <v>0</v>
      </c>
      <c r="AM49" s="1">
        <v>1E-3</v>
      </c>
      <c r="AN49" s="1">
        <v>0.01</v>
      </c>
      <c r="AO49" s="1">
        <v>2E-3</v>
      </c>
      <c r="AP49" s="1">
        <v>2E-3</v>
      </c>
      <c r="AQ49" s="1">
        <v>1E-3</v>
      </c>
      <c r="AR49" s="1">
        <v>5.0000000000000001E-3</v>
      </c>
      <c r="AS49" s="1">
        <v>8.0000000000000002E-3</v>
      </c>
      <c r="AT49" s="1">
        <v>4.0000000000000001E-3</v>
      </c>
      <c r="AU49" s="1">
        <v>4.0000000000000001E-3</v>
      </c>
      <c r="AV49" s="1">
        <v>2E-3</v>
      </c>
      <c r="AW49" s="1">
        <v>2E-3</v>
      </c>
      <c r="AX49" s="1">
        <v>2E-3</v>
      </c>
      <c r="AY49" s="1">
        <v>4.0000000000000001E-3</v>
      </c>
      <c r="AZ49" s="1">
        <v>6.0000000000000001E-3</v>
      </c>
      <c r="BA49" s="1">
        <v>8.9999999999999993E-3</v>
      </c>
      <c r="BB49" s="1">
        <v>1.7000000000000001E-2</v>
      </c>
      <c r="BC49" s="1">
        <v>2E-3</v>
      </c>
      <c r="BD49" s="1">
        <v>1.2E-2</v>
      </c>
      <c r="BE49" s="1">
        <v>2E-3</v>
      </c>
      <c r="BF49" s="1">
        <v>1E-3</v>
      </c>
      <c r="BG49" s="1">
        <v>1E-3</v>
      </c>
      <c r="BH49" s="1">
        <v>2E-3</v>
      </c>
      <c r="BI49" s="1">
        <v>1E-3</v>
      </c>
      <c r="BJ49" s="1">
        <v>1E-3</v>
      </c>
      <c r="BK49" s="1">
        <v>1E-3</v>
      </c>
      <c r="BL49" s="1">
        <v>3.0000000000000001E-3</v>
      </c>
      <c r="BM49" s="1">
        <v>2E-3</v>
      </c>
      <c r="BN49" s="1">
        <v>3.0000000000000001E-3</v>
      </c>
      <c r="BO49" s="1">
        <v>2.4E-2</v>
      </c>
      <c r="BP49" s="1">
        <v>1E-3</v>
      </c>
      <c r="BQ49" s="1">
        <v>5.0000000000000001E-3</v>
      </c>
      <c r="BR49" s="1">
        <v>2E-3</v>
      </c>
      <c r="BS49" s="1">
        <v>8.0000000000000002E-3</v>
      </c>
      <c r="BT49" s="1">
        <v>2E-3</v>
      </c>
      <c r="BU49" s="1">
        <v>0.02</v>
      </c>
      <c r="BV49" s="1">
        <v>2.7E-2</v>
      </c>
      <c r="BW49" s="1">
        <v>3.0000000000000001E-3</v>
      </c>
      <c r="BX49" s="1">
        <v>0.58499999999999996</v>
      </c>
      <c r="BY49" s="1">
        <v>6.0000000000000001E-3</v>
      </c>
      <c r="BZ49" s="1">
        <v>4.0000000000000001E-3</v>
      </c>
      <c r="CA49" s="1">
        <v>3.0000000000000001E-3</v>
      </c>
      <c r="CB49" s="1">
        <v>1E-3</v>
      </c>
      <c r="CC49" s="1">
        <v>2E-3</v>
      </c>
      <c r="CD49" s="1">
        <v>0</v>
      </c>
      <c r="CE49" s="1">
        <v>2E-3</v>
      </c>
      <c r="CF49" s="1">
        <v>2E-3</v>
      </c>
      <c r="CG49" s="1">
        <v>4.0000000000000001E-3</v>
      </c>
      <c r="CH49" s="1">
        <v>4.0000000000000001E-3</v>
      </c>
      <c r="CI49" s="1">
        <v>4.0000000000000001E-3</v>
      </c>
      <c r="CJ49" s="1">
        <v>4.0000000000000001E-3</v>
      </c>
      <c r="CK49" s="1">
        <v>3.5000000000000003E-2</v>
      </c>
      <c r="CL49" s="1">
        <v>3.0000000000000001E-3</v>
      </c>
      <c r="CM49" s="1">
        <v>3.4703925830000002</v>
      </c>
      <c r="CN49" s="83">
        <v>127.3352955</v>
      </c>
    </row>
    <row r="50" spans="1:92" s="3" customFormat="1" x14ac:dyDescent="0.25">
      <c r="A50" s="72">
        <v>47</v>
      </c>
      <c r="B50" s="81" t="s">
        <v>966</v>
      </c>
      <c r="C50" s="1" t="s">
        <v>72</v>
      </c>
      <c r="D50" s="1" t="s">
        <v>79</v>
      </c>
      <c r="E50" s="1" t="s">
        <v>74</v>
      </c>
      <c r="F50" s="1" t="s">
        <v>113</v>
      </c>
      <c r="G50" s="1" t="s">
        <v>80</v>
      </c>
      <c r="H50" s="1" t="s">
        <v>530</v>
      </c>
      <c r="I50" s="1"/>
      <c r="J50" s="9" t="s">
        <v>506</v>
      </c>
      <c r="K50" s="10">
        <v>0.35497099999999998</v>
      </c>
      <c r="L50" s="1" t="s">
        <v>641</v>
      </c>
      <c r="M50" s="1" t="s">
        <v>76</v>
      </c>
      <c r="N50" s="1" t="s">
        <v>644</v>
      </c>
      <c r="O50" s="1" t="s">
        <v>37</v>
      </c>
      <c r="P50" s="82">
        <v>0.43099999999999999</v>
      </c>
      <c r="Q50" s="1" t="s">
        <v>76</v>
      </c>
      <c r="R50" s="81" t="s">
        <v>87</v>
      </c>
      <c r="S50" s="1" t="s">
        <v>76</v>
      </c>
      <c r="T50" s="1" t="s">
        <v>78</v>
      </c>
      <c r="U50" s="1" t="s">
        <v>658</v>
      </c>
      <c r="V50" s="1" t="s">
        <v>655</v>
      </c>
      <c r="W50" s="1">
        <v>21</v>
      </c>
      <c r="X50" s="1" t="s">
        <v>76</v>
      </c>
      <c r="Y50" s="1" t="s">
        <v>644</v>
      </c>
      <c r="Z50" s="1">
        <v>2E-3</v>
      </c>
      <c r="AA50" s="1">
        <v>1E-3</v>
      </c>
      <c r="AB50" s="1">
        <v>1E-3</v>
      </c>
      <c r="AC50" s="1">
        <v>1.2E-2</v>
      </c>
      <c r="AD50" s="1">
        <v>2E-3</v>
      </c>
      <c r="AE50" s="1">
        <v>2E-3</v>
      </c>
      <c r="AF50" s="1">
        <v>2E-3</v>
      </c>
      <c r="AG50" s="1">
        <v>0</v>
      </c>
      <c r="AH50" s="1">
        <v>4.0000000000000001E-3</v>
      </c>
      <c r="AI50" s="1">
        <v>2E-3</v>
      </c>
      <c r="AJ50" s="1">
        <v>1E-3</v>
      </c>
      <c r="AK50" s="1">
        <v>4.0000000000000001E-3</v>
      </c>
      <c r="AL50" s="1">
        <v>0</v>
      </c>
      <c r="AM50" s="1">
        <v>1E-3</v>
      </c>
      <c r="AN50" s="1">
        <v>4.2000000000000003E-2</v>
      </c>
      <c r="AO50" s="1">
        <v>1E-3</v>
      </c>
      <c r="AP50" s="1">
        <v>1E-3</v>
      </c>
      <c r="AQ50" s="1">
        <v>1E-3</v>
      </c>
      <c r="AR50" s="1">
        <v>1E-3</v>
      </c>
      <c r="AS50" s="1">
        <v>3.0000000000000001E-3</v>
      </c>
      <c r="AT50" s="1">
        <v>1E-3</v>
      </c>
      <c r="AU50" s="1">
        <v>1E-3</v>
      </c>
      <c r="AV50" s="1">
        <v>1E-3</v>
      </c>
      <c r="AW50" s="1">
        <v>1E-3</v>
      </c>
      <c r="AX50" s="1">
        <v>1E-3</v>
      </c>
      <c r="AY50" s="1">
        <v>2E-3</v>
      </c>
      <c r="AZ50" s="1">
        <v>3.0000000000000001E-3</v>
      </c>
      <c r="BA50" s="1">
        <v>6.0000000000000001E-3</v>
      </c>
      <c r="BB50" s="1">
        <v>1E-3</v>
      </c>
      <c r="BC50" s="1">
        <v>1E-3</v>
      </c>
      <c r="BD50" s="1">
        <v>7.0000000000000001E-3</v>
      </c>
      <c r="BE50" s="1">
        <v>1E-3</v>
      </c>
      <c r="BF50" s="1">
        <v>0.43099999999999999</v>
      </c>
      <c r="BG50" s="1">
        <v>0</v>
      </c>
      <c r="BH50" s="1">
        <v>8.9999999999999993E-3</v>
      </c>
      <c r="BI50" s="1">
        <v>1E-3</v>
      </c>
      <c r="BJ50" s="1">
        <v>0</v>
      </c>
      <c r="BK50" s="1">
        <v>1E-3</v>
      </c>
      <c r="BL50" s="1">
        <v>1E-3</v>
      </c>
      <c r="BM50" s="1">
        <v>1E-3</v>
      </c>
      <c r="BN50" s="1">
        <v>1E-3</v>
      </c>
      <c r="BO50" s="1">
        <v>1E-3</v>
      </c>
      <c r="BP50" s="1">
        <v>0</v>
      </c>
      <c r="BQ50" s="1">
        <v>2E-3</v>
      </c>
      <c r="BR50" s="1">
        <v>1E-3</v>
      </c>
      <c r="BS50" s="1">
        <v>1E-3</v>
      </c>
      <c r="BT50" s="1">
        <v>1E-3</v>
      </c>
      <c r="BU50" s="1">
        <v>0.39600000000000002</v>
      </c>
      <c r="BV50" s="1">
        <v>1E-3</v>
      </c>
      <c r="BW50" s="1">
        <v>1E-3</v>
      </c>
      <c r="BX50" s="1">
        <v>1.0999999999999999E-2</v>
      </c>
      <c r="BY50" s="1">
        <v>4.0000000000000001E-3</v>
      </c>
      <c r="BZ50" s="1">
        <v>2E-3</v>
      </c>
      <c r="CA50" s="1">
        <v>2E-3</v>
      </c>
      <c r="CB50" s="1">
        <v>0</v>
      </c>
      <c r="CC50" s="1">
        <v>1E-3</v>
      </c>
      <c r="CD50" s="1">
        <v>0</v>
      </c>
      <c r="CE50" s="1">
        <v>1E-3</v>
      </c>
      <c r="CF50" s="1">
        <v>1E-3</v>
      </c>
      <c r="CG50" s="1">
        <v>1E-3</v>
      </c>
      <c r="CH50" s="1">
        <v>2E-3</v>
      </c>
      <c r="CI50" s="1">
        <v>3.0000000000000001E-3</v>
      </c>
      <c r="CJ50" s="1">
        <v>3.0000000000000001E-3</v>
      </c>
      <c r="CK50" s="1">
        <v>7.0000000000000001E-3</v>
      </c>
      <c r="CL50" s="1">
        <v>3.0000000000000001E-3</v>
      </c>
      <c r="CM50" s="1">
        <v>18.846845349999999</v>
      </c>
      <c r="CN50" s="83">
        <v>122.72568320000001</v>
      </c>
    </row>
    <row r="51" spans="1:92" s="3" customFormat="1" x14ac:dyDescent="0.25">
      <c r="A51" s="72">
        <v>48</v>
      </c>
      <c r="B51" s="81" t="s">
        <v>897</v>
      </c>
      <c r="C51" s="1" t="s">
        <v>72</v>
      </c>
      <c r="D51" s="1" t="s">
        <v>79</v>
      </c>
      <c r="E51" s="1" t="s">
        <v>99</v>
      </c>
      <c r="F51" s="1" t="s">
        <v>108</v>
      </c>
      <c r="G51" s="1" t="s">
        <v>80</v>
      </c>
      <c r="H51" s="1" t="s">
        <v>10</v>
      </c>
      <c r="I51" s="1"/>
      <c r="J51" s="9" t="s">
        <v>544</v>
      </c>
      <c r="K51" s="10">
        <v>0.45442933333333402</v>
      </c>
      <c r="L51" s="1" t="s">
        <v>76</v>
      </c>
      <c r="M51" s="1" t="s">
        <v>506</v>
      </c>
      <c r="N51" s="1" t="s">
        <v>645</v>
      </c>
      <c r="O51" s="1" t="s">
        <v>10</v>
      </c>
      <c r="P51" s="82">
        <v>0.99399999999999999</v>
      </c>
      <c r="Q51" s="1" t="s">
        <v>76</v>
      </c>
      <c r="R51" s="81" t="s">
        <v>87</v>
      </c>
      <c r="S51" s="1" t="s">
        <v>76</v>
      </c>
      <c r="T51" s="1" t="s">
        <v>78</v>
      </c>
      <c r="U51" s="1" t="s">
        <v>658</v>
      </c>
      <c r="V51" s="1" t="s">
        <v>655</v>
      </c>
      <c r="W51" s="1">
        <v>18</v>
      </c>
      <c r="X51" s="1" t="s">
        <v>109</v>
      </c>
      <c r="Y51" s="1" t="s">
        <v>645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0.99399999999999999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2E-3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1E-3</v>
      </c>
      <c r="CL51" s="1">
        <v>0</v>
      </c>
      <c r="CM51" s="1">
        <v>-10.83831732</v>
      </c>
      <c r="CN51" s="83">
        <v>149.9372558</v>
      </c>
    </row>
    <row r="52" spans="1:92" s="3" customFormat="1" x14ac:dyDescent="0.25">
      <c r="A52" s="72">
        <v>49</v>
      </c>
      <c r="B52" s="81" t="s">
        <v>1345</v>
      </c>
      <c r="C52" s="1" t="s">
        <v>72</v>
      </c>
      <c r="D52" s="1" t="s">
        <v>79</v>
      </c>
      <c r="E52" s="1" t="s">
        <v>74</v>
      </c>
      <c r="F52" s="1" t="s">
        <v>93</v>
      </c>
      <c r="G52" s="1" t="s">
        <v>80</v>
      </c>
      <c r="H52" s="1" t="s">
        <v>34</v>
      </c>
      <c r="I52" s="1"/>
      <c r="J52" s="9" t="s">
        <v>544</v>
      </c>
      <c r="K52" s="10">
        <v>0.44840999999999998</v>
      </c>
      <c r="L52" s="1" t="s">
        <v>76</v>
      </c>
      <c r="M52" s="1" t="s">
        <v>506</v>
      </c>
      <c r="N52" s="1" t="s">
        <v>645</v>
      </c>
      <c r="O52" s="1" t="s">
        <v>34</v>
      </c>
      <c r="P52" s="82">
        <v>0.997</v>
      </c>
      <c r="Q52" s="1" t="s">
        <v>76</v>
      </c>
      <c r="R52" s="81" t="s">
        <v>87</v>
      </c>
      <c r="S52" s="1" t="s">
        <v>76</v>
      </c>
      <c r="T52" s="1" t="s">
        <v>78</v>
      </c>
      <c r="U52" s="1" t="s">
        <v>658</v>
      </c>
      <c r="V52" s="1" t="s">
        <v>655</v>
      </c>
      <c r="W52" s="1">
        <v>35</v>
      </c>
      <c r="X52" s="1" t="s">
        <v>131</v>
      </c>
      <c r="Y52" s="1" t="s">
        <v>645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3.0000000000000001E-3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0.997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49.552116529999999</v>
      </c>
      <c r="CN52" s="83">
        <v>94.406798609999996</v>
      </c>
    </row>
    <row r="53" spans="1:92" s="3" customFormat="1" x14ac:dyDescent="0.25">
      <c r="A53" s="72">
        <v>50</v>
      </c>
      <c r="B53" s="81" t="s">
        <v>1386</v>
      </c>
      <c r="C53" s="1" t="s">
        <v>72</v>
      </c>
      <c r="D53" s="1" t="s">
        <v>79</v>
      </c>
      <c r="E53" s="1" t="s">
        <v>99</v>
      </c>
      <c r="F53" s="1" t="s">
        <v>144</v>
      </c>
      <c r="G53" s="1" t="s">
        <v>80</v>
      </c>
      <c r="H53" s="1" t="s">
        <v>532</v>
      </c>
      <c r="I53" s="1"/>
      <c r="J53" s="9" t="s">
        <v>506</v>
      </c>
      <c r="K53" s="10">
        <v>0.38360583333333398</v>
      </c>
      <c r="L53" s="1" t="s">
        <v>641</v>
      </c>
      <c r="M53" s="1" t="s">
        <v>76</v>
      </c>
      <c r="N53" s="1" t="s">
        <v>644</v>
      </c>
      <c r="O53" s="1" t="s">
        <v>52</v>
      </c>
      <c r="P53" s="82">
        <v>0.66300000000000003</v>
      </c>
      <c r="Q53" s="1" t="s">
        <v>76</v>
      </c>
      <c r="R53" s="81" t="s">
        <v>81</v>
      </c>
      <c r="S53" s="1" t="s">
        <v>76</v>
      </c>
      <c r="T53" s="1" t="s">
        <v>78</v>
      </c>
      <c r="U53" s="1" t="s">
        <v>658</v>
      </c>
      <c r="V53" s="1" t="s">
        <v>655</v>
      </c>
      <c r="W53" s="1">
        <v>10</v>
      </c>
      <c r="X53" s="1" t="s">
        <v>122</v>
      </c>
      <c r="Y53" s="1" t="s">
        <v>644</v>
      </c>
      <c r="Z53" s="1">
        <v>2E-3</v>
      </c>
      <c r="AA53" s="1">
        <v>2E-3</v>
      </c>
      <c r="AB53" s="1">
        <v>3.0000000000000001E-3</v>
      </c>
      <c r="AC53" s="1">
        <v>1.0999999999999999E-2</v>
      </c>
      <c r="AD53" s="1">
        <v>2E-3</v>
      </c>
      <c r="AE53" s="1">
        <v>4.0000000000000001E-3</v>
      </c>
      <c r="AF53" s="1">
        <v>4.0000000000000001E-3</v>
      </c>
      <c r="AG53" s="1">
        <v>0</v>
      </c>
      <c r="AH53" s="1">
        <v>8.9999999999999993E-3</v>
      </c>
      <c r="AI53" s="1">
        <v>1E-3</v>
      </c>
      <c r="AJ53" s="1">
        <v>0.01</v>
      </c>
      <c r="AK53" s="1">
        <v>8.0000000000000002E-3</v>
      </c>
      <c r="AL53" s="1">
        <v>0</v>
      </c>
      <c r="AM53" s="1">
        <v>2E-3</v>
      </c>
      <c r="AN53" s="1">
        <v>8.9999999999999993E-3</v>
      </c>
      <c r="AO53" s="1">
        <v>2E-3</v>
      </c>
      <c r="AP53" s="1">
        <v>2E-3</v>
      </c>
      <c r="AQ53" s="1">
        <v>1E-3</v>
      </c>
      <c r="AR53" s="1">
        <v>2E-3</v>
      </c>
      <c r="AS53" s="1">
        <v>8.0000000000000002E-3</v>
      </c>
      <c r="AT53" s="1">
        <v>3.0000000000000001E-3</v>
      </c>
      <c r="AU53" s="1">
        <v>5.0000000000000001E-3</v>
      </c>
      <c r="AV53" s="1">
        <v>2E-3</v>
      </c>
      <c r="AW53" s="1">
        <v>3.0000000000000001E-3</v>
      </c>
      <c r="AX53" s="1">
        <v>1E-3</v>
      </c>
      <c r="AY53" s="1">
        <v>5.0000000000000001E-3</v>
      </c>
      <c r="AZ53" s="1">
        <v>7.0000000000000001E-3</v>
      </c>
      <c r="BA53" s="1">
        <v>1.2E-2</v>
      </c>
      <c r="BB53" s="1">
        <v>1.2E-2</v>
      </c>
      <c r="BC53" s="1">
        <v>1E-3</v>
      </c>
      <c r="BD53" s="1">
        <v>1.4E-2</v>
      </c>
      <c r="BE53" s="1">
        <v>2E-3</v>
      </c>
      <c r="BF53" s="1">
        <v>3.0000000000000001E-3</v>
      </c>
      <c r="BG53" s="1">
        <v>1E-3</v>
      </c>
      <c r="BH53" s="1">
        <v>2E-3</v>
      </c>
      <c r="BI53" s="1">
        <v>1E-3</v>
      </c>
      <c r="BJ53" s="1">
        <v>1E-3</v>
      </c>
      <c r="BK53" s="1">
        <v>1E-3</v>
      </c>
      <c r="BL53" s="1">
        <v>3.0000000000000001E-3</v>
      </c>
      <c r="BM53" s="1">
        <v>2E-3</v>
      </c>
      <c r="BN53" s="1">
        <v>3.0000000000000001E-3</v>
      </c>
      <c r="BO53" s="1">
        <v>4.0000000000000001E-3</v>
      </c>
      <c r="BP53" s="1">
        <v>0</v>
      </c>
      <c r="BQ53" s="1">
        <v>5.0000000000000001E-3</v>
      </c>
      <c r="BR53" s="1">
        <v>2E-3</v>
      </c>
      <c r="BS53" s="1">
        <v>4.0000000000000001E-3</v>
      </c>
      <c r="BT53" s="1">
        <v>3.0000000000000001E-3</v>
      </c>
      <c r="BU53" s="1">
        <v>0.66300000000000003</v>
      </c>
      <c r="BV53" s="1">
        <v>8.0000000000000002E-3</v>
      </c>
      <c r="BW53" s="1">
        <v>2E-3</v>
      </c>
      <c r="BX53" s="1">
        <v>7.1999999999999995E-2</v>
      </c>
      <c r="BY53" s="1">
        <v>8.0000000000000002E-3</v>
      </c>
      <c r="BZ53" s="1">
        <v>4.0000000000000001E-3</v>
      </c>
      <c r="CA53" s="1">
        <v>3.0000000000000001E-3</v>
      </c>
      <c r="CB53" s="1">
        <v>1E-3</v>
      </c>
      <c r="CC53" s="1">
        <v>2E-3</v>
      </c>
      <c r="CD53" s="1">
        <v>0</v>
      </c>
      <c r="CE53" s="1">
        <v>2E-3</v>
      </c>
      <c r="CF53" s="1">
        <v>2E-3</v>
      </c>
      <c r="CG53" s="1">
        <v>4.0000000000000001E-3</v>
      </c>
      <c r="CH53" s="1">
        <v>4.0000000000000001E-3</v>
      </c>
      <c r="CI53" s="1">
        <v>6.0000000000000001E-3</v>
      </c>
      <c r="CJ53" s="1">
        <v>6.0000000000000001E-3</v>
      </c>
      <c r="CK53" s="1">
        <v>2.5000000000000001E-2</v>
      </c>
      <c r="CL53" s="1">
        <v>4.0000000000000001E-3</v>
      </c>
      <c r="CM53" s="1">
        <v>7.1418089629999999</v>
      </c>
      <c r="CN53" s="83">
        <v>123.54183569999999</v>
      </c>
    </row>
    <row r="54" spans="1:92" s="3" customFormat="1" x14ac:dyDescent="0.25">
      <c r="A54" s="72">
        <v>51</v>
      </c>
      <c r="B54" s="81" t="s">
        <v>1091</v>
      </c>
      <c r="C54" s="1" t="s">
        <v>72</v>
      </c>
      <c r="D54" s="1" t="s">
        <v>79</v>
      </c>
      <c r="E54" s="1" t="s">
        <v>99</v>
      </c>
      <c r="F54" s="1" t="s">
        <v>113</v>
      </c>
      <c r="G54" s="1" t="s">
        <v>80</v>
      </c>
      <c r="H54" s="1" t="s">
        <v>530</v>
      </c>
      <c r="I54" s="1"/>
      <c r="J54" s="9" t="s">
        <v>506</v>
      </c>
      <c r="K54" s="10">
        <v>0.37751133333333298</v>
      </c>
      <c r="L54" s="1" t="s">
        <v>641</v>
      </c>
      <c r="M54" s="1" t="s">
        <v>76</v>
      </c>
      <c r="N54" s="1" t="s">
        <v>644</v>
      </c>
      <c r="O54" s="1" t="s">
        <v>55</v>
      </c>
      <c r="P54" s="82">
        <v>0.11</v>
      </c>
      <c r="Q54" s="1" t="s">
        <v>76</v>
      </c>
      <c r="R54" s="81" t="s">
        <v>77</v>
      </c>
      <c r="S54" s="1" t="s">
        <v>76</v>
      </c>
      <c r="T54" s="1" t="s">
        <v>78</v>
      </c>
      <c r="U54" s="1" t="s">
        <v>658</v>
      </c>
      <c r="V54" s="1" t="s">
        <v>655</v>
      </c>
      <c r="W54" s="1">
        <v>14</v>
      </c>
      <c r="X54" s="1" t="s">
        <v>76</v>
      </c>
      <c r="Y54" s="1" t="s">
        <v>644</v>
      </c>
      <c r="Z54" s="1">
        <v>6.0000000000000001E-3</v>
      </c>
      <c r="AA54" s="1">
        <v>6.0000000000000001E-3</v>
      </c>
      <c r="AB54" s="1">
        <v>7.0000000000000001E-3</v>
      </c>
      <c r="AC54" s="1">
        <v>4.1000000000000002E-2</v>
      </c>
      <c r="AD54" s="1">
        <v>1.0999999999999999E-2</v>
      </c>
      <c r="AE54" s="1">
        <v>1.6E-2</v>
      </c>
      <c r="AF54" s="1">
        <v>8.9999999999999993E-3</v>
      </c>
      <c r="AG54" s="1">
        <v>1E-3</v>
      </c>
      <c r="AH54" s="1">
        <v>2.1999999999999999E-2</v>
      </c>
      <c r="AI54" s="1">
        <v>6.0000000000000001E-3</v>
      </c>
      <c r="AJ54" s="1">
        <v>1.4E-2</v>
      </c>
      <c r="AK54" s="1">
        <v>2.1999999999999999E-2</v>
      </c>
      <c r="AL54" s="1">
        <v>1E-3</v>
      </c>
      <c r="AM54" s="1">
        <v>4.0000000000000001E-3</v>
      </c>
      <c r="AN54" s="1">
        <v>4.5999999999999999E-2</v>
      </c>
      <c r="AO54" s="1">
        <v>5.0000000000000001E-3</v>
      </c>
      <c r="AP54" s="1">
        <v>4.0000000000000001E-3</v>
      </c>
      <c r="AQ54" s="1">
        <v>3.0000000000000001E-3</v>
      </c>
      <c r="AR54" s="1">
        <v>1.2999999999999999E-2</v>
      </c>
      <c r="AS54" s="1">
        <v>1.7999999999999999E-2</v>
      </c>
      <c r="AT54" s="1">
        <v>8.9999999999999993E-3</v>
      </c>
      <c r="AU54" s="1">
        <v>0.01</v>
      </c>
      <c r="AV54" s="1">
        <v>5.0000000000000001E-3</v>
      </c>
      <c r="AW54" s="1">
        <v>6.0000000000000001E-3</v>
      </c>
      <c r="AX54" s="1">
        <v>5.0000000000000001E-3</v>
      </c>
      <c r="AY54" s="1">
        <v>8.9999999999999993E-3</v>
      </c>
      <c r="AZ54" s="1">
        <v>1.6E-2</v>
      </c>
      <c r="BA54" s="1">
        <v>2.9000000000000001E-2</v>
      </c>
      <c r="BB54" s="1">
        <v>2.1000000000000001E-2</v>
      </c>
      <c r="BC54" s="1">
        <v>4.0000000000000001E-3</v>
      </c>
      <c r="BD54" s="1">
        <v>2.9000000000000001E-2</v>
      </c>
      <c r="BE54" s="1">
        <v>5.0000000000000001E-3</v>
      </c>
      <c r="BF54" s="1">
        <v>8.8999999999999996E-2</v>
      </c>
      <c r="BG54" s="1">
        <v>2E-3</v>
      </c>
      <c r="BH54" s="1">
        <v>1.2E-2</v>
      </c>
      <c r="BI54" s="1">
        <v>3.0000000000000001E-3</v>
      </c>
      <c r="BJ54" s="1">
        <v>2E-3</v>
      </c>
      <c r="BK54" s="1">
        <v>3.0000000000000001E-3</v>
      </c>
      <c r="BL54" s="1">
        <v>7.0000000000000001E-3</v>
      </c>
      <c r="BM54" s="1">
        <v>4.0000000000000001E-3</v>
      </c>
      <c r="BN54" s="1">
        <v>8.9999999999999993E-3</v>
      </c>
      <c r="BO54" s="1">
        <v>1.4999999999999999E-2</v>
      </c>
      <c r="BP54" s="1">
        <v>2E-3</v>
      </c>
      <c r="BQ54" s="1">
        <v>1.2E-2</v>
      </c>
      <c r="BR54" s="1">
        <v>6.0000000000000001E-3</v>
      </c>
      <c r="BS54" s="1">
        <v>1.4999999999999999E-2</v>
      </c>
      <c r="BT54" s="1">
        <v>4.0000000000000001E-3</v>
      </c>
      <c r="BU54" s="1">
        <v>9.9000000000000005E-2</v>
      </c>
      <c r="BV54" s="1">
        <v>1.0999999999999999E-2</v>
      </c>
      <c r="BW54" s="1">
        <v>6.0000000000000001E-3</v>
      </c>
      <c r="BX54" s="1">
        <v>0.11</v>
      </c>
      <c r="BY54" s="1">
        <v>1.4999999999999999E-2</v>
      </c>
      <c r="BZ54" s="1">
        <v>1.0999999999999999E-2</v>
      </c>
      <c r="CA54" s="1">
        <v>7.0000000000000001E-3</v>
      </c>
      <c r="CB54" s="1">
        <v>4.0000000000000001E-3</v>
      </c>
      <c r="CC54" s="1">
        <v>7.0000000000000001E-3</v>
      </c>
      <c r="CD54" s="1">
        <v>1E-3</v>
      </c>
      <c r="CE54" s="1">
        <v>5.0000000000000001E-3</v>
      </c>
      <c r="CF54" s="1">
        <v>6.0000000000000001E-3</v>
      </c>
      <c r="CG54" s="1">
        <v>8.0000000000000002E-3</v>
      </c>
      <c r="CH54" s="1">
        <v>0.01</v>
      </c>
      <c r="CI54" s="1">
        <v>1.0999999999999999E-2</v>
      </c>
      <c r="CJ54" s="1">
        <v>1.2999999999999999E-2</v>
      </c>
      <c r="CK54" s="1">
        <v>7.0999999999999994E-2</v>
      </c>
      <c r="CL54" s="1">
        <v>1.2999999999999999E-2</v>
      </c>
      <c r="CM54" s="1">
        <v>8.8896054089999996</v>
      </c>
      <c r="CN54" s="83">
        <v>128.7704119</v>
      </c>
    </row>
    <row r="55" spans="1:92" s="3" customFormat="1" x14ac:dyDescent="0.25">
      <c r="A55" s="72">
        <v>52</v>
      </c>
      <c r="B55" s="81" t="s">
        <v>1296</v>
      </c>
      <c r="C55" s="1" t="s">
        <v>72</v>
      </c>
      <c r="D55" s="1" t="s">
        <v>79</v>
      </c>
      <c r="E55" s="1" t="s">
        <v>99</v>
      </c>
      <c r="F55" s="1" t="s">
        <v>93</v>
      </c>
      <c r="G55" s="1" t="s">
        <v>80</v>
      </c>
      <c r="H55" s="1" t="s">
        <v>34</v>
      </c>
      <c r="I55" s="1"/>
      <c r="J55" s="9" t="s">
        <v>544</v>
      </c>
      <c r="K55" s="10">
        <v>0.372219666666667</v>
      </c>
      <c r="L55" s="1" t="s">
        <v>76</v>
      </c>
      <c r="M55" s="1" t="s">
        <v>506</v>
      </c>
      <c r="N55" s="1" t="s">
        <v>645</v>
      </c>
      <c r="O55" s="1" t="s">
        <v>34</v>
      </c>
      <c r="P55" s="82">
        <v>0.999</v>
      </c>
      <c r="Q55" s="1" t="s">
        <v>76</v>
      </c>
      <c r="R55" s="81" t="s">
        <v>87</v>
      </c>
      <c r="S55" s="1" t="s">
        <v>76</v>
      </c>
      <c r="T55" s="1" t="s">
        <v>78</v>
      </c>
      <c r="U55" s="1" t="s">
        <v>658</v>
      </c>
      <c r="V55" s="1" t="s">
        <v>655</v>
      </c>
      <c r="W55" s="1">
        <v>43</v>
      </c>
      <c r="X55" s="1" t="s">
        <v>132</v>
      </c>
      <c r="Y55" s="1" t="s">
        <v>645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0.999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45.11771864</v>
      </c>
      <c r="CN55" s="83">
        <v>100.04568810000001</v>
      </c>
    </row>
    <row r="56" spans="1:92" s="3" customFormat="1" x14ac:dyDescent="0.25">
      <c r="A56" s="72">
        <v>53</v>
      </c>
      <c r="B56" s="81" t="s">
        <v>959</v>
      </c>
      <c r="C56" s="1" t="s">
        <v>72</v>
      </c>
      <c r="D56" s="1" t="s">
        <v>79</v>
      </c>
      <c r="E56" s="1" t="s">
        <v>74</v>
      </c>
      <c r="F56" s="1" t="s">
        <v>89</v>
      </c>
      <c r="G56" s="1" t="s">
        <v>76</v>
      </c>
      <c r="H56" s="1" t="s">
        <v>68</v>
      </c>
      <c r="I56" s="1"/>
      <c r="J56" s="9" t="s">
        <v>544</v>
      </c>
      <c r="K56" s="10">
        <v>0.33016649999999997</v>
      </c>
      <c r="L56" s="1" t="s">
        <v>641</v>
      </c>
      <c r="M56" s="1" t="s">
        <v>76</v>
      </c>
      <c r="N56" s="1" t="s">
        <v>644</v>
      </c>
      <c r="O56" s="1" t="s">
        <v>37</v>
      </c>
      <c r="P56" s="82">
        <v>0.85899999999999999</v>
      </c>
      <c r="Q56" s="1" t="s">
        <v>76</v>
      </c>
      <c r="R56" s="81" t="s">
        <v>133</v>
      </c>
      <c r="S56" s="1" t="s">
        <v>76</v>
      </c>
      <c r="T56" s="1" t="s">
        <v>78</v>
      </c>
      <c r="U56" s="1" t="s">
        <v>658</v>
      </c>
      <c r="V56" s="1" t="s">
        <v>655</v>
      </c>
      <c r="W56" s="1">
        <v>29</v>
      </c>
      <c r="X56" s="1" t="s">
        <v>348</v>
      </c>
      <c r="Y56" s="1" t="s">
        <v>648</v>
      </c>
      <c r="Z56" s="1">
        <v>1E-3</v>
      </c>
      <c r="AA56" s="1">
        <v>1E-3</v>
      </c>
      <c r="AB56" s="1">
        <v>1E-3</v>
      </c>
      <c r="AC56" s="1">
        <v>1.0999999999999999E-2</v>
      </c>
      <c r="AD56" s="1">
        <v>2E-3</v>
      </c>
      <c r="AE56" s="1">
        <v>2E-3</v>
      </c>
      <c r="AF56" s="1">
        <v>1E-3</v>
      </c>
      <c r="AG56" s="1">
        <v>0</v>
      </c>
      <c r="AH56" s="1">
        <v>3.0000000000000001E-3</v>
      </c>
      <c r="AI56" s="1">
        <v>2E-3</v>
      </c>
      <c r="AJ56" s="1">
        <v>1E-3</v>
      </c>
      <c r="AK56" s="1">
        <v>2E-3</v>
      </c>
      <c r="AL56" s="1">
        <v>0</v>
      </c>
      <c r="AM56" s="1">
        <v>0</v>
      </c>
      <c r="AN56" s="1">
        <v>4.7E-2</v>
      </c>
      <c r="AO56" s="1">
        <v>1E-3</v>
      </c>
      <c r="AP56" s="1">
        <v>1E-3</v>
      </c>
      <c r="AQ56" s="1">
        <v>0</v>
      </c>
      <c r="AR56" s="1">
        <v>1E-3</v>
      </c>
      <c r="AS56" s="1">
        <v>1E-3</v>
      </c>
      <c r="AT56" s="1">
        <v>1E-3</v>
      </c>
      <c r="AU56" s="1">
        <v>1E-3</v>
      </c>
      <c r="AV56" s="1">
        <v>1E-3</v>
      </c>
      <c r="AW56" s="1">
        <v>1E-3</v>
      </c>
      <c r="AX56" s="1">
        <v>0</v>
      </c>
      <c r="AY56" s="1">
        <v>1E-3</v>
      </c>
      <c r="AZ56" s="1">
        <v>1E-3</v>
      </c>
      <c r="BA56" s="1">
        <v>2E-3</v>
      </c>
      <c r="BB56" s="1">
        <v>1E-3</v>
      </c>
      <c r="BC56" s="1">
        <v>0</v>
      </c>
      <c r="BD56" s="1">
        <v>3.0000000000000001E-3</v>
      </c>
      <c r="BE56" s="1">
        <v>1E-3</v>
      </c>
      <c r="BF56" s="1">
        <v>0.85899999999999999</v>
      </c>
      <c r="BG56" s="1">
        <v>0</v>
      </c>
      <c r="BH56" s="1">
        <v>8.9999999999999993E-3</v>
      </c>
      <c r="BI56" s="1">
        <v>0</v>
      </c>
      <c r="BJ56" s="1">
        <v>0</v>
      </c>
      <c r="BK56" s="1">
        <v>0</v>
      </c>
      <c r="BL56" s="1">
        <v>1E-3</v>
      </c>
      <c r="BM56" s="1">
        <v>1E-3</v>
      </c>
      <c r="BN56" s="1">
        <v>1E-3</v>
      </c>
      <c r="BO56" s="1">
        <v>1E-3</v>
      </c>
      <c r="BP56" s="1">
        <v>0</v>
      </c>
      <c r="BQ56" s="1">
        <v>1E-3</v>
      </c>
      <c r="BR56" s="1">
        <v>1E-3</v>
      </c>
      <c r="BS56" s="1">
        <v>1E-3</v>
      </c>
      <c r="BT56" s="1">
        <v>0</v>
      </c>
      <c r="BU56" s="1">
        <v>1E-3</v>
      </c>
      <c r="BV56" s="1">
        <v>1E-3</v>
      </c>
      <c r="BW56" s="1">
        <v>1E-3</v>
      </c>
      <c r="BX56" s="1">
        <v>1.4999999999999999E-2</v>
      </c>
      <c r="BY56" s="1">
        <v>2E-3</v>
      </c>
      <c r="BZ56" s="1">
        <v>1E-3</v>
      </c>
      <c r="CA56" s="1">
        <v>1E-3</v>
      </c>
      <c r="CB56" s="1">
        <v>0</v>
      </c>
      <c r="CC56" s="1">
        <v>1E-3</v>
      </c>
      <c r="CD56" s="1">
        <v>0</v>
      </c>
      <c r="CE56" s="1">
        <v>1E-3</v>
      </c>
      <c r="CF56" s="1">
        <v>1E-3</v>
      </c>
      <c r="CG56" s="1">
        <v>1E-3</v>
      </c>
      <c r="CH56" s="1">
        <v>1E-3</v>
      </c>
      <c r="CI56" s="1">
        <v>1E-3</v>
      </c>
      <c r="CJ56" s="1">
        <v>1E-3</v>
      </c>
      <c r="CK56" s="1">
        <v>7.0000000000000001E-3</v>
      </c>
      <c r="CL56" s="1">
        <v>2E-3</v>
      </c>
      <c r="CM56" s="1">
        <v>15.428868039999999</v>
      </c>
      <c r="CN56" s="83">
        <v>132.97348919999999</v>
      </c>
    </row>
    <row r="57" spans="1:92" s="3" customFormat="1" x14ac:dyDescent="0.25">
      <c r="A57" s="72">
        <v>54</v>
      </c>
      <c r="B57" s="81" t="s">
        <v>1181</v>
      </c>
      <c r="C57" s="1" t="s">
        <v>72</v>
      </c>
      <c r="D57" s="1" t="s">
        <v>79</v>
      </c>
      <c r="E57" s="1" t="s">
        <v>74</v>
      </c>
      <c r="F57" s="1" t="s">
        <v>144</v>
      </c>
      <c r="G57" s="1" t="s">
        <v>80</v>
      </c>
      <c r="H57" s="1" t="s">
        <v>532</v>
      </c>
      <c r="I57" s="1"/>
      <c r="J57" s="9" t="s">
        <v>506</v>
      </c>
      <c r="K57" s="10">
        <v>0.41996283333333401</v>
      </c>
      <c r="L57" s="1" t="s">
        <v>641</v>
      </c>
      <c r="M57" s="1" t="s">
        <v>76</v>
      </c>
      <c r="N57" s="1" t="s">
        <v>644</v>
      </c>
      <c r="O57" s="1" t="s">
        <v>34</v>
      </c>
      <c r="P57" s="82">
        <v>0.309</v>
      </c>
      <c r="Q57" s="1" t="s">
        <v>76</v>
      </c>
      <c r="R57" s="81" t="s">
        <v>135</v>
      </c>
      <c r="S57" s="1" t="s">
        <v>76</v>
      </c>
      <c r="T57" s="1" t="s">
        <v>78</v>
      </c>
      <c r="U57" s="1" t="s">
        <v>658</v>
      </c>
      <c r="V57" s="1" t="s">
        <v>655</v>
      </c>
      <c r="W57" s="1">
        <v>17</v>
      </c>
      <c r="X57" s="1" t="s">
        <v>111</v>
      </c>
      <c r="Y57" s="1" t="s">
        <v>644</v>
      </c>
      <c r="Z57" s="1">
        <v>2E-3</v>
      </c>
      <c r="AA57" s="1">
        <v>6.0000000000000001E-3</v>
      </c>
      <c r="AB57" s="1">
        <v>6.0000000000000001E-3</v>
      </c>
      <c r="AC57" s="1">
        <v>4.7E-2</v>
      </c>
      <c r="AD57" s="1">
        <v>5.0000000000000001E-3</v>
      </c>
      <c r="AE57" s="1">
        <v>6.0000000000000001E-3</v>
      </c>
      <c r="AF57" s="1">
        <v>5.0000000000000001E-3</v>
      </c>
      <c r="AG57" s="1">
        <v>1E-3</v>
      </c>
      <c r="AH57" s="1">
        <v>2.1000000000000001E-2</v>
      </c>
      <c r="AI57" s="1">
        <v>3.0000000000000001E-3</v>
      </c>
      <c r="AJ57" s="1">
        <v>3.0000000000000001E-3</v>
      </c>
      <c r="AK57" s="1">
        <v>1.2999999999999999E-2</v>
      </c>
      <c r="AL57" s="1">
        <v>1.9E-2</v>
      </c>
      <c r="AM57" s="1">
        <v>0</v>
      </c>
      <c r="AN57" s="1">
        <v>5.0000000000000001E-3</v>
      </c>
      <c r="AO57" s="1">
        <v>0.01</v>
      </c>
      <c r="AP57" s="1">
        <v>1.6E-2</v>
      </c>
      <c r="AQ57" s="1">
        <v>4.0000000000000001E-3</v>
      </c>
      <c r="AR57" s="1">
        <v>2E-3</v>
      </c>
      <c r="AS57" s="1">
        <v>1.9E-2</v>
      </c>
      <c r="AT57" s="1">
        <v>1.4E-2</v>
      </c>
      <c r="AU57" s="1">
        <v>7.0000000000000001E-3</v>
      </c>
      <c r="AV57" s="1">
        <v>5.0000000000000001E-3</v>
      </c>
      <c r="AW57" s="1">
        <v>0.01</v>
      </c>
      <c r="AX57" s="1">
        <v>8.9999999999999993E-3</v>
      </c>
      <c r="AY57" s="1">
        <v>8.9999999999999993E-3</v>
      </c>
      <c r="AZ57" s="1">
        <v>7.0000000000000001E-3</v>
      </c>
      <c r="BA57" s="1">
        <v>1.6E-2</v>
      </c>
      <c r="BB57" s="1">
        <v>5.0000000000000001E-3</v>
      </c>
      <c r="BC57" s="1">
        <v>0.309</v>
      </c>
      <c r="BD57" s="1">
        <v>2.5000000000000001E-2</v>
      </c>
      <c r="BE57" s="1">
        <v>5.0000000000000001E-3</v>
      </c>
      <c r="BF57" s="1">
        <v>3.0000000000000001E-3</v>
      </c>
      <c r="BG57" s="1">
        <v>5.0000000000000001E-3</v>
      </c>
      <c r="BH57" s="1">
        <v>3.1E-2</v>
      </c>
      <c r="BI57" s="1">
        <v>4.0000000000000001E-3</v>
      </c>
      <c r="BJ57" s="1">
        <v>2E-3</v>
      </c>
      <c r="BK57" s="1">
        <v>3.0000000000000001E-3</v>
      </c>
      <c r="BL57" s="1">
        <v>2.3E-2</v>
      </c>
      <c r="BM57" s="1">
        <v>8.9999999999999993E-3</v>
      </c>
      <c r="BN57" s="1">
        <v>0.01</v>
      </c>
      <c r="BO57" s="1">
        <v>3.0000000000000001E-3</v>
      </c>
      <c r="BP57" s="1">
        <v>2E-3</v>
      </c>
      <c r="BQ57" s="1">
        <v>1.2E-2</v>
      </c>
      <c r="BR57" s="1">
        <v>6.0000000000000001E-3</v>
      </c>
      <c r="BS57" s="1">
        <v>4.0000000000000001E-3</v>
      </c>
      <c r="BT57" s="1">
        <v>3.0000000000000001E-3</v>
      </c>
      <c r="BU57" s="1">
        <v>3.0000000000000001E-3</v>
      </c>
      <c r="BV57" s="1">
        <v>5.0000000000000001E-3</v>
      </c>
      <c r="BW57" s="1">
        <v>6.0000000000000001E-3</v>
      </c>
      <c r="BX57" s="1">
        <v>2.8000000000000001E-2</v>
      </c>
      <c r="BY57" s="1">
        <v>2.8000000000000001E-2</v>
      </c>
      <c r="BZ57" s="1">
        <v>8.9999999999999993E-3</v>
      </c>
      <c r="CA57" s="1">
        <v>6.0000000000000001E-3</v>
      </c>
      <c r="CB57" s="1">
        <v>1E-3</v>
      </c>
      <c r="CC57" s="1">
        <v>6.0000000000000001E-3</v>
      </c>
      <c r="CD57" s="1">
        <v>1E-3</v>
      </c>
      <c r="CE57" s="1">
        <v>4.0000000000000001E-3</v>
      </c>
      <c r="CF57" s="1">
        <v>6.0000000000000001E-3</v>
      </c>
      <c r="CG57" s="1">
        <v>0.01</v>
      </c>
      <c r="CH57" s="1">
        <v>1.2E-2</v>
      </c>
      <c r="CI57" s="1">
        <v>1.2E-2</v>
      </c>
      <c r="CJ57" s="1">
        <v>1.9E-2</v>
      </c>
      <c r="CK57" s="1">
        <v>9.8000000000000004E-2</v>
      </c>
      <c r="CL57" s="1">
        <v>1.2E-2</v>
      </c>
      <c r="CM57" s="1">
        <v>47.631615859999997</v>
      </c>
      <c r="CN57" s="83">
        <v>105.8726537</v>
      </c>
    </row>
    <row r="58" spans="1:92" s="3" customFormat="1" x14ac:dyDescent="0.25">
      <c r="A58" s="72">
        <v>55</v>
      </c>
      <c r="B58" s="81" t="s">
        <v>1001</v>
      </c>
      <c r="C58" s="1" t="s">
        <v>72</v>
      </c>
      <c r="D58" s="1" t="s">
        <v>79</v>
      </c>
      <c r="E58" s="1" t="s">
        <v>74</v>
      </c>
      <c r="F58" s="1" t="s">
        <v>112</v>
      </c>
      <c r="G58" s="1" t="s">
        <v>80</v>
      </c>
      <c r="H58" s="1" t="s">
        <v>112</v>
      </c>
      <c r="I58" s="1"/>
      <c r="J58" s="9" t="s">
        <v>506</v>
      </c>
      <c r="K58" s="10">
        <v>0.455031666666667</v>
      </c>
      <c r="L58" s="1" t="s">
        <v>641</v>
      </c>
      <c r="M58" s="1" t="s">
        <v>76</v>
      </c>
      <c r="N58" s="1" t="s">
        <v>644</v>
      </c>
      <c r="O58" s="1" t="s">
        <v>68</v>
      </c>
      <c r="P58" s="82">
        <v>0.14499999999999999</v>
      </c>
      <c r="Q58" s="1" t="s">
        <v>76</v>
      </c>
      <c r="R58" s="81" t="s">
        <v>77</v>
      </c>
      <c r="S58" s="1" t="s">
        <v>76</v>
      </c>
      <c r="T58" s="1" t="s">
        <v>78</v>
      </c>
      <c r="U58" s="1" t="s">
        <v>658</v>
      </c>
      <c r="V58" s="1" t="s">
        <v>655</v>
      </c>
      <c r="W58" s="1">
        <v>8</v>
      </c>
      <c r="X58" s="1" t="s">
        <v>76</v>
      </c>
      <c r="Y58" s="1" t="s">
        <v>644</v>
      </c>
      <c r="Z58" s="1">
        <v>3.0000000000000001E-3</v>
      </c>
      <c r="AA58" s="1">
        <v>6.0000000000000001E-3</v>
      </c>
      <c r="AB58" s="1">
        <v>1.0999999999999999E-2</v>
      </c>
      <c r="AC58" s="1">
        <v>2.4E-2</v>
      </c>
      <c r="AD58" s="1">
        <v>8.0000000000000002E-3</v>
      </c>
      <c r="AE58" s="1">
        <v>2.1000000000000001E-2</v>
      </c>
      <c r="AF58" s="1">
        <v>8.0000000000000002E-3</v>
      </c>
      <c r="AG58" s="1">
        <v>1E-3</v>
      </c>
      <c r="AH58" s="1">
        <v>2.5000000000000001E-2</v>
      </c>
      <c r="AI58" s="1">
        <v>2E-3</v>
      </c>
      <c r="AJ58" s="1">
        <v>7.2999999999999995E-2</v>
      </c>
      <c r="AK58" s="1">
        <v>6.3E-2</v>
      </c>
      <c r="AL58" s="1">
        <v>3.0000000000000001E-3</v>
      </c>
      <c r="AM58" s="1">
        <v>6.0000000000000001E-3</v>
      </c>
      <c r="AN58" s="1">
        <v>1.4999999999999999E-2</v>
      </c>
      <c r="AO58" s="1">
        <v>6.0000000000000001E-3</v>
      </c>
      <c r="AP58" s="1">
        <v>4.0000000000000001E-3</v>
      </c>
      <c r="AQ58" s="1">
        <v>3.0000000000000001E-3</v>
      </c>
      <c r="AR58" s="1">
        <v>1.6E-2</v>
      </c>
      <c r="AS58" s="1">
        <v>0.02</v>
      </c>
      <c r="AT58" s="1">
        <v>8.9999999999999993E-3</v>
      </c>
      <c r="AU58" s="1">
        <v>2.1999999999999999E-2</v>
      </c>
      <c r="AV58" s="1">
        <v>6.0000000000000001E-3</v>
      </c>
      <c r="AW58" s="1">
        <v>8.9999999999999993E-3</v>
      </c>
      <c r="AX58" s="1">
        <v>6.0000000000000001E-3</v>
      </c>
      <c r="AY58" s="1">
        <v>8.0000000000000002E-3</v>
      </c>
      <c r="AZ58" s="1">
        <v>1.2999999999999999E-2</v>
      </c>
      <c r="BA58" s="1">
        <v>1.9E-2</v>
      </c>
      <c r="BB58" s="1">
        <v>4.4999999999999998E-2</v>
      </c>
      <c r="BC58" s="1">
        <v>3.0000000000000001E-3</v>
      </c>
      <c r="BD58" s="1">
        <v>0.03</v>
      </c>
      <c r="BE58" s="1">
        <v>6.0000000000000001E-3</v>
      </c>
      <c r="BF58" s="1">
        <v>2E-3</v>
      </c>
      <c r="BG58" s="1">
        <v>7.0000000000000001E-3</v>
      </c>
      <c r="BH58" s="1">
        <v>3.0000000000000001E-3</v>
      </c>
      <c r="BI58" s="1">
        <v>4.0000000000000001E-3</v>
      </c>
      <c r="BJ58" s="1">
        <v>2E-3</v>
      </c>
      <c r="BK58" s="1">
        <v>3.0000000000000001E-3</v>
      </c>
      <c r="BL58" s="1">
        <v>8.0000000000000002E-3</v>
      </c>
      <c r="BM58" s="1">
        <v>4.0000000000000001E-3</v>
      </c>
      <c r="BN58" s="1">
        <v>8.0000000000000002E-3</v>
      </c>
      <c r="BO58" s="1">
        <v>2.8000000000000001E-2</v>
      </c>
      <c r="BP58" s="1">
        <v>2E-3</v>
      </c>
      <c r="BQ58" s="1">
        <v>1.2E-2</v>
      </c>
      <c r="BR58" s="1">
        <v>5.0000000000000001E-3</v>
      </c>
      <c r="BS58" s="1">
        <v>1.0999999999999999E-2</v>
      </c>
      <c r="BT58" s="1">
        <v>3.0000000000000001E-3</v>
      </c>
      <c r="BU58" s="1">
        <v>4.0000000000000001E-3</v>
      </c>
      <c r="BV58" s="1">
        <v>2.5000000000000001E-2</v>
      </c>
      <c r="BW58" s="1">
        <v>8.9999999999999993E-3</v>
      </c>
      <c r="BX58" s="1">
        <v>0.113</v>
      </c>
      <c r="BY58" s="1">
        <v>1.2E-2</v>
      </c>
      <c r="BZ58" s="1">
        <v>1.0999999999999999E-2</v>
      </c>
      <c r="CA58" s="1">
        <v>5.0000000000000001E-3</v>
      </c>
      <c r="CB58" s="1">
        <v>3.0000000000000001E-3</v>
      </c>
      <c r="CC58" s="1">
        <v>8.9999999999999993E-3</v>
      </c>
      <c r="CD58" s="1">
        <v>1E-3</v>
      </c>
      <c r="CE58" s="1">
        <v>5.0000000000000001E-3</v>
      </c>
      <c r="CF58" s="1">
        <v>5.0000000000000001E-3</v>
      </c>
      <c r="CG58" s="1">
        <v>0.01</v>
      </c>
      <c r="CH58" s="1">
        <v>1.0999999999999999E-2</v>
      </c>
      <c r="CI58" s="1">
        <v>8.0000000000000002E-3</v>
      </c>
      <c r="CJ58" s="1">
        <v>1.2999999999999999E-2</v>
      </c>
      <c r="CK58" s="1">
        <v>0.14499999999999999</v>
      </c>
      <c r="CL58" s="1">
        <v>1.4999999999999999E-2</v>
      </c>
      <c r="CM58" s="1">
        <v>-15.33318985</v>
      </c>
      <c r="CN58" s="83">
        <v>130.42616219999999</v>
      </c>
    </row>
    <row r="59" spans="1:92" s="3" customFormat="1" x14ac:dyDescent="0.25">
      <c r="A59" s="72">
        <v>56</v>
      </c>
      <c r="B59" s="81" t="s">
        <v>1344</v>
      </c>
      <c r="C59" s="1" t="s">
        <v>72</v>
      </c>
      <c r="D59" s="1" t="s">
        <v>79</v>
      </c>
      <c r="E59" s="1" t="s">
        <v>99</v>
      </c>
      <c r="F59" s="1" t="s">
        <v>144</v>
      </c>
      <c r="G59" s="1" t="s">
        <v>80</v>
      </c>
      <c r="H59" s="1" t="s">
        <v>532</v>
      </c>
      <c r="I59" s="1"/>
      <c r="J59" s="9" t="s">
        <v>506</v>
      </c>
      <c r="K59" s="10">
        <v>0.326809666666667</v>
      </c>
      <c r="L59" s="1" t="s">
        <v>641</v>
      </c>
      <c r="M59" s="1" t="s">
        <v>76</v>
      </c>
      <c r="N59" s="1" t="s">
        <v>644</v>
      </c>
      <c r="O59" s="1" t="s">
        <v>15</v>
      </c>
      <c r="P59" s="82">
        <v>0.40400000000000003</v>
      </c>
      <c r="Q59" s="1" t="s">
        <v>76</v>
      </c>
      <c r="R59" s="81" t="s">
        <v>95</v>
      </c>
      <c r="S59" s="1" t="s">
        <v>76</v>
      </c>
      <c r="T59" s="1" t="s">
        <v>78</v>
      </c>
      <c r="U59" s="1" t="s">
        <v>658</v>
      </c>
      <c r="V59" s="1" t="s">
        <v>655</v>
      </c>
      <c r="W59" s="1">
        <v>14</v>
      </c>
      <c r="X59" s="1" t="s">
        <v>136</v>
      </c>
      <c r="Y59" s="1" t="s">
        <v>644</v>
      </c>
      <c r="Z59" s="1">
        <v>7.0000000000000001E-3</v>
      </c>
      <c r="AA59" s="1">
        <v>3.0000000000000001E-3</v>
      </c>
      <c r="AB59" s="1">
        <v>3.0000000000000001E-3</v>
      </c>
      <c r="AC59" s="1">
        <v>0.01</v>
      </c>
      <c r="AD59" s="1">
        <v>5.0000000000000001E-3</v>
      </c>
      <c r="AE59" s="1">
        <v>1.2999999999999999E-2</v>
      </c>
      <c r="AF59" s="1">
        <v>4.0000000000000001E-3</v>
      </c>
      <c r="AG59" s="1">
        <v>0</v>
      </c>
      <c r="AH59" s="1">
        <v>1.9E-2</v>
      </c>
      <c r="AI59" s="1">
        <v>2E-3</v>
      </c>
      <c r="AJ59" s="1">
        <v>0.40400000000000003</v>
      </c>
      <c r="AK59" s="1">
        <v>5.0000000000000001E-3</v>
      </c>
      <c r="AL59" s="1">
        <v>0</v>
      </c>
      <c r="AM59" s="1">
        <v>2E-3</v>
      </c>
      <c r="AN59" s="1">
        <v>8.5000000000000006E-2</v>
      </c>
      <c r="AO59" s="1">
        <v>2E-3</v>
      </c>
      <c r="AP59" s="1">
        <v>2E-3</v>
      </c>
      <c r="AQ59" s="1">
        <v>2E-3</v>
      </c>
      <c r="AR59" s="1">
        <v>2.1000000000000001E-2</v>
      </c>
      <c r="AS59" s="1">
        <v>7.0000000000000001E-3</v>
      </c>
      <c r="AT59" s="1">
        <v>3.0000000000000001E-3</v>
      </c>
      <c r="AU59" s="1">
        <v>7.0000000000000001E-3</v>
      </c>
      <c r="AV59" s="1">
        <v>4.0000000000000001E-3</v>
      </c>
      <c r="AW59" s="1">
        <v>3.0000000000000001E-3</v>
      </c>
      <c r="AX59" s="1">
        <v>3.0000000000000001E-3</v>
      </c>
      <c r="AY59" s="1">
        <v>5.0000000000000001E-3</v>
      </c>
      <c r="AZ59" s="1">
        <v>8.0000000000000002E-3</v>
      </c>
      <c r="BA59" s="1">
        <v>1.2E-2</v>
      </c>
      <c r="BB59" s="1">
        <v>8.9999999999999993E-3</v>
      </c>
      <c r="BC59" s="1">
        <v>2E-3</v>
      </c>
      <c r="BD59" s="1">
        <v>1.6E-2</v>
      </c>
      <c r="BE59" s="1">
        <v>2E-3</v>
      </c>
      <c r="BF59" s="1">
        <v>7.0000000000000001E-3</v>
      </c>
      <c r="BG59" s="1">
        <v>1E-3</v>
      </c>
      <c r="BH59" s="1">
        <v>3.0000000000000001E-3</v>
      </c>
      <c r="BI59" s="1">
        <v>2E-3</v>
      </c>
      <c r="BJ59" s="1">
        <v>1E-3</v>
      </c>
      <c r="BK59" s="1">
        <v>1E-3</v>
      </c>
      <c r="BL59" s="1">
        <v>3.0000000000000001E-3</v>
      </c>
      <c r="BM59" s="1">
        <v>2E-3</v>
      </c>
      <c r="BN59" s="1">
        <v>3.0000000000000001E-3</v>
      </c>
      <c r="BO59" s="1">
        <v>2.5999999999999999E-2</v>
      </c>
      <c r="BP59" s="1">
        <v>1E-3</v>
      </c>
      <c r="BQ59" s="1">
        <v>5.0000000000000001E-3</v>
      </c>
      <c r="BR59" s="1">
        <v>3.0000000000000001E-3</v>
      </c>
      <c r="BS59" s="1">
        <v>8.9999999999999993E-3</v>
      </c>
      <c r="BT59" s="1">
        <v>2E-3</v>
      </c>
      <c r="BU59" s="1">
        <v>2.5000000000000001E-2</v>
      </c>
      <c r="BV59" s="1">
        <v>1.0999999999999999E-2</v>
      </c>
      <c r="BW59" s="1">
        <v>3.0000000000000001E-3</v>
      </c>
      <c r="BX59" s="1">
        <v>0.124</v>
      </c>
      <c r="BY59" s="1">
        <v>7.0000000000000001E-3</v>
      </c>
      <c r="BZ59" s="1">
        <v>5.0000000000000001E-3</v>
      </c>
      <c r="CA59" s="1">
        <v>3.0000000000000001E-3</v>
      </c>
      <c r="CB59" s="1">
        <v>1E-3</v>
      </c>
      <c r="CC59" s="1">
        <v>3.0000000000000001E-3</v>
      </c>
      <c r="CD59" s="1">
        <v>0</v>
      </c>
      <c r="CE59" s="1">
        <v>2E-3</v>
      </c>
      <c r="CF59" s="1">
        <v>2E-3</v>
      </c>
      <c r="CG59" s="1">
        <v>5.0000000000000001E-3</v>
      </c>
      <c r="CH59" s="1">
        <v>5.0000000000000001E-3</v>
      </c>
      <c r="CI59" s="1">
        <v>4.0000000000000001E-3</v>
      </c>
      <c r="CJ59" s="1">
        <v>5.0000000000000001E-3</v>
      </c>
      <c r="CK59" s="1">
        <v>5.0999999999999997E-2</v>
      </c>
      <c r="CL59" s="1">
        <v>3.0000000000000001E-3</v>
      </c>
      <c r="CM59" s="1">
        <v>11.17501865</v>
      </c>
      <c r="CN59" s="83">
        <v>124.72019469999999</v>
      </c>
    </row>
    <row r="60" spans="1:92" s="3" customFormat="1" x14ac:dyDescent="0.25">
      <c r="A60" s="72">
        <v>57</v>
      </c>
      <c r="B60" s="81" t="s">
        <v>884</v>
      </c>
      <c r="C60" s="1" t="s">
        <v>72</v>
      </c>
      <c r="D60" s="1" t="s">
        <v>79</v>
      </c>
      <c r="E60" s="1" t="s">
        <v>99</v>
      </c>
      <c r="F60" s="1" t="s">
        <v>108</v>
      </c>
      <c r="G60" s="1" t="s">
        <v>80</v>
      </c>
      <c r="H60" s="1" t="s">
        <v>10</v>
      </c>
      <c r="I60" s="1"/>
      <c r="J60" s="9" t="s">
        <v>544</v>
      </c>
      <c r="K60" s="10">
        <v>0.44102716666666703</v>
      </c>
      <c r="L60" s="1" t="s">
        <v>76</v>
      </c>
      <c r="M60" s="1" t="s">
        <v>506</v>
      </c>
      <c r="N60" s="1" t="s">
        <v>645</v>
      </c>
      <c r="O60" s="1" t="s">
        <v>10</v>
      </c>
      <c r="P60" s="82">
        <v>0.98699999999999999</v>
      </c>
      <c r="Q60" s="1" t="s">
        <v>76</v>
      </c>
      <c r="R60" s="81" t="s">
        <v>87</v>
      </c>
      <c r="S60" s="1" t="s">
        <v>76</v>
      </c>
      <c r="T60" s="1" t="s">
        <v>78</v>
      </c>
      <c r="U60" s="1" t="s">
        <v>658</v>
      </c>
      <c r="V60" s="1" t="s">
        <v>655</v>
      </c>
      <c r="W60" s="1">
        <v>15</v>
      </c>
      <c r="X60" s="1" t="s">
        <v>109</v>
      </c>
      <c r="Y60" s="1" t="s">
        <v>645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0.98699999999999999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6.0000000000000001E-3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2E-3</v>
      </c>
      <c r="CL60" s="1">
        <v>0</v>
      </c>
      <c r="CM60" s="1">
        <v>-12.36585337</v>
      </c>
      <c r="CN60" s="83">
        <v>150.78872419999999</v>
      </c>
    </row>
    <row r="61" spans="1:92" s="3" customFormat="1" x14ac:dyDescent="0.25">
      <c r="A61" s="72">
        <v>58</v>
      </c>
      <c r="B61" s="81" t="s">
        <v>1282</v>
      </c>
      <c r="C61" s="1" t="s">
        <v>72</v>
      </c>
      <c r="D61" s="1" t="s">
        <v>79</v>
      </c>
      <c r="E61" s="1" t="s">
        <v>99</v>
      </c>
      <c r="F61" s="1" t="s">
        <v>108</v>
      </c>
      <c r="G61" s="1" t="s">
        <v>80</v>
      </c>
      <c r="H61" s="1" t="s">
        <v>10</v>
      </c>
      <c r="I61" s="1"/>
      <c r="J61" s="9" t="s">
        <v>544</v>
      </c>
      <c r="K61" s="10">
        <v>0.47783266666666702</v>
      </c>
      <c r="L61" s="1" t="s">
        <v>76</v>
      </c>
      <c r="M61" s="1" t="s">
        <v>506</v>
      </c>
      <c r="N61" s="1" t="s">
        <v>645</v>
      </c>
      <c r="O61" s="1" t="s">
        <v>10</v>
      </c>
      <c r="P61" s="82">
        <v>0.98099999999999998</v>
      </c>
      <c r="Q61" s="1" t="s">
        <v>76</v>
      </c>
      <c r="R61" s="81" t="s">
        <v>137</v>
      </c>
      <c r="S61" s="1" t="s">
        <v>76</v>
      </c>
      <c r="T61" s="1" t="s">
        <v>78</v>
      </c>
      <c r="U61" s="1" t="s">
        <v>658</v>
      </c>
      <c r="V61" s="1" t="s">
        <v>655</v>
      </c>
      <c r="W61" s="1">
        <v>19</v>
      </c>
      <c r="X61" s="1" t="s">
        <v>109</v>
      </c>
      <c r="Y61" s="1" t="s">
        <v>645</v>
      </c>
      <c r="Z61" s="1">
        <v>0</v>
      </c>
      <c r="AA61" s="1">
        <v>0</v>
      </c>
      <c r="AB61" s="1">
        <v>0</v>
      </c>
      <c r="AC61" s="1">
        <v>1E-3</v>
      </c>
      <c r="AD61" s="1">
        <v>0</v>
      </c>
      <c r="AE61" s="1">
        <v>0.98099999999999998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5.0000000000000001E-3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1E-3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1E-3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1E-3</v>
      </c>
      <c r="CK61" s="1">
        <v>5.0000000000000001E-3</v>
      </c>
      <c r="CL61" s="1">
        <v>0</v>
      </c>
      <c r="CM61" s="1">
        <v>-17.070206500000001</v>
      </c>
      <c r="CN61" s="83">
        <v>152.5981749</v>
      </c>
    </row>
    <row r="62" spans="1:92" s="3" customFormat="1" x14ac:dyDescent="0.25">
      <c r="A62" s="72">
        <v>59</v>
      </c>
      <c r="B62" s="81" t="s">
        <v>1029</v>
      </c>
      <c r="C62" s="1" t="s">
        <v>72</v>
      </c>
      <c r="D62" s="1" t="s">
        <v>79</v>
      </c>
      <c r="E62" s="1" t="s">
        <v>99</v>
      </c>
      <c r="F62" s="1" t="s">
        <v>113</v>
      </c>
      <c r="G62" s="1" t="s">
        <v>80</v>
      </c>
      <c r="H62" s="1" t="s">
        <v>530</v>
      </c>
      <c r="I62" s="1"/>
      <c r="J62" s="9" t="s">
        <v>506</v>
      </c>
      <c r="K62" s="10">
        <v>0.36455816666666802</v>
      </c>
      <c r="L62" s="1" t="s">
        <v>641</v>
      </c>
      <c r="M62" s="1" t="s">
        <v>76</v>
      </c>
      <c r="N62" s="1" t="s">
        <v>644</v>
      </c>
      <c r="O62" s="1" t="s">
        <v>37</v>
      </c>
      <c r="P62" s="82">
        <v>0.81699999999999995</v>
      </c>
      <c r="Q62" s="1" t="s">
        <v>76</v>
      </c>
      <c r="R62" s="81" t="s">
        <v>138</v>
      </c>
      <c r="S62" s="1" t="s">
        <v>76</v>
      </c>
      <c r="T62" s="1" t="s">
        <v>78</v>
      </c>
      <c r="U62" s="1" t="s">
        <v>658</v>
      </c>
      <c r="V62" s="1" t="s">
        <v>655</v>
      </c>
      <c r="W62" s="1">
        <v>8</v>
      </c>
      <c r="X62" s="1" t="s">
        <v>76</v>
      </c>
      <c r="Y62" s="1" t="s">
        <v>644</v>
      </c>
      <c r="Z62" s="1">
        <v>2E-3</v>
      </c>
      <c r="AA62" s="1">
        <v>1E-3</v>
      </c>
      <c r="AB62" s="1">
        <v>1E-3</v>
      </c>
      <c r="AC62" s="1">
        <v>1.4E-2</v>
      </c>
      <c r="AD62" s="1">
        <v>2E-3</v>
      </c>
      <c r="AE62" s="1">
        <v>3.0000000000000001E-3</v>
      </c>
      <c r="AF62" s="1">
        <v>1E-3</v>
      </c>
      <c r="AG62" s="1">
        <v>0</v>
      </c>
      <c r="AH62" s="1">
        <v>4.0000000000000001E-3</v>
      </c>
      <c r="AI62" s="1">
        <v>3.0000000000000001E-3</v>
      </c>
      <c r="AJ62" s="1">
        <v>2E-3</v>
      </c>
      <c r="AK62" s="1">
        <v>2E-3</v>
      </c>
      <c r="AL62" s="1">
        <v>0</v>
      </c>
      <c r="AM62" s="1">
        <v>1E-3</v>
      </c>
      <c r="AN62" s="1">
        <v>5.0999999999999997E-2</v>
      </c>
      <c r="AO62" s="1">
        <v>1E-3</v>
      </c>
      <c r="AP62" s="1">
        <v>1E-3</v>
      </c>
      <c r="AQ62" s="1">
        <v>0</v>
      </c>
      <c r="AR62" s="1">
        <v>1E-3</v>
      </c>
      <c r="AS62" s="1">
        <v>2E-3</v>
      </c>
      <c r="AT62" s="1">
        <v>1E-3</v>
      </c>
      <c r="AU62" s="1">
        <v>1E-3</v>
      </c>
      <c r="AV62" s="1">
        <v>1E-3</v>
      </c>
      <c r="AW62" s="1">
        <v>1E-3</v>
      </c>
      <c r="AX62" s="1">
        <v>1E-3</v>
      </c>
      <c r="AY62" s="1">
        <v>1E-3</v>
      </c>
      <c r="AZ62" s="1">
        <v>2E-3</v>
      </c>
      <c r="BA62" s="1">
        <v>3.0000000000000001E-3</v>
      </c>
      <c r="BB62" s="1">
        <v>1E-3</v>
      </c>
      <c r="BC62" s="1">
        <v>1E-3</v>
      </c>
      <c r="BD62" s="1">
        <v>4.0000000000000001E-3</v>
      </c>
      <c r="BE62" s="1">
        <v>1E-3</v>
      </c>
      <c r="BF62" s="1">
        <v>0.81699999999999995</v>
      </c>
      <c r="BG62" s="1">
        <v>0</v>
      </c>
      <c r="BH62" s="1">
        <v>1.0999999999999999E-2</v>
      </c>
      <c r="BI62" s="1">
        <v>0</v>
      </c>
      <c r="BJ62" s="1">
        <v>0</v>
      </c>
      <c r="BK62" s="1">
        <v>0</v>
      </c>
      <c r="BL62" s="1">
        <v>1E-3</v>
      </c>
      <c r="BM62" s="1">
        <v>1E-3</v>
      </c>
      <c r="BN62" s="1">
        <v>1E-3</v>
      </c>
      <c r="BO62" s="1">
        <v>1E-3</v>
      </c>
      <c r="BP62" s="1">
        <v>0</v>
      </c>
      <c r="BQ62" s="1">
        <v>1E-3</v>
      </c>
      <c r="BR62" s="1">
        <v>1E-3</v>
      </c>
      <c r="BS62" s="1">
        <v>1E-3</v>
      </c>
      <c r="BT62" s="1">
        <v>0</v>
      </c>
      <c r="BU62" s="1">
        <v>1E-3</v>
      </c>
      <c r="BV62" s="1">
        <v>1E-3</v>
      </c>
      <c r="BW62" s="1">
        <v>1E-3</v>
      </c>
      <c r="BX62" s="1">
        <v>2.3E-2</v>
      </c>
      <c r="BY62" s="1">
        <v>2E-3</v>
      </c>
      <c r="BZ62" s="1">
        <v>1E-3</v>
      </c>
      <c r="CA62" s="1">
        <v>1E-3</v>
      </c>
      <c r="CB62" s="1">
        <v>0</v>
      </c>
      <c r="CC62" s="1">
        <v>1E-3</v>
      </c>
      <c r="CD62" s="1">
        <v>0</v>
      </c>
      <c r="CE62" s="1">
        <v>1E-3</v>
      </c>
      <c r="CF62" s="1">
        <v>1E-3</v>
      </c>
      <c r="CG62" s="1">
        <v>2E-3</v>
      </c>
      <c r="CH62" s="1">
        <v>1E-3</v>
      </c>
      <c r="CI62" s="1">
        <v>1E-3</v>
      </c>
      <c r="CJ62" s="1">
        <v>2E-3</v>
      </c>
      <c r="CK62" s="1">
        <v>1.4E-2</v>
      </c>
      <c r="CL62" s="1">
        <v>3.0000000000000001E-3</v>
      </c>
      <c r="CM62" s="1">
        <v>15.069471289999999</v>
      </c>
      <c r="CN62" s="83">
        <v>133.5721829</v>
      </c>
    </row>
    <row r="63" spans="1:92" s="3" customFormat="1" x14ac:dyDescent="0.25">
      <c r="A63" s="72">
        <v>60</v>
      </c>
      <c r="B63" s="81" t="s">
        <v>1058</v>
      </c>
      <c r="C63" s="1" t="s">
        <v>72</v>
      </c>
      <c r="D63" s="1" t="s">
        <v>73</v>
      </c>
      <c r="E63" s="1" t="s">
        <v>99</v>
      </c>
      <c r="F63" s="1" t="s">
        <v>97</v>
      </c>
      <c r="G63" s="1" t="s">
        <v>139</v>
      </c>
      <c r="H63" s="1" t="s">
        <v>97</v>
      </c>
      <c r="I63" s="1"/>
      <c r="J63" s="9" t="s">
        <v>506</v>
      </c>
      <c r="K63" s="10">
        <v>0.28233449999999999</v>
      </c>
      <c r="L63" s="1" t="s">
        <v>641</v>
      </c>
      <c r="M63" s="1" t="s">
        <v>76</v>
      </c>
      <c r="N63" s="1" t="s">
        <v>644</v>
      </c>
      <c r="O63" s="1" t="s">
        <v>68</v>
      </c>
      <c r="P63" s="82">
        <v>0.53700000000000003</v>
      </c>
      <c r="Q63" s="1" t="s">
        <v>76</v>
      </c>
      <c r="R63" s="81" t="s">
        <v>138</v>
      </c>
      <c r="S63" s="1" t="s">
        <v>76</v>
      </c>
      <c r="T63" s="1" t="s">
        <v>78</v>
      </c>
      <c r="U63" s="1" t="s">
        <v>658</v>
      </c>
      <c r="V63" s="1" t="s">
        <v>655</v>
      </c>
      <c r="W63" s="1">
        <v>61</v>
      </c>
      <c r="X63" s="1" t="s">
        <v>76</v>
      </c>
      <c r="Y63" s="1" t="s">
        <v>644</v>
      </c>
      <c r="Z63" s="1">
        <v>2.5000000000000001E-2</v>
      </c>
      <c r="AA63" s="1">
        <v>1E-3</v>
      </c>
      <c r="AB63" s="1">
        <v>1E-3</v>
      </c>
      <c r="AC63" s="1">
        <v>3.0000000000000001E-3</v>
      </c>
      <c r="AD63" s="1">
        <v>2E-3</v>
      </c>
      <c r="AE63" s="1">
        <v>1E-3</v>
      </c>
      <c r="AF63" s="1">
        <v>2E-3</v>
      </c>
      <c r="AG63" s="1">
        <v>0</v>
      </c>
      <c r="AH63" s="1">
        <v>8.0000000000000002E-3</v>
      </c>
      <c r="AI63" s="1">
        <v>1E-3</v>
      </c>
      <c r="AJ63" s="1">
        <v>6.0000000000000001E-3</v>
      </c>
      <c r="AK63" s="1">
        <v>1E-3</v>
      </c>
      <c r="AL63" s="1">
        <v>0</v>
      </c>
      <c r="AM63" s="1">
        <v>1E-3</v>
      </c>
      <c r="AN63" s="1">
        <v>0.01</v>
      </c>
      <c r="AO63" s="1">
        <v>1E-3</v>
      </c>
      <c r="AP63" s="1">
        <v>1E-3</v>
      </c>
      <c r="AQ63" s="1">
        <v>1E-3</v>
      </c>
      <c r="AR63" s="1">
        <v>1.7999999999999999E-2</v>
      </c>
      <c r="AS63" s="1">
        <v>2E-3</v>
      </c>
      <c r="AT63" s="1">
        <v>1E-3</v>
      </c>
      <c r="AU63" s="1">
        <v>2E-3</v>
      </c>
      <c r="AV63" s="1">
        <v>1E-3</v>
      </c>
      <c r="AW63" s="1">
        <v>1E-3</v>
      </c>
      <c r="AX63" s="1">
        <v>4.0000000000000001E-3</v>
      </c>
      <c r="AY63" s="1">
        <v>3.0000000000000001E-3</v>
      </c>
      <c r="AZ63" s="1">
        <v>4.0000000000000001E-3</v>
      </c>
      <c r="BA63" s="1">
        <v>5.0000000000000001E-3</v>
      </c>
      <c r="BB63" s="1">
        <v>1E-3</v>
      </c>
      <c r="BC63" s="1">
        <v>1E-3</v>
      </c>
      <c r="BD63" s="1">
        <v>5.0000000000000001E-3</v>
      </c>
      <c r="BE63" s="1">
        <v>1E-3</v>
      </c>
      <c r="BF63" s="1">
        <v>2E-3</v>
      </c>
      <c r="BG63" s="1">
        <v>0</v>
      </c>
      <c r="BH63" s="1">
        <v>1E-3</v>
      </c>
      <c r="BI63" s="1">
        <v>1E-3</v>
      </c>
      <c r="BJ63" s="1">
        <v>1E-3</v>
      </c>
      <c r="BK63" s="1">
        <v>0</v>
      </c>
      <c r="BL63" s="1">
        <v>1E-3</v>
      </c>
      <c r="BM63" s="1">
        <v>1E-3</v>
      </c>
      <c r="BN63" s="1">
        <v>1E-3</v>
      </c>
      <c r="BO63" s="1">
        <v>2E-3</v>
      </c>
      <c r="BP63" s="1">
        <v>1E-3</v>
      </c>
      <c r="BQ63" s="1">
        <v>1E-3</v>
      </c>
      <c r="BR63" s="1">
        <v>1E-3</v>
      </c>
      <c r="BS63" s="1">
        <v>7.0000000000000001E-3</v>
      </c>
      <c r="BT63" s="1">
        <v>1E-3</v>
      </c>
      <c r="BU63" s="1">
        <v>0.30199999999999999</v>
      </c>
      <c r="BV63" s="1">
        <v>1E-3</v>
      </c>
      <c r="BW63" s="1">
        <v>1E-3</v>
      </c>
      <c r="BX63" s="1">
        <v>7.0000000000000001E-3</v>
      </c>
      <c r="BY63" s="1">
        <v>3.0000000000000001E-3</v>
      </c>
      <c r="BZ63" s="1">
        <v>3.0000000000000001E-3</v>
      </c>
      <c r="CA63" s="1">
        <v>2E-3</v>
      </c>
      <c r="CB63" s="1">
        <v>1E-3</v>
      </c>
      <c r="CC63" s="1">
        <v>1E-3</v>
      </c>
      <c r="CD63" s="1">
        <v>0</v>
      </c>
      <c r="CE63" s="1">
        <v>1E-3</v>
      </c>
      <c r="CF63" s="1">
        <v>1E-3</v>
      </c>
      <c r="CG63" s="1">
        <v>1E-3</v>
      </c>
      <c r="CH63" s="1">
        <v>1E-3</v>
      </c>
      <c r="CI63" s="1">
        <v>2E-3</v>
      </c>
      <c r="CJ63" s="1">
        <v>2E-3</v>
      </c>
      <c r="CK63" s="1">
        <v>0.53700000000000003</v>
      </c>
      <c r="CL63" s="1">
        <v>6.0000000000000001E-3</v>
      </c>
      <c r="CM63" s="1">
        <v>8.7674060889999996</v>
      </c>
      <c r="CN63" s="83">
        <v>114.43139189999999</v>
      </c>
    </row>
    <row r="64" spans="1:92" s="3" customFormat="1" x14ac:dyDescent="0.25">
      <c r="A64" s="72">
        <v>61</v>
      </c>
      <c r="B64" s="81" t="s">
        <v>893</v>
      </c>
      <c r="C64" s="1" t="s">
        <v>72</v>
      </c>
      <c r="D64" s="1" t="s">
        <v>79</v>
      </c>
      <c r="E64" s="1" t="s">
        <v>74</v>
      </c>
      <c r="F64" s="1" t="s">
        <v>140</v>
      </c>
      <c r="G64" s="1" t="s">
        <v>76</v>
      </c>
      <c r="H64" s="1" t="s">
        <v>43</v>
      </c>
      <c r="I64" s="1"/>
      <c r="J64" s="9" t="s">
        <v>544</v>
      </c>
      <c r="K64" s="10">
        <v>0.56032466666666603</v>
      </c>
      <c r="L64" s="1" t="s">
        <v>641</v>
      </c>
      <c r="M64" s="1" t="s">
        <v>76</v>
      </c>
      <c r="N64" s="1" t="s">
        <v>644</v>
      </c>
      <c r="O64" s="1" t="s">
        <v>68</v>
      </c>
      <c r="P64" s="82">
        <v>0.69499999999999995</v>
      </c>
      <c r="Q64" s="1" t="s">
        <v>76</v>
      </c>
      <c r="R64" s="81" t="s">
        <v>129</v>
      </c>
      <c r="S64" s="1">
        <v>3</v>
      </c>
      <c r="T64" s="1" t="s">
        <v>120</v>
      </c>
      <c r="U64" s="1" t="s">
        <v>658</v>
      </c>
      <c r="V64" s="1" t="s">
        <v>655</v>
      </c>
      <c r="W64" s="1">
        <v>59</v>
      </c>
      <c r="X64" s="1" t="s">
        <v>76</v>
      </c>
      <c r="Y64" s="1" t="s">
        <v>644</v>
      </c>
      <c r="Z64" s="1">
        <v>3.0000000000000001E-3</v>
      </c>
      <c r="AA64" s="1">
        <v>3.0000000000000001E-3</v>
      </c>
      <c r="AB64" s="1">
        <v>2E-3</v>
      </c>
      <c r="AC64" s="1">
        <v>6.0000000000000001E-3</v>
      </c>
      <c r="AD64" s="1">
        <v>3.0000000000000001E-3</v>
      </c>
      <c r="AE64" s="1">
        <v>2E-3</v>
      </c>
      <c r="AF64" s="1">
        <v>4.0000000000000001E-3</v>
      </c>
      <c r="AG64" s="1">
        <v>0</v>
      </c>
      <c r="AH64" s="1">
        <v>5.0000000000000001E-3</v>
      </c>
      <c r="AI64" s="1">
        <v>1E-3</v>
      </c>
      <c r="AJ64" s="1">
        <v>1E-3</v>
      </c>
      <c r="AK64" s="1">
        <v>5.0000000000000001E-3</v>
      </c>
      <c r="AL64" s="1">
        <v>0</v>
      </c>
      <c r="AM64" s="1">
        <v>1E-3</v>
      </c>
      <c r="AN64" s="1">
        <v>1E-3</v>
      </c>
      <c r="AO64" s="1">
        <v>2E-3</v>
      </c>
      <c r="AP64" s="1">
        <v>1E-3</v>
      </c>
      <c r="AQ64" s="1">
        <v>1E-3</v>
      </c>
      <c r="AR64" s="1">
        <v>8.0000000000000002E-3</v>
      </c>
      <c r="AS64" s="1">
        <v>5.0000000000000001E-3</v>
      </c>
      <c r="AT64" s="1">
        <v>3.0000000000000001E-3</v>
      </c>
      <c r="AU64" s="1">
        <v>6.3E-2</v>
      </c>
      <c r="AV64" s="1">
        <v>2E-3</v>
      </c>
      <c r="AW64" s="1">
        <v>3.0000000000000001E-3</v>
      </c>
      <c r="AX64" s="1">
        <v>7.0000000000000001E-3</v>
      </c>
      <c r="AY64" s="1">
        <v>4.0000000000000001E-3</v>
      </c>
      <c r="AZ64" s="1">
        <v>4.0000000000000001E-3</v>
      </c>
      <c r="BA64" s="1">
        <v>8.0000000000000002E-3</v>
      </c>
      <c r="BB64" s="1">
        <v>3.0000000000000001E-3</v>
      </c>
      <c r="BC64" s="1">
        <v>1E-3</v>
      </c>
      <c r="BD64" s="1">
        <v>8.0000000000000002E-3</v>
      </c>
      <c r="BE64" s="1">
        <v>2E-3</v>
      </c>
      <c r="BF64" s="1">
        <v>1E-3</v>
      </c>
      <c r="BG64" s="1">
        <v>2E-3</v>
      </c>
      <c r="BH64" s="1">
        <v>1E-3</v>
      </c>
      <c r="BI64" s="1">
        <v>1E-3</v>
      </c>
      <c r="BJ64" s="1">
        <v>1E-3</v>
      </c>
      <c r="BK64" s="1">
        <v>1E-3</v>
      </c>
      <c r="BL64" s="1">
        <v>3.5999999999999997E-2</v>
      </c>
      <c r="BM64" s="1">
        <v>2E-3</v>
      </c>
      <c r="BN64" s="1">
        <v>2E-3</v>
      </c>
      <c r="BO64" s="1">
        <v>4.0000000000000001E-3</v>
      </c>
      <c r="BP64" s="1">
        <v>2E-3</v>
      </c>
      <c r="BQ64" s="1">
        <v>5.0000000000000001E-3</v>
      </c>
      <c r="BR64" s="1">
        <v>2E-3</v>
      </c>
      <c r="BS64" s="1">
        <v>1.4E-2</v>
      </c>
      <c r="BT64" s="1">
        <v>1E-3</v>
      </c>
      <c r="BU64" s="1">
        <v>1E-3</v>
      </c>
      <c r="BV64" s="1">
        <v>2E-3</v>
      </c>
      <c r="BW64" s="1">
        <v>3.0000000000000001E-3</v>
      </c>
      <c r="BX64" s="1">
        <v>1.4999999999999999E-2</v>
      </c>
      <c r="BY64" s="1">
        <v>5.0000000000000001E-3</v>
      </c>
      <c r="BZ64" s="1">
        <v>5.0000000000000001E-3</v>
      </c>
      <c r="CA64" s="1">
        <v>5.0000000000000001E-3</v>
      </c>
      <c r="CB64" s="1">
        <v>1E-3</v>
      </c>
      <c r="CC64" s="1">
        <v>3.0000000000000001E-3</v>
      </c>
      <c r="CD64" s="1">
        <v>0</v>
      </c>
      <c r="CE64" s="1">
        <v>2E-3</v>
      </c>
      <c r="CF64" s="1">
        <v>2E-3</v>
      </c>
      <c r="CG64" s="1">
        <v>3.0000000000000001E-3</v>
      </c>
      <c r="CH64" s="1">
        <v>4.0000000000000001E-3</v>
      </c>
      <c r="CI64" s="1">
        <v>3.0000000000000001E-3</v>
      </c>
      <c r="CJ64" s="1">
        <v>5.0000000000000001E-3</v>
      </c>
      <c r="CK64" s="1">
        <v>0.69499999999999995</v>
      </c>
      <c r="CL64" s="1">
        <v>8.9999999999999993E-3</v>
      </c>
      <c r="CM64" s="1">
        <v>72.713483359999998</v>
      </c>
      <c r="CN64" s="83">
        <v>-30.7505831</v>
      </c>
    </row>
    <row r="65" spans="1:92" s="3" customFormat="1" x14ac:dyDescent="0.25">
      <c r="A65" s="72">
        <v>62</v>
      </c>
      <c r="B65" s="81" t="s">
        <v>876</v>
      </c>
      <c r="C65" s="1" t="s">
        <v>72</v>
      </c>
      <c r="D65" s="1" t="s">
        <v>79</v>
      </c>
      <c r="E65" s="1" t="s">
        <v>74</v>
      </c>
      <c r="F65" s="1" t="s">
        <v>93</v>
      </c>
      <c r="G65" s="1" t="s">
        <v>80</v>
      </c>
      <c r="H65" s="1" t="s">
        <v>34</v>
      </c>
      <c r="I65" s="1"/>
      <c r="J65" s="9" t="s">
        <v>544</v>
      </c>
      <c r="K65" s="10">
        <v>0.44788800000000001</v>
      </c>
      <c r="L65" s="1" t="s">
        <v>641</v>
      </c>
      <c r="M65" s="1" t="s">
        <v>76</v>
      </c>
      <c r="N65" s="1" t="s">
        <v>649</v>
      </c>
      <c r="O65" s="1" t="s">
        <v>34</v>
      </c>
      <c r="P65" s="82">
        <v>0.53200000000000003</v>
      </c>
      <c r="Q65" s="1" t="s">
        <v>76</v>
      </c>
      <c r="R65" s="81" t="s">
        <v>81</v>
      </c>
      <c r="S65" s="1" t="s">
        <v>76</v>
      </c>
      <c r="T65" s="1" t="s">
        <v>78</v>
      </c>
      <c r="U65" s="1" t="s">
        <v>658</v>
      </c>
      <c r="V65" s="1" t="s">
        <v>655</v>
      </c>
      <c r="W65" s="1">
        <v>22</v>
      </c>
      <c r="X65" s="1" t="s">
        <v>141</v>
      </c>
      <c r="Y65" s="1" t="s">
        <v>649</v>
      </c>
      <c r="Z65" s="1">
        <v>1E-3</v>
      </c>
      <c r="AA65" s="1">
        <v>4.0000000000000001E-3</v>
      </c>
      <c r="AB65" s="1">
        <v>3.0000000000000001E-3</v>
      </c>
      <c r="AC65" s="1">
        <v>2.5000000000000001E-2</v>
      </c>
      <c r="AD65" s="1">
        <v>4.0000000000000001E-3</v>
      </c>
      <c r="AE65" s="1">
        <v>4.0000000000000001E-3</v>
      </c>
      <c r="AF65" s="1">
        <v>3.0000000000000001E-3</v>
      </c>
      <c r="AG65" s="1">
        <v>0</v>
      </c>
      <c r="AH65" s="1">
        <v>1.4999999999999999E-2</v>
      </c>
      <c r="AI65" s="1">
        <v>2E-3</v>
      </c>
      <c r="AJ65" s="1">
        <v>3.0000000000000001E-3</v>
      </c>
      <c r="AK65" s="1">
        <v>0.01</v>
      </c>
      <c r="AL65" s="1">
        <v>4.2999999999999997E-2</v>
      </c>
      <c r="AM65" s="1">
        <v>0</v>
      </c>
      <c r="AN65" s="1">
        <v>6.0000000000000001E-3</v>
      </c>
      <c r="AO65" s="1">
        <v>5.0000000000000001E-3</v>
      </c>
      <c r="AP65" s="1">
        <v>4.0000000000000001E-3</v>
      </c>
      <c r="AQ65" s="1">
        <v>2E-3</v>
      </c>
      <c r="AR65" s="1">
        <v>2E-3</v>
      </c>
      <c r="AS65" s="1">
        <v>1.0999999999999999E-2</v>
      </c>
      <c r="AT65" s="1">
        <v>7.0000000000000001E-3</v>
      </c>
      <c r="AU65" s="1">
        <v>5.0000000000000001E-3</v>
      </c>
      <c r="AV65" s="1">
        <v>4.0000000000000001E-3</v>
      </c>
      <c r="AW65" s="1">
        <v>5.0000000000000001E-3</v>
      </c>
      <c r="AX65" s="1">
        <v>6.0000000000000001E-3</v>
      </c>
      <c r="AY65" s="1">
        <v>4.0000000000000001E-3</v>
      </c>
      <c r="AZ65" s="1">
        <v>5.0000000000000001E-3</v>
      </c>
      <c r="BA65" s="1">
        <v>0.01</v>
      </c>
      <c r="BB65" s="1">
        <v>5.0000000000000001E-3</v>
      </c>
      <c r="BC65" s="1">
        <v>0.53200000000000003</v>
      </c>
      <c r="BD65" s="1">
        <v>1.2999999999999999E-2</v>
      </c>
      <c r="BE65" s="1">
        <v>3.0000000000000001E-3</v>
      </c>
      <c r="BF65" s="1">
        <v>3.0000000000000001E-3</v>
      </c>
      <c r="BG65" s="1">
        <v>4.0000000000000001E-3</v>
      </c>
      <c r="BH65" s="1">
        <v>6.0000000000000001E-3</v>
      </c>
      <c r="BI65" s="1">
        <v>2E-3</v>
      </c>
      <c r="BJ65" s="1">
        <v>1E-3</v>
      </c>
      <c r="BK65" s="1">
        <v>2E-3</v>
      </c>
      <c r="BL65" s="1">
        <v>2.1000000000000001E-2</v>
      </c>
      <c r="BM65" s="1">
        <v>6.0000000000000001E-3</v>
      </c>
      <c r="BN65" s="1">
        <v>6.0000000000000001E-3</v>
      </c>
      <c r="BO65" s="1">
        <v>3.0000000000000001E-3</v>
      </c>
      <c r="BP65" s="1">
        <v>1E-3</v>
      </c>
      <c r="BQ65" s="1">
        <v>8.0000000000000002E-3</v>
      </c>
      <c r="BR65" s="1">
        <v>4.0000000000000001E-3</v>
      </c>
      <c r="BS65" s="1">
        <v>3.0000000000000001E-3</v>
      </c>
      <c r="BT65" s="1">
        <v>2E-3</v>
      </c>
      <c r="BU65" s="1">
        <v>2E-3</v>
      </c>
      <c r="BV65" s="1">
        <v>4.0000000000000001E-3</v>
      </c>
      <c r="BW65" s="1">
        <v>4.0000000000000001E-3</v>
      </c>
      <c r="BX65" s="1">
        <v>0.04</v>
      </c>
      <c r="BY65" s="1">
        <v>1.7999999999999999E-2</v>
      </c>
      <c r="BZ65" s="1">
        <v>8.0000000000000002E-3</v>
      </c>
      <c r="CA65" s="1">
        <v>5.0000000000000001E-3</v>
      </c>
      <c r="CB65" s="1">
        <v>1E-3</v>
      </c>
      <c r="CC65" s="1">
        <v>4.0000000000000001E-3</v>
      </c>
      <c r="CD65" s="1">
        <v>0</v>
      </c>
      <c r="CE65" s="1">
        <v>3.0000000000000001E-3</v>
      </c>
      <c r="CF65" s="1">
        <v>3.0000000000000001E-3</v>
      </c>
      <c r="CG65" s="1">
        <v>5.0000000000000001E-3</v>
      </c>
      <c r="CH65" s="1">
        <v>6.0000000000000001E-3</v>
      </c>
      <c r="CI65" s="1">
        <v>6.0000000000000001E-3</v>
      </c>
      <c r="CJ65" s="1">
        <v>0.01</v>
      </c>
      <c r="CK65" s="1">
        <v>5.5E-2</v>
      </c>
      <c r="CL65" s="1">
        <v>6.0000000000000001E-3</v>
      </c>
      <c r="CM65" s="1">
        <v>54.833862979999999</v>
      </c>
      <c r="CN65" s="83">
        <v>100.4616407</v>
      </c>
    </row>
    <row r="66" spans="1:92" s="3" customFormat="1" x14ac:dyDescent="0.25">
      <c r="A66" s="72">
        <v>63</v>
      </c>
      <c r="B66" s="81" t="s">
        <v>1134</v>
      </c>
      <c r="C66" s="1" t="s">
        <v>83</v>
      </c>
      <c r="D66" s="1" t="s">
        <v>79</v>
      </c>
      <c r="E66" s="1" t="s">
        <v>99</v>
      </c>
      <c r="F66" s="1" t="s">
        <v>84</v>
      </c>
      <c r="G66" s="1" t="s">
        <v>505</v>
      </c>
      <c r="H66" s="1" t="s">
        <v>85</v>
      </c>
      <c r="I66" s="1"/>
      <c r="J66" s="9" t="s">
        <v>544</v>
      </c>
      <c r="K66" s="10">
        <v>0.52167366666666604</v>
      </c>
      <c r="L66" s="1" t="s">
        <v>510</v>
      </c>
      <c r="M66" s="1" t="s">
        <v>76</v>
      </c>
      <c r="N66" s="1" t="s">
        <v>644</v>
      </c>
      <c r="O66" s="1" t="s">
        <v>68</v>
      </c>
      <c r="P66" s="82">
        <v>0.16700000000000001</v>
      </c>
      <c r="Q66" s="1">
        <f>SUM(AK66:AN66)</f>
        <v>9.7000000000000003E-2</v>
      </c>
      <c r="R66" s="81" t="s">
        <v>142</v>
      </c>
      <c r="S66" s="1" t="s">
        <v>123</v>
      </c>
      <c r="T66" s="1" t="s">
        <v>78</v>
      </c>
      <c r="U66" s="1" t="s">
        <v>658</v>
      </c>
      <c r="V66" s="1" t="s">
        <v>655</v>
      </c>
      <c r="W66" s="1">
        <v>73</v>
      </c>
      <c r="X66" s="1" t="s">
        <v>288</v>
      </c>
      <c r="Y66" s="1" t="s">
        <v>644</v>
      </c>
      <c r="Z66" s="1">
        <v>2E-3</v>
      </c>
      <c r="AA66" s="1">
        <v>8.9999999999999993E-3</v>
      </c>
      <c r="AB66" s="1">
        <v>5.0000000000000001E-3</v>
      </c>
      <c r="AC66" s="1">
        <v>4.8000000000000001E-2</v>
      </c>
      <c r="AD66" s="1">
        <v>6.0000000000000001E-3</v>
      </c>
      <c r="AE66" s="1">
        <v>5.0000000000000001E-3</v>
      </c>
      <c r="AF66" s="1">
        <v>7.0000000000000001E-3</v>
      </c>
      <c r="AG66" s="1">
        <v>1E-3</v>
      </c>
      <c r="AH66" s="1">
        <v>2.9000000000000001E-2</v>
      </c>
      <c r="AI66" s="1">
        <v>1.6E-2</v>
      </c>
      <c r="AJ66" s="1">
        <v>3.0000000000000001E-3</v>
      </c>
      <c r="AK66" s="1">
        <v>1.7999999999999999E-2</v>
      </c>
      <c r="AL66" s="1">
        <v>6.0999999999999999E-2</v>
      </c>
      <c r="AM66" s="1">
        <v>0.01</v>
      </c>
      <c r="AN66" s="1">
        <v>8.0000000000000002E-3</v>
      </c>
      <c r="AO66" s="1">
        <v>6.0000000000000001E-3</v>
      </c>
      <c r="AP66" s="1">
        <v>5.0000000000000001E-3</v>
      </c>
      <c r="AQ66" s="1">
        <v>3.0000000000000001E-3</v>
      </c>
      <c r="AR66" s="1">
        <v>4.0000000000000001E-3</v>
      </c>
      <c r="AS66" s="1">
        <v>1.4999999999999999E-2</v>
      </c>
      <c r="AT66" s="1">
        <v>0.01</v>
      </c>
      <c r="AU66" s="1">
        <v>8.0000000000000002E-3</v>
      </c>
      <c r="AV66" s="1">
        <v>4.0000000000000001E-3</v>
      </c>
      <c r="AW66" s="1">
        <v>1.2E-2</v>
      </c>
      <c r="AX66" s="1">
        <v>5.8999999999999997E-2</v>
      </c>
      <c r="AY66" s="1">
        <v>8.9999999999999993E-3</v>
      </c>
      <c r="AZ66" s="1">
        <v>0.01</v>
      </c>
      <c r="BA66" s="1">
        <v>1.7000000000000001E-2</v>
      </c>
      <c r="BB66" s="1">
        <v>6.0000000000000001E-3</v>
      </c>
      <c r="BC66" s="1">
        <v>5.0000000000000001E-3</v>
      </c>
      <c r="BD66" s="1">
        <v>2.3E-2</v>
      </c>
      <c r="BE66" s="1">
        <v>5.0000000000000001E-3</v>
      </c>
      <c r="BF66" s="1">
        <v>2E-3</v>
      </c>
      <c r="BG66" s="1">
        <v>5.0000000000000001E-3</v>
      </c>
      <c r="BH66" s="1">
        <v>5.0000000000000001E-3</v>
      </c>
      <c r="BI66" s="1">
        <v>3.0000000000000001E-3</v>
      </c>
      <c r="BJ66" s="1">
        <v>2E-3</v>
      </c>
      <c r="BK66" s="1">
        <v>4.0000000000000001E-3</v>
      </c>
      <c r="BL66" s="1">
        <v>8.7999999999999995E-2</v>
      </c>
      <c r="BM66" s="1">
        <v>0.01</v>
      </c>
      <c r="BN66" s="1">
        <v>1.0999999999999999E-2</v>
      </c>
      <c r="BO66" s="1">
        <v>3.0000000000000001E-3</v>
      </c>
      <c r="BP66" s="1">
        <v>2E-3</v>
      </c>
      <c r="BQ66" s="1">
        <v>2.1000000000000001E-2</v>
      </c>
      <c r="BR66" s="1">
        <v>8.0000000000000002E-3</v>
      </c>
      <c r="BS66" s="1">
        <v>4.0000000000000001E-3</v>
      </c>
      <c r="BT66" s="1">
        <v>3.0000000000000001E-3</v>
      </c>
      <c r="BU66" s="1">
        <v>3.0000000000000001E-3</v>
      </c>
      <c r="BV66" s="1">
        <v>3.0000000000000001E-3</v>
      </c>
      <c r="BW66" s="1">
        <v>7.0000000000000001E-3</v>
      </c>
      <c r="BX66" s="1">
        <v>2.5999999999999999E-2</v>
      </c>
      <c r="BY66" s="1">
        <v>0.02</v>
      </c>
      <c r="BZ66" s="1">
        <v>3.9E-2</v>
      </c>
      <c r="CA66" s="1">
        <v>1.4E-2</v>
      </c>
      <c r="CB66" s="1">
        <v>4.0000000000000001E-3</v>
      </c>
      <c r="CC66" s="1">
        <v>1.7999999999999999E-2</v>
      </c>
      <c r="CD66" s="1">
        <v>1E-3</v>
      </c>
      <c r="CE66" s="1">
        <v>6.0000000000000001E-3</v>
      </c>
      <c r="CF66" s="1">
        <v>6.0000000000000001E-3</v>
      </c>
      <c r="CG66" s="1">
        <v>2.4E-2</v>
      </c>
      <c r="CH66" s="1">
        <v>0.01</v>
      </c>
      <c r="CI66" s="1">
        <v>8.0000000000000002E-3</v>
      </c>
      <c r="CJ66" s="1">
        <v>2.9000000000000001E-2</v>
      </c>
      <c r="CK66" s="1">
        <v>0.16700000000000001</v>
      </c>
      <c r="CL66" s="1">
        <v>1.6E-2</v>
      </c>
      <c r="CM66" s="1">
        <v>83.066422340000003</v>
      </c>
      <c r="CN66" s="83">
        <v>-23.786409020000001</v>
      </c>
    </row>
    <row r="67" spans="1:92" s="3" customFormat="1" x14ac:dyDescent="0.25">
      <c r="A67" s="72">
        <v>64</v>
      </c>
      <c r="B67" s="81" t="s">
        <v>925</v>
      </c>
      <c r="C67" s="1" t="s">
        <v>72</v>
      </c>
      <c r="D67" s="1" t="s">
        <v>79</v>
      </c>
      <c r="E67" s="1" t="s">
        <v>99</v>
      </c>
      <c r="F67" s="1" t="s">
        <v>112</v>
      </c>
      <c r="G67" s="1" t="s">
        <v>80</v>
      </c>
      <c r="H67" s="1" t="s">
        <v>112</v>
      </c>
      <c r="I67" s="1"/>
      <c r="J67" s="9" t="s">
        <v>506</v>
      </c>
      <c r="K67" s="10">
        <v>0.455392666666667</v>
      </c>
      <c r="L67" s="1" t="s">
        <v>641</v>
      </c>
      <c r="M67" s="1" t="s">
        <v>76</v>
      </c>
      <c r="N67" s="1" t="s">
        <v>644</v>
      </c>
      <c r="O67" s="1" t="s">
        <v>55</v>
      </c>
      <c r="P67" s="82">
        <v>0.22900000000000001</v>
      </c>
      <c r="Q67" s="1" t="s">
        <v>76</v>
      </c>
      <c r="R67" s="81" t="s">
        <v>91</v>
      </c>
      <c r="S67" s="1" t="s">
        <v>76</v>
      </c>
      <c r="T67" s="1" t="s">
        <v>78</v>
      </c>
      <c r="U67" s="1" t="s">
        <v>658</v>
      </c>
      <c r="V67" s="1" t="s">
        <v>655</v>
      </c>
      <c r="W67" s="1">
        <v>34</v>
      </c>
      <c r="X67" s="1" t="s">
        <v>76</v>
      </c>
      <c r="Y67" s="1" t="s">
        <v>644</v>
      </c>
      <c r="Z67" s="1">
        <v>2E-3</v>
      </c>
      <c r="AA67" s="1">
        <v>5.0000000000000001E-3</v>
      </c>
      <c r="AB67" s="1">
        <v>1.2999999999999999E-2</v>
      </c>
      <c r="AC67" s="1">
        <v>2.4E-2</v>
      </c>
      <c r="AD67" s="1">
        <v>6.0000000000000001E-3</v>
      </c>
      <c r="AE67" s="1">
        <v>0.02</v>
      </c>
      <c r="AF67" s="1">
        <v>8.0000000000000002E-3</v>
      </c>
      <c r="AG67" s="1">
        <v>1E-3</v>
      </c>
      <c r="AH67" s="1">
        <v>2.1000000000000001E-2</v>
      </c>
      <c r="AI67" s="1">
        <v>2E-3</v>
      </c>
      <c r="AJ67" s="1">
        <v>3.2000000000000001E-2</v>
      </c>
      <c r="AK67" s="1">
        <v>0.107</v>
      </c>
      <c r="AL67" s="1">
        <v>3.0000000000000001E-3</v>
      </c>
      <c r="AM67" s="1">
        <v>5.0000000000000001E-3</v>
      </c>
      <c r="AN67" s="1">
        <v>1.0999999999999999E-2</v>
      </c>
      <c r="AO67" s="1">
        <v>7.0000000000000001E-3</v>
      </c>
      <c r="AP67" s="1">
        <v>4.0000000000000001E-3</v>
      </c>
      <c r="AQ67" s="1">
        <v>5.0000000000000001E-3</v>
      </c>
      <c r="AR67" s="1">
        <v>6.0000000000000001E-3</v>
      </c>
      <c r="AS67" s="1">
        <v>2.3E-2</v>
      </c>
      <c r="AT67" s="1">
        <v>0.01</v>
      </c>
      <c r="AU67" s="1">
        <v>7.0000000000000001E-3</v>
      </c>
      <c r="AV67" s="1">
        <v>4.0000000000000001E-3</v>
      </c>
      <c r="AW67" s="1">
        <v>1.0999999999999999E-2</v>
      </c>
      <c r="AX67" s="1">
        <v>4.0000000000000001E-3</v>
      </c>
      <c r="AY67" s="1">
        <v>7.0000000000000001E-3</v>
      </c>
      <c r="AZ67" s="1">
        <v>1.2E-2</v>
      </c>
      <c r="BA67" s="1">
        <v>1.9E-2</v>
      </c>
      <c r="BB67" s="1">
        <v>3.6999999999999998E-2</v>
      </c>
      <c r="BC67" s="1">
        <v>3.0000000000000001E-3</v>
      </c>
      <c r="BD67" s="1">
        <v>2.5000000000000001E-2</v>
      </c>
      <c r="BE67" s="1">
        <v>4.0000000000000001E-3</v>
      </c>
      <c r="BF67" s="1">
        <v>2E-3</v>
      </c>
      <c r="BG67" s="1">
        <v>6.0000000000000001E-3</v>
      </c>
      <c r="BH67" s="1">
        <v>3.0000000000000001E-3</v>
      </c>
      <c r="BI67" s="1">
        <v>4.0000000000000001E-3</v>
      </c>
      <c r="BJ67" s="1">
        <v>2E-3</v>
      </c>
      <c r="BK67" s="1">
        <v>3.0000000000000001E-3</v>
      </c>
      <c r="BL67" s="1">
        <v>1.2E-2</v>
      </c>
      <c r="BM67" s="1">
        <v>4.0000000000000001E-3</v>
      </c>
      <c r="BN67" s="1">
        <v>8.0000000000000002E-3</v>
      </c>
      <c r="BO67" s="1">
        <v>1.2E-2</v>
      </c>
      <c r="BP67" s="1">
        <v>2E-3</v>
      </c>
      <c r="BQ67" s="1">
        <v>1.0999999999999999E-2</v>
      </c>
      <c r="BR67" s="1">
        <v>5.0000000000000001E-3</v>
      </c>
      <c r="BS67" s="1">
        <v>7.0000000000000001E-3</v>
      </c>
      <c r="BT67" s="1">
        <v>4.0000000000000001E-3</v>
      </c>
      <c r="BU67" s="1">
        <v>7.0000000000000001E-3</v>
      </c>
      <c r="BV67" s="1">
        <v>4.8000000000000001E-2</v>
      </c>
      <c r="BW67" s="1">
        <v>7.0000000000000001E-3</v>
      </c>
      <c r="BX67" s="1">
        <v>0.22900000000000001</v>
      </c>
      <c r="BY67" s="1">
        <v>1.2999999999999999E-2</v>
      </c>
      <c r="BZ67" s="1">
        <v>8.9999999999999993E-3</v>
      </c>
      <c r="CA67" s="1">
        <v>6.0000000000000001E-3</v>
      </c>
      <c r="CB67" s="1">
        <v>2E-3</v>
      </c>
      <c r="CC67" s="1">
        <v>6.0000000000000001E-3</v>
      </c>
      <c r="CD67" s="1">
        <v>1E-3</v>
      </c>
      <c r="CE67" s="1">
        <v>4.0000000000000001E-3</v>
      </c>
      <c r="CF67" s="1">
        <v>4.0000000000000001E-3</v>
      </c>
      <c r="CG67" s="1">
        <v>0.01</v>
      </c>
      <c r="CH67" s="1">
        <v>1.2E-2</v>
      </c>
      <c r="CI67" s="1">
        <v>8.9999999999999993E-3</v>
      </c>
      <c r="CJ67" s="1">
        <v>1.2999999999999999E-2</v>
      </c>
      <c r="CK67" s="1">
        <v>7.8E-2</v>
      </c>
      <c r="CL67" s="1">
        <v>1.2999999999999999E-2</v>
      </c>
      <c r="CM67" s="1">
        <v>-13.380051740000001</v>
      </c>
      <c r="CN67" s="83">
        <v>123.5475038</v>
      </c>
    </row>
    <row r="68" spans="1:92" s="3" customFormat="1" x14ac:dyDescent="0.25">
      <c r="A68" s="72">
        <v>65</v>
      </c>
      <c r="B68" s="81" t="s">
        <v>892</v>
      </c>
      <c r="C68" s="1" t="s">
        <v>72</v>
      </c>
      <c r="D68" s="1" t="s">
        <v>79</v>
      </c>
      <c r="E68" s="1" t="s">
        <v>74</v>
      </c>
      <c r="F68" s="1" t="s">
        <v>89</v>
      </c>
      <c r="G68" s="1" t="s">
        <v>76</v>
      </c>
      <c r="H68" s="1" t="s">
        <v>68</v>
      </c>
      <c r="I68" s="1"/>
      <c r="J68" s="9" t="s">
        <v>544</v>
      </c>
      <c r="K68" s="10">
        <v>0.48902950000000001</v>
      </c>
      <c r="L68" s="1" t="s">
        <v>641</v>
      </c>
      <c r="M68" s="1" t="s">
        <v>76</v>
      </c>
      <c r="N68" s="1" t="s">
        <v>644</v>
      </c>
      <c r="O68" s="1" t="s">
        <v>55</v>
      </c>
      <c r="P68" s="82">
        <v>0.183</v>
      </c>
      <c r="Q68" s="1" t="s">
        <v>76</v>
      </c>
      <c r="R68" s="81" t="s">
        <v>81</v>
      </c>
      <c r="S68" s="1">
        <v>3</v>
      </c>
      <c r="T68" s="1" t="s">
        <v>120</v>
      </c>
      <c r="U68" s="1" t="s">
        <v>658</v>
      </c>
      <c r="V68" s="1" t="s">
        <v>655</v>
      </c>
      <c r="W68" s="1">
        <v>17</v>
      </c>
      <c r="X68" s="1" t="s">
        <v>143</v>
      </c>
      <c r="Y68" s="1" t="s">
        <v>644</v>
      </c>
      <c r="Z68" s="1">
        <v>3.0000000000000001E-3</v>
      </c>
      <c r="AA68" s="1">
        <v>0.17599999999999999</v>
      </c>
      <c r="AB68" s="1">
        <v>5.0000000000000001E-3</v>
      </c>
      <c r="AC68" s="1">
        <v>0.04</v>
      </c>
      <c r="AD68" s="1">
        <v>6.0000000000000001E-3</v>
      </c>
      <c r="AE68" s="1">
        <v>5.0000000000000001E-3</v>
      </c>
      <c r="AF68" s="1">
        <v>5.0000000000000001E-3</v>
      </c>
      <c r="AG68" s="1">
        <v>1E-3</v>
      </c>
      <c r="AH68" s="1">
        <v>1.6E-2</v>
      </c>
      <c r="AI68" s="1">
        <v>3.0000000000000001E-3</v>
      </c>
      <c r="AJ68" s="1">
        <v>4.0000000000000001E-3</v>
      </c>
      <c r="AK68" s="1">
        <v>1.0999999999999999E-2</v>
      </c>
      <c r="AL68" s="1">
        <v>3.0000000000000001E-3</v>
      </c>
      <c r="AM68" s="1">
        <v>2E-3</v>
      </c>
      <c r="AN68" s="1">
        <v>5.0000000000000001E-3</v>
      </c>
      <c r="AO68" s="1">
        <v>0.01</v>
      </c>
      <c r="AP68" s="1">
        <v>5.0000000000000001E-3</v>
      </c>
      <c r="AQ68" s="1">
        <v>3.0000000000000001E-3</v>
      </c>
      <c r="AR68" s="1">
        <v>5.0000000000000001E-3</v>
      </c>
      <c r="AS68" s="1">
        <v>1.7999999999999999E-2</v>
      </c>
      <c r="AT68" s="1">
        <v>1.2999999999999999E-2</v>
      </c>
      <c r="AU68" s="1">
        <v>1.2E-2</v>
      </c>
      <c r="AV68" s="1">
        <v>4.0000000000000001E-3</v>
      </c>
      <c r="AW68" s="1">
        <v>8.0000000000000002E-3</v>
      </c>
      <c r="AX68" s="1">
        <v>6.0000000000000001E-3</v>
      </c>
      <c r="AY68" s="1">
        <v>8.0000000000000002E-3</v>
      </c>
      <c r="AZ68" s="1">
        <v>8.9999999999999993E-3</v>
      </c>
      <c r="BA68" s="1">
        <v>1.6E-2</v>
      </c>
      <c r="BB68" s="1">
        <v>7.0000000000000001E-3</v>
      </c>
      <c r="BC68" s="1">
        <v>3.0000000000000001E-3</v>
      </c>
      <c r="BD68" s="1">
        <v>2.1000000000000001E-2</v>
      </c>
      <c r="BE68" s="1">
        <v>6.0000000000000001E-3</v>
      </c>
      <c r="BF68" s="1">
        <v>4.0000000000000001E-3</v>
      </c>
      <c r="BG68" s="1">
        <v>5.0000000000000001E-3</v>
      </c>
      <c r="BH68" s="1">
        <v>6.0000000000000001E-3</v>
      </c>
      <c r="BI68" s="1">
        <v>3.0000000000000001E-3</v>
      </c>
      <c r="BJ68" s="1">
        <v>2E-3</v>
      </c>
      <c r="BK68" s="1">
        <v>3.0000000000000001E-3</v>
      </c>
      <c r="BL68" s="1">
        <v>1.6E-2</v>
      </c>
      <c r="BM68" s="1">
        <v>5.0000000000000001E-3</v>
      </c>
      <c r="BN68" s="1">
        <v>1.0999999999999999E-2</v>
      </c>
      <c r="BO68" s="1">
        <v>4.0000000000000001E-3</v>
      </c>
      <c r="BP68" s="1">
        <v>2E-3</v>
      </c>
      <c r="BQ68" s="1">
        <v>1.2E-2</v>
      </c>
      <c r="BR68" s="1">
        <v>6.0000000000000001E-3</v>
      </c>
      <c r="BS68" s="1">
        <v>8.0000000000000002E-3</v>
      </c>
      <c r="BT68" s="1">
        <v>3.0000000000000001E-3</v>
      </c>
      <c r="BU68" s="1">
        <v>3.0000000000000001E-3</v>
      </c>
      <c r="BV68" s="1">
        <v>5.0000000000000001E-3</v>
      </c>
      <c r="BW68" s="1">
        <v>6.0000000000000001E-3</v>
      </c>
      <c r="BX68" s="1">
        <v>0.183</v>
      </c>
      <c r="BY68" s="1">
        <v>1.4E-2</v>
      </c>
      <c r="BZ68" s="1">
        <v>1.0999999999999999E-2</v>
      </c>
      <c r="CA68" s="1">
        <v>7.0000000000000001E-3</v>
      </c>
      <c r="CB68" s="1">
        <v>4.0000000000000001E-3</v>
      </c>
      <c r="CC68" s="1">
        <v>7.0000000000000001E-3</v>
      </c>
      <c r="CD68" s="1">
        <v>0</v>
      </c>
      <c r="CE68" s="1">
        <v>6.0000000000000001E-3</v>
      </c>
      <c r="CF68" s="1">
        <v>8.9999999999999993E-3</v>
      </c>
      <c r="CG68" s="1">
        <v>1.9E-2</v>
      </c>
      <c r="CH68" s="1">
        <v>8.9999999999999993E-3</v>
      </c>
      <c r="CI68" s="1">
        <v>7.0000000000000001E-3</v>
      </c>
      <c r="CJ68" s="1">
        <v>1.7000000000000001E-2</v>
      </c>
      <c r="CK68" s="1">
        <v>0.152</v>
      </c>
      <c r="CL68" s="1">
        <v>1.2999999999999999E-2</v>
      </c>
      <c r="CM68" s="1">
        <v>80.842792230000001</v>
      </c>
      <c r="CN68" s="83">
        <v>-26.095288239999999</v>
      </c>
    </row>
    <row r="69" spans="1:92" s="3" customFormat="1" x14ac:dyDescent="0.25">
      <c r="A69" s="72">
        <v>66</v>
      </c>
      <c r="B69" s="81" t="s">
        <v>855</v>
      </c>
      <c r="C69" s="1" t="s">
        <v>72</v>
      </c>
      <c r="D69" s="1" t="s">
        <v>79</v>
      </c>
      <c r="E69" s="1" t="s">
        <v>74</v>
      </c>
      <c r="F69" s="1" t="s">
        <v>108</v>
      </c>
      <c r="G69" s="1" t="s">
        <v>80</v>
      </c>
      <c r="H69" s="1" t="s">
        <v>10</v>
      </c>
      <c r="I69" s="1"/>
      <c r="J69" s="9" t="s">
        <v>544</v>
      </c>
      <c r="K69" s="10">
        <v>0.49649599999999999</v>
      </c>
      <c r="L69" s="1" t="s">
        <v>641</v>
      </c>
      <c r="M69" s="1" t="s">
        <v>76</v>
      </c>
      <c r="N69" s="1" t="s">
        <v>649</v>
      </c>
      <c r="O69" s="1" t="s">
        <v>10</v>
      </c>
      <c r="P69" s="82">
        <v>0.83499999999999996</v>
      </c>
      <c r="Q69" s="1" t="s">
        <v>76</v>
      </c>
      <c r="R69" s="81" t="s">
        <v>77</v>
      </c>
      <c r="S69" s="1" t="s">
        <v>76</v>
      </c>
      <c r="T69" s="1" t="s">
        <v>78</v>
      </c>
      <c r="U69" s="1" t="s">
        <v>658</v>
      </c>
      <c r="V69" s="1" t="s">
        <v>655</v>
      </c>
      <c r="W69" s="1">
        <v>15</v>
      </c>
      <c r="X69" s="1" t="s">
        <v>116</v>
      </c>
      <c r="Y69" s="1" t="s">
        <v>649</v>
      </c>
      <c r="Z69" s="1">
        <v>0</v>
      </c>
      <c r="AA69" s="1">
        <v>0</v>
      </c>
      <c r="AB69" s="1">
        <v>0</v>
      </c>
      <c r="AC69" s="1">
        <v>3.0000000000000001E-3</v>
      </c>
      <c r="AD69" s="1">
        <v>0</v>
      </c>
      <c r="AE69" s="1">
        <v>0.83499999999999996</v>
      </c>
      <c r="AF69" s="1">
        <v>1E-3</v>
      </c>
      <c r="AG69" s="1">
        <v>0</v>
      </c>
      <c r="AH69" s="1">
        <v>2E-3</v>
      </c>
      <c r="AI69" s="1">
        <v>0</v>
      </c>
      <c r="AJ69" s="1">
        <v>0</v>
      </c>
      <c r="AK69" s="1">
        <v>9.4E-2</v>
      </c>
      <c r="AL69" s="1">
        <v>0</v>
      </c>
      <c r="AM69" s="1">
        <v>0</v>
      </c>
      <c r="AN69" s="1">
        <v>1E-3</v>
      </c>
      <c r="AO69" s="1">
        <v>1E-3</v>
      </c>
      <c r="AP69" s="1">
        <v>0</v>
      </c>
      <c r="AQ69" s="1">
        <v>0</v>
      </c>
      <c r="AR69" s="1">
        <v>0</v>
      </c>
      <c r="AS69" s="1">
        <v>2E-3</v>
      </c>
      <c r="AT69" s="1">
        <v>1E-3</v>
      </c>
      <c r="AU69" s="1">
        <v>0</v>
      </c>
      <c r="AV69" s="1">
        <v>0</v>
      </c>
      <c r="AW69" s="1">
        <v>6.0000000000000001E-3</v>
      </c>
      <c r="AX69" s="1">
        <v>0</v>
      </c>
      <c r="AY69" s="1">
        <v>1E-3</v>
      </c>
      <c r="AZ69" s="1">
        <v>1E-3</v>
      </c>
      <c r="BA69" s="1">
        <v>3.0000000000000001E-3</v>
      </c>
      <c r="BB69" s="1">
        <v>0</v>
      </c>
      <c r="BC69" s="1">
        <v>0</v>
      </c>
      <c r="BD69" s="1">
        <v>2E-3</v>
      </c>
      <c r="BE69" s="1">
        <v>0</v>
      </c>
      <c r="BF69" s="1">
        <v>0</v>
      </c>
      <c r="BG69" s="1">
        <v>1E-3</v>
      </c>
      <c r="BH69" s="1">
        <v>0</v>
      </c>
      <c r="BI69" s="1">
        <v>0</v>
      </c>
      <c r="BJ69" s="1">
        <v>0</v>
      </c>
      <c r="BK69" s="1">
        <v>0</v>
      </c>
      <c r="BL69" s="1">
        <v>1E-3</v>
      </c>
      <c r="BM69" s="1">
        <v>0</v>
      </c>
      <c r="BN69" s="1">
        <v>1E-3</v>
      </c>
      <c r="BO69" s="1">
        <v>0</v>
      </c>
      <c r="BP69" s="1">
        <v>0</v>
      </c>
      <c r="BQ69" s="1">
        <v>2E-3</v>
      </c>
      <c r="BR69" s="1">
        <v>0</v>
      </c>
      <c r="BS69" s="1">
        <v>0</v>
      </c>
      <c r="BT69" s="1">
        <v>0</v>
      </c>
      <c r="BU69" s="1">
        <v>0</v>
      </c>
      <c r="BV69" s="1">
        <v>1E-3</v>
      </c>
      <c r="BW69" s="1">
        <v>1E-3</v>
      </c>
      <c r="BX69" s="1">
        <v>2E-3</v>
      </c>
      <c r="BY69" s="1">
        <v>1E-3</v>
      </c>
      <c r="BZ69" s="1">
        <v>1E-3</v>
      </c>
      <c r="CA69" s="1">
        <v>0</v>
      </c>
      <c r="CB69" s="1">
        <v>0</v>
      </c>
      <c r="CC69" s="1">
        <v>1E-3</v>
      </c>
      <c r="CD69" s="1">
        <v>0</v>
      </c>
      <c r="CE69" s="1">
        <v>0</v>
      </c>
      <c r="CF69" s="1">
        <v>0</v>
      </c>
      <c r="CG69" s="1">
        <v>1E-3</v>
      </c>
      <c r="CH69" s="1">
        <v>5.0000000000000001E-3</v>
      </c>
      <c r="CI69" s="1">
        <v>1E-3</v>
      </c>
      <c r="CJ69" s="1">
        <v>5.0000000000000001E-3</v>
      </c>
      <c r="CK69" s="1">
        <v>1.4999999999999999E-2</v>
      </c>
      <c r="CL69" s="1">
        <v>1E-3</v>
      </c>
      <c r="CM69" s="1">
        <v>-15.16492824</v>
      </c>
      <c r="CN69" s="83">
        <v>151.48308660000001</v>
      </c>
    </row>
    <row r="70" spans="1:92" s="3" customFormat="1" x14ac:dyDescent="0.25">
      <c r="A70" s="72">
        <v>67</v>
      </c>
      <c r="B70" s="81" t="s">
        <v>1196</v>
      </c>
      <c r="C70" s="1" t="s">
        <v>72</v>
      </c>
      <c r="D70" s="1" t="s">
        <v>79</v>
      </c>
      <c r="E70" s="1" t="s">
        <v>74</v>
      </c>
      <c r="F70" s="1" t="s">
        <v>93</v>
      </c>
      <c r="G70" s="1" t="s">
        <v>80</v>
      </c>
      <c r="H70" s="1" t="s">
        <v>34</v>
      </c>
      <c r="I70" s="1"/>
      <c r="J70" s="9" t="s">
        <v>544</v>
      </c>
      <c r="K70" s="10">
        <v>0.41003149999999999</v>
      </c>
      <c r="L70" s="1" t="s">
        <v>641</v>
      </c>
      <c r="M70" s="1" t="s">
        <v>76</v>
      </c>
      <c r="N70" s="1" t="s">
        <v>649</v>
      </c>
      <c r="O70" s="1" t="s">
        <v>34</v>
      </c>
      <c r="P70" s="82">
        <v>0.63400000000000001</v>
      </c>
      <c r="Q70" s="1" t="s">
        <v>76</v>
      </c>
      <c r="R70" s="81" t="s">
        <v>87</v>
      </c>
      <c r="S70" s="1" t="s">
        <v>76</v>
      </c>
      <c r="T70" s="1" t="s">
        <v>78</v>
      </c>
      <c r="U70" s="1" t="s">
        <v>658</v>
      </c>
      <c r="V70" s="1" t="s">
        <v>655</v>
      </c>
      <c r="W70" s="1">
        <v>29</v>
      </c>
      <c r="X70" s="1" t="s">
        <v>115</v>
      </c>
      <c r="Y70" s="1" t="s">
        <v>649</v>
      </c>
      <c r="Z70" s="1">
        <v>1E-3</v>
      </c>
      <c r="AA70" s="1">
        <v>3.0000000000000001E-3</v>
      </c>
      <c r="AB70" s="1">
        <v>3.0000000000000001E-3</v>
      </c>
      <c r="AC70" s="1">
        <v>2.4E-2</v>
      </c>
      <c r="AD70" s="1">
        <v>3.0000000000000001E-3</v>
      </c>
      <c r="AE70" s="1">
        <v>3.0000000000000001E-3</v>
      </c>
      <c r="AF70" s="1">
        <v>3.0000000000000001E-3</v>
      </c>
      <c r="AG70" s="1">
        <v>0</v>
      </c>
      <c r="AH70" s="1">
        <v>1.2E-2</v>
      </c>
      <c r="AI70" s="1">
        <v>2E-3</v>
      </c>
      <c r="AJ70" s="1">
        <v>1E-3</v>
      </c>
      <c r="AK70" s="1">
        <v>6.0000000000000001E-3</v>
      </c>
      <c r="AL70" s="1">
        <v>2.3E-2</v>
      </c>
      <c r="AM70" s="1">
        <v>0</v>
      </c>
      <c r="AN70" s="1">
        <v>4.0000000000000001E-3</v>
      </c>
      <c r="AO70" s="1">
        <v>4.0000000000000001E-3</v>
      </c>
      <c r="AP70" s="1">
        <v>6.0000000000000001E-3</v>
      </c>
      <c r="AQ70" s="1">
        <v>2E-3</v>
      </c>
      <c r="AR70" s="1">
        <v>1E-3</v>
      </c>
      <c r="AS70" s="1">
        <v>0.01</v>
      </c>
      <c r="AT70" s="1">
        <v>6.0000000000000001E-3</v>
      </c>
      <c r="AU70" s="1">
        <v>3.0000000000000001E-3</v>
      </c>
      <c r="AV70" s="1">
        <v>2E-3</v>
      </c>
      <c r="AW70" s="1">
        <v>4.0000000000000001E-3</v>
      </c>
      <c r="AX70" s="1">
        <v>5.0000000000000001E-3</v>
      </c>
      <c r="AY70" s="1">
        <v>4.0000000000000001E-3</v>
      </c>
      <c r="AZ70" s="1">
        <v>4.0000000000000001E-3</v>
      </c>
      <c r="BA70" s="1">
        <v>8.0000000000000002E-3</v>
      </c>
      <c r="BB70" s="1">
        <v>3.0000000000000001E-3</v>
      </c>
      <c r="BC70" s="1">
        <v>0.63400000000000001</v>
      </c>
      <c r="BD70" s="1">
        <v>1.2E-2</v>
      </c>
      <c r="BE70" s="1">
        <v>2E-3</v>
      </c>
      <c r="BF70" s="1">
        <v>3.0000000000000001E-3</v>
      </c>
      <c r="BG70" s="1">
        <v>2E-3</v>
      </c>
      <c r="BH70" s="1">
        <v>1.7999999999999999E-2</v>
      </c>
      <c r="BI70" s="1">
        <v>1E-3</v>
      </c>
      <c r="BJ70" s="1">
        <v>1E-3</v>
      </c>
      <c r="BK70" s="1">
        <v>1E-3</v>
      </c>
      <c r="BL70" s="1">
        <v>1.4999999999999999E-2</v>
      </c>
      <c r="BM70" s="1">
        <v>4.0000000000000001E-3</v>
      </c>
      <c r="BN70" s="1">
        <v>5.0000000000000001E-3</v>
      </c>
      <c r="BO70" s="1">
        <v>1E-3</v>
      </c>
      <c r="BP70" s="1">
        <v>1E-3</v>
      </c>
      <c r="BQ70" s="1">
        <v>6.0000000000000001E-3</v>
      </c>
      <c r="BR70" s="1">
        <v>3.0000000000000001E-3</v>
      </c>
      <c r="BS70" s="1">
        <v>2E-3</v>
      </c>
      <c r="BT70" s="1">
        <v>2E-3</v>
      </c>
      <c r="BU70" s="1">
        <v>2E-3</v>
      </c>
      <c r="BV70" s="1">
        <v>3.0000000000000001E-3</v>
      </c>
      <c r="BW70" s="1">
        <v>3.0000000000000001E-3</v>
      </c>
      <c r="BX70" s="1">
        <v>1.7999999999999999E-2</v>
      </c>
      <c r="BY70" s="1">
        <v>1.4E-2</v>
      </c>
      <c r="BZ70" s="1">
        <v>6.0000000000000001E-3</v>
      </c>
      <c r="CA70" s="1">
        <v>4.0000000000000001E-3</v>
      </c>
      <c r="CB70" s="1">
        <v>1E-3</v>
      </c>
      <c r="CC70" s="1">
        <v>3.0000000000000001E-3</v>
      </c>
      <c r="CD70" s="1">
        <v>0</v>
      </c>
      <c r="CE70" s="1">
        <v>2E-3</v>
      </c>
      <c r="CF70" s="1">
        <v>3.0000000000000001E-3</v>
      </c>
      <c r="CG70" s="1">
        <v>3.0000000000000001E-3</v>
      </c>
      <c r="CH70" s="1">
        <v>6.0000000000000001E-3</v>
      </c>
      <c r="CI70" s="1">
        <v>6.0000000000000001E-3</v>
      </c>
      <c r="CJ70" s="1">
        <v>8.0000000000000002E-3</v>
      </c>
      <c r="CK70" s="1">
        <v>5.0999999999999997E-2</v>
      </c>
      <c r="CL70" s="1">
        <v>5.0000000000000001E-3</v>
      </c>
      <c r="CM70" s="1">
        <v>47.500258840000001</v>
      </c>
      <c r="CN70" s="83">
        <v>104.9829034</v>
      </c>
    </row>
    <row r="71" spans="1:92" s="3" customFormat="1" x14ac:dyDescent="0.25">
      <c r="A71" s="72">
        <v>68</v>
      </c>
      <c r="B71" s="81" t="s">
        <v>948</v>
      </c>
      <c r="C71" s="1" t="s">
        <v>72</v>
      </c>
      <c r="D71" s="1" t="s">
        <v>79</v>
      </c>
      <c r="E71" s="1" t="s">
        <v>99</v>
      </c>
      <c r="F71" s="1" t="s">
        <v>144</v>
      </c>
      <c r="G71" s="1" t="s">
        <v>80</v>
      </c>
      <c r="H71" s="1" t="s">
        <v>532</v>
      </c>
      <c r="I71" s="1"/>
      <c r="J71" s="9" t="s">
        <v>506</v>
      </c>
      <c r="K71" s="10">
        <v>0.38945733333333299</v>
      </c>
      <c r="L71" s="1" t="s">
        <v>641</v>
      </c>
      <c r="M71" s="1" t="s">
        <v>76</v>
      </c>
      <c r="N71" s="1" t="s">
        <v>644</v>
      </c>
      <c r="O71" s="1" t="s">
        <v>55</v>
      </c>
      <c r="P71" s="82">
        <v>0.23799999999999999</v>
      </c>
      <c r="Q71" s="1" t="s">
        <v>76</v>
      </c>
      <c r="R71" s="81" t="s">
        <v>95</v>
      </c>
      <c r="S71" s="1" t="s">
        <v>76</v>
      </c>
      <c r="T71" s="1" t="s">
        <v>78</v>
      </c>
      <c r="U71" s="1" t="s">
        <v>658</v>
      </c>
      <c r="V71" s="1" t="s">
        <v>655</v>
      </c>
      <c r="W71" s="1">
        <v>17</v>
      </c>
      <c r="X71" s="1" t="s">
        <v>145</v>
      </c>
      <c r="Y71" s="1" t="s">
        <v>644</v>
      </c>
      <c r="Z71" s="1">
        <v>1E-3</v>
      </c>
      <c r="AA71" s="1">
        <v>4.0000000000000001E-3</v>
      </c>
      <c r="AB71" s="1">
        <v>5.0000000000000001E-3</v>
      </c>
      <c r="AC71" s="1">
        <v>2.1000000000000001E-2</v>
      </c>
      <c r="AD71" s="1">
        <v>4.0000000000000001E-3</v>
      </c>
      <c r="AE71" s="1">
        <v>1.2E-2</v>
      </c>
      <c r="AF71" s="1">
        <v>5.0000000000000001E-3</v>
      </c>
      <c r="AG71" s="1">
        <v>0</v>
      </c>
      <c r="AH71" s="1">
        <v>1.4E-2</v>
      </c>
      <c r="AI71" s="1">
        <v>1E-3</v>
      </c>
      <c r="AJ71" s="1">
        <v>0.02</v>
      </c>
      <c r="AK71" s="1">
        <v>2.5999999999999999E-2</v>
      </c>
      <c r="AL71" s="1">
        <v>0</v>
      </c>
      <c r="AM71" s="1">
        <v>2E-3</v>
      </c>
      <c r="AN71" s="1">
        <v>6.0000000000000001E-3</v>
      </c>
      <c r="AO71" s="1">
        <v>4.0000000000000001E-3</v>
      </c>
      <c r="AP71" s="1">
        <v>3.0000000000000001E-3</v>
      </c>
      <c r="AQ71" s="1">
        <v>2E-3</v>
      </c>
      <c r="AR71" s="1">
        <v>4.0000000000000001E-3</v>
      </c>
      <c r="AS71" s="1">
        <v>1.6E-2</v>
      </c>
      <c r="AT71" s="1">
        <v>7.0000000000000001E-3</v>
      </c>
      <c r="AU71" s="1">
        <v>5.0000000000000001E-3</v>
      </c>
      <c r="AV71" s="1">
        <v>2E-3</v>
      </c>
      <c r="AW71" s="1">
        <v>4.0000000000000001E-3</v>
      </c>
      <c r="AX71" s="1">
        <v>2E-3</v>
      </c>
      <c r="AY71" s="1">
        <v>6.0000000000000001E-3</v>
      </c>
      <c r="AZ71" s="1">
        <v>8.9999999999999993E-3</v>
      </c>
      <c r="BA71" s="1">
        <v>1.6E-2</v>
      </c>
      <c r="BB71" s="1">
        <v>7.5999999999999998E-2</v>
      </c>
      <c r="BC71" s="1">
        <v>2E-3</v>
      </c>
      <c r="BD71" s="1">
        <v>1.9E-2</v>
      </c>
      <c r="BE71" s="1">
        <v>3.0000000000000001E-3</v>
      </c>
      <c r="BF71" s="1">
        <v>1E-3</v>
      </c>
      <c r="BG71" s="1">
        <v>3.0000000000000001E-3</v>
      </c>
      <c r="BH71" s="1">
        <v>3.0000000000000001E-3</v>
      </c>
      <c r="BI71" s="1">
        <v>2E-3</v>
      </c>
      <c r="BJ71" s="1">
        <v>1E-3</v>
      </c>
      <c r="BK71" s="1">
        <v>2E-3</v>
      </c>
      <c r="BL71" s="1">
        <v>5.0000000000000001E-3</v>
      </c>
      <c r="BM71" s="1">
        <v>3.0000000000000001E-3</v>
      </c>
      <c r="BN71" s="1">
        <v>6.0000000000000001E-3</v>
      </c>
      <c r="BO71" s="1">
        <v>2.9000000000000001E-2</v>
      </c>
      <c r="BP71" s="1">
        <v>1E-3</v>
      </c>
      <c r="BQ71" s="1">
        <v>8.9999999999999993E-3</v>
      </c>
      <c r="BR71" s="1">
        <v>4.0000000000000001E-3</v>
      </c>
      <c r="BS71" s="1">
        <v>4.0000000000000001E-3</v>
      </c>
      <c r="BT71" s="1">
        <v>3.0000000000000001E-3</v>
      </c>
      <c r="BU71" s="1">
        <v>0.05</v>
      </c>
      <c r="BV71" s="1">
        <v>0.17599999999999999</v>
      </c>
      <c r="BW71" s="1">
        <v>5.0000000000000001E-3</v>
      </c>
      <c r="BX71" s="1">
        <v>0.23799999999999999</v>
      </c>
      <c r="BY71" s="1">
        <v>0.01</v>
      </c>
      <c r="BZ71" s="1">
        <v>7.0000000000000001E-3</v>
      </c>
      <c r="CA71" s="1">
        <v>4.0000000000000001E-3</v>
      </c>
      <c r="CB71" s="1">
        <v>2E-3</v>
      </c>
      <c r="CC71" s="1">
        <v>4.0000000000000001E-3</v>
      </c>
      <c r="CD71" s="1">
        <v>0</v>
      </c>
      <c r="CE71" s="1">
        <v>3.0000000000000001E-3</v>
      </c>
      <c r="CF71" s="1">
        <v>3.0000000000000001E-3</v>
      </c>
      <c r="CG71" s="1">
        <v>7.0000000000000001E-3</v>
      </c>
      <c r="CH71" s="1">
        <v>8.0000000000000002E-3</v>
      </c>
      <c r="CI71" s="1">
        <v>8.0000000000000002E-3</v>
      </c>
      <c r="CJ71" s="1">
        <v>8.0000000000000002E-3</v>
      </c>
      <c r="CK71" s="1">
        <v>8.2000000000000003E-2</v>
      </c>
      <c r="CL71" s="1">
        <v>6.0000000000000001E-3</v>
      </c>
      <c r="CM71" s="1">
        <v>-4.0795289129999999</v>
      </c>
      <c r="CN71" s="83">
        <v>131.21073809999999</v>
      </c>
    </row>
    <row r="72" spans="1:92" s="3" customFormat="1" x14ac:dyDescent="0.25">
      <c r="A72" s="72">
        <v>69</v>
      </c>
      <c r="B72" s="81" t="s">
        <v>1300</v>
      </c>
      <c r="C72" s="1" t="s">
        <v>72</v>
      </c>
      <c r="D72" s="1" t="s">
        <v>79</v>
      </c>
      <c r="E72" s="1" t="s">
        <v>74</v>
      </c>
      <c r="F72" s="1" t="s">
        <v>108</v>
      </c>
      <c r="G72" s="1" t="s">
        <v>80</v>
      </c>
      <c r="H72" s="1" t="s">
        <v>10</v>
      </c>
      <c r="I72" s="1"/>
      <c r="J72" s="9" t="s">
        <v>544</v>
      </c>
      <c r="K72" s="10">
        <v>0.49646200000000101</v>
      </c>
      <c r="L72" s="1" t="s">
        <v>641</v>
      </c>
      <c r="M72" s="1" t="s">
        <v>76</v>
      </c>
      <c r="N72" s="1" t="s">
        <v>649</v>
      </c>
      <c r="O72" s="1" t="s">
        <v>10</v>
      </c>
      <c r="P72" s="82">
        <v>0.83799999999999997</v>
      </c>
      <c r="Q72" s="1" t="s">
        <v>76</v>
      </c>
      <c r="R72" s="81" t="s">
        <v>77</v>
      </c>
      <c r="S72" s="1" t="s">
        <v>76</v>
      </c>
      <c r="T72" s="1" t="s">
        <v>78</v>
      </c>
      <c r="U72" s="1" t="s">
        <v>658</v>
      </c>
      <c r="V72" s="1" t="s">
        <v>655</v>
      </c>
      <c r="W72" s="1">
        <v>12</v>
      </c>
      <c r="X72" s="1" t="s">
        <v>109</v>
      </c>
      <c r="Y72" s="1" t="s">
        <v>649</v>
      </c>
      <c r="Z72" s="1">
        <v>0</v>
      </c>
      <c r="AA72" s="1">
        <v>1E-3</v>
      </c>
      <c r="AB72" s="1">
        <v>1E-3</v>
      </c>
      <c r="AC72" s="1">
        <v>6.0000000000000001E-3</v>
      </c>
      <c r="AD72" s="1">
        <v>1E-3</v>
      </c>
      <c r="AE72" s="1">
        <v>0.83799999999999997</v>
      </c>
      <c r="AF72" s="1">
        <v>1E-3</v>
      </c>
      <c r="AG72" s="1">
        <v>0</v>
      </c>
      <c r="AH72" s="1">
        <v>3.0000000000000001E-3</v>
      </c>
      <c r="AI72" s="1">
        <v>0</v>
      </c>
      <c r="AJ72" s="1">
        <v>0</v>
      </c>
      <c r="AK72" s="1">
        <v>5.0999999999999997E-2</v>
      </c>
      <c r="AL72" s="1">
        <v>0</v>
      </c>
      <c r="AM72" s="1">
        <v>0</v>
      </c>
      <c r="AN72" s="1">
        <v>1E-3</v>
      </c>
      <c r="AO72" s="1">
        <v>2E-3</v>
      </c>
      <c r="AP72" s="1">
        <v>1E-3</v>
      </c>
      <c r="AQ72" s="1">
        <v>1E-3</v>
      </c>
      <c r="AR72" s="1">
        <v>1E-3</v>
      </c>
      <c r="AS72" s="1">
        <v>4.0000000000000001E-3</v>
      </c>
      <c r="AT72" s="1">
        <v>2E-3</v>
      </c>
      <c r="AU72" s="1">
        <v>1E-3</v>
      </c>
      <c r="AV72" s="1">
        <v>0</v>
      </c>
      <c r="AW72" s="1">
        <v>7.0000000000000001E-3</v>
      </c>
      <c r="AX72" s="1">
        <v>1E-3</v>
      </c>
      <c r="AY72" s="1">
        <v>1E-3</v>
      </c>
      <c r="AZ72" s="1">
        <v>2E-3</v>
      </c>
      <c r="BA72" s="1">
        <v>4.0000000000000001E-3</v>
      </c>
      <c r="BB72" s="1">
        <v>1E-3</v>
      </c>
      <c r="BC72" s="1">
        <v>0</v>
      </c>
      <c r="BD72" s="1">
        <v>5.0000000000000001E-3</v>
      </c>
      <c r="BE72" s="1">
        <v>1E-3</v>
      </c>
      <c r="BF72" s="1">
        <v>0</v>
      </c>
      <c r="BG72" s="1">
        <v>1E-3</v>
      </c>
      <c r="BH72" s="1">
        <v>1E-3</v>
      </c>
      <c r="BI72" s="1">
        <v>1E-3</v>
      </c>
      <c r="BJ72" s="1">
        <v>0</v>
      </c>
      <c r="BK72" s="1">
        <v>0</v>
      </c>
      <c r="BL72" s="1">
        <v>2E-3</v>
      </c>
      <c r="BM72" s="1">
        <v>1E-3</v>
      </c>
      <c r="BN72" s="1">
        <v>1E-3</v>
      </c>
      <c r="BO72" s="1">
        <v>0</v>
      </c>
      <c r="BP72" s="1">
        <v>0</v>
      </c>
      <c r="BQ72" s="1">
        <v>3.0000000000000001E-3</v>
      </c>
      <c r="BR72" s="1">
        <v>1E-3</v>
      </c>
      <c r="BS72" s="1">
        <v>0</v>
      </c>
      <c r="BT72" s="1">
        <v>1E-3</v>
      </c>
      <c r="BU72" s="1">
        <v>1E-3</v>
      </c>
      <c r="BV72" s="1">
        <v>1E-3</v>
      </c>
      <c r="BW72" s="1">
        <v>1E-3</v>
      </c>
      <c r="BX72" s="1">
        <v>4.0000000000000001E-3</v>
      </c>
      <c r="BY72" s="1">
        <v>2E-3</v>
      </c>
      <c r="BZ72" s="1">
        <v>1E-3</v>
      </c>
      <c r="CA72" s="1">
        <v>1E-3</v>
      </c>
      <c r="CB72" s="1">
        <v>0</v>
      </c>
      <c r="CC72" s="1">
        <v>1E-3</v>
      </c>
      <c r="CD72" s="1">
        <v>0</v>
      </c>
      <c r="CE72" s="1">
        <v>1E-3</v>
      </c>
      <c r="CF72" s="1">
        <v>1E-3</v>
      </c>
      <c r="CG72" s="1">
        <v>1E-3</v>
      </c>
      <c r="CH72" s="1">
        <v>8.0000000000000002E-3</v>
      </c>
      <c r="CI72" s="1">
        <v>2E-3</v>
      </c>
      <c r="CJ72" s="1">
        <v>5.0000000000000001E-3</v>
      </c>
      <c r="CK72" s="1">
        <v>2.1999999999999999E-2</v>
      </c>
      <c r="CL72" s="1">
        <v>2E-3</v>
      </c>
      <c r="CM72" s="1">
        <v>-13.374414460000001</v>
      </c>
      <c r="CN72" s="83">
        <v>152.2146138</v>
      </c>
    </row>
    <row r="73" spans="1:92" s="3" customFormat="1" x14ac:dyDescent="0.25">
      <c r="A73" s="72">
        <v>70</v>
      </c>
      <c r="B73" s="81" t="s">
        <v>1251</v>
      </c>
      <c r="C73" s="1" t="s">
        <v>72</v>
      </c>
      <c r="D73" s="1" t="s">
        <v>79</v>
      </c>
      <c r="E73" s="1" t="s">
        <v>74</v>
      </c>
      <c r="F73" s="1" t="s">
        <v>89</v>
      </c>
      <c r="G73" s="1" t="s">
        <v>76</v>
      </c>
      <c r="H73" s="1" t="s">
        <v>68</v>
      </c>
      <c r="I73" s="1"/>
      <c r="J73" s="9" t="s">
        <v>544</v>
      </c>
      <c r="K73" s="10">
        <v>0.4385925</v>
      </c>
      <c r="L73" s="1" t="s">
        <v>76</v>
      </c>
      <c r="M73" s="1" t="s">
        <v>506</v>
      </c>
      <c r="N73" s="1" t="s">
        <v>645</v>
      </c>
      <c r="O73" s="1" t="s">
        <v>68</v>
      </c>
      <c r="P73" s="82">
        <v>1</v>
      </c>
      <c r="Q73" s="1" t="s">
        <v>76</v>
      </c>
      <c r="R73" s="81" t="s">
        <v>129</v>
      </c>
      <c r="S73" s="1">
        <v>3</v>
      </c>
      <c r="T73" s="1" t="s">
        <v>120</v>
      </c>
      <c r="U73" s="1" t="s">
        <v>658</v>
      </c>
      <c r="V73" s="1" t="s">
        <v>655</v>
      </c>
      <c r="W73" s="1">
        <v>89</v>
      </c>
      <c r="X73" s="1" t="s">
        <v>143</v>
      </c>
      <c r="Y73" s="1" t="s">
        <v>645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1</v>
      </c>
      <c r="CL73" s="1">
        <v>0</v>
      </c>
      <c r="CM73" s="1">
        <v>79.927877480000006</v>
      </c>
      <c r="CN73" s="83">
        <v>-29.885976029999998</v>
      </c>
    </row>
    <row r="74" spans="1:92" s="3" customFormat="1" x14ac:dyDescent="0.25">
      <c r="A74" s="72">
        <v>71</v>
      </c>
      <c r="B74" s="81" t="s">
        <v>1065</v>
      </c>
      <c r="C74" s="1" t="s">
        <v>72</v>
      </c>
      <c r="D74" s="1" t="s">
        <v>79</v>
      </c>
      <c r="E74" s="1" t="s">
        <v>99</v>
      </c>
      <c r="F74" s="1" t="s">
        <v>93</v>
      </c>
      <c r="G74" s="1" t="s">
        <v>80</v>
      </c>
      <c r="H74" s="1" t="s">
        <v>34</v>
      </c>
      <c r="I74" s="1"/>
      <c r="J74" s="9" t="s">
        <v>544</v>
      </c>
      <c r="K74" s="10">
        <v>0.36472650000000101</v>
      </c>
      <c r="L74" s="1" t="s">
        <v>76</v>
      </c>
      <c r="M74" s="1" t="s">
        <v>506</v>
      </c>
      <c r="N74" s="1" t="s">
        <v>645</v>
      </c>
      <c r="O74" s="1" t="s">
        <v>34</v>
      </c>
      <c r="P74" s="82">
        <v>0.99099999999999999</v>
      </c>
      <c r="Q74" s="1" t="s">
        <v>76</v>
      </c>
      <c r="R74" s="81" t="s">
        <v>91</v>
      </c>
      <c r="S74" s="1" t="s">
        <v>76</v>
      </c>
      <c r="T74" s="1" t="s">
        <v>78</v>
      </c>
      <c r="U74" s="1" t="s">
        <v>658</v>
      </c>
      <c r="V74" s="1" t="s">
        <v>655</v>
      </c>
      <c r="W74" s="1">
        <v>19</v>
      </c>
      <c r="X74" s="1" t="s">
        <v>127</v>
      </c>
      <c r="Y74" s="1" t="s">
        <v>645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5.0000000000000001E-3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0.99099999999999999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1E-3</v>
      </c>
      <c r="CL74" s="1">
        <v>0</v>
      </c>
      <c r="CM74" s="1">
        <v>50.0760662</v>
      </c>
      <c r="CN74" s="83">
        <v>101.9448182</v>
      </c>
    </row>
    <row r="75" spans="1:92" s="3" customFormat="1" x14ac:dyDescent="0.25">
      <c r="A75" s="72">
        <v>72</v>
      </c>
      <c r="B75" s="81" t="s">
        <v>1298</v>
      </c>
      <c r="C75" s="1" t="s">
        <v>72</v>
      </c>
      <c r="D75" s="1" t="s">
        <v>79</v>
      </c>
      <c r="E75" s="1" t="s">
        <v>74</v>
      </c>
      <c r="F75" s="1" t="s">
        <v>93</v>
      </c>
      <c r="G75" s="1" t="s">
        <v>80</v>
      </c>
      <c r="H75" s="1" t="s">
        <v>34</v>
      </c>
      <c r="I75" s="1"/>
      <c r="J75" s="9" t="s">
        <v>544</v>
      </c>
      <c r="K75" s="10">
        <v>0.35026516666666702</v>
      </c>
      <c r="L75" s="1" t="s">
        <v>76</v>
      </c>
      <c r="M75" s="1" t="s">
        <v>506</v>
      </c>
      <c r="N75" s="1" t="s">
        <v>645</v>
      </c>
      <c r="O75" s="1" t="s">
        <v>34</v>
      </c>
      <c r="P75" s="82">
        <v>0.99299999999999999</v>
      </c>
      <c r="Q75" s="1" t="s">
        <v>76</v>
      </c>
      <c r="R75" s="81" t="s">
        <v>87</v>
      </c>
      <c r="S75" s="1" t="s">
        <v>76</v>
      </c>
      <c r="T75" s="1" t="s">
        <v>78</v>
      </c>
      <c r="U75" s="1" t="s">
        <v>658</v>
      </c>
      <c r="V75" s="1" t="s">
        <v>655</v>
      </c>
      <c r="W75" s="1">
        <v>39</v>
      </c>
      <c r="X75" s="1" t="s">
        <v>134</v>
      </c>
      <c r="Y75" s="1" t="s">
        <v>645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3.0000000000000001E-3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0.99299999999999999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1E-3</v>
      </c>
      <c r="CL75" s="1">
        <v>0</v>
      </c>
      <c r="CM75" s="1">
        <v>47.587709169999997</v>
      </c>
      <c r="CN75" s="83">
        <v>100.3698193</v>
      </c>
    </row>
    <row r="76" spans="1:92" s="3" customFormat="1" x14ac:dyDescent="0.25">
      <c r="A76" s="72">
        <v>73</v>
      </c>
      <c r="B76" s="81" t="s">
        <v>1295</v>
      </c>
      <c r="C76" s="1" t="s">
        <v>72</v>
      </c>
      <c r="D76" s="1" t="s">
        <v>79</v>
      </c>
      <c r="E76" s="1" t="s">
        <v>99</v>
      </c>
      <c r="F76" s="1" t="s">
        <v>128</v>
      </c>
      <c r="G76" s="1" t="s">
        <v>94</v>
      </c>
      <c r="H76" s="1" t="s">
        <v>570</v>
      </c>
      <c r="I76" s="1"/>
      <c r="J76" s="9" t="s">
        <v>544</v>
      </c>
      <c r="K76" s="10">
        <v>0.39411249999999998</v>
      </c>
      <c r="L76" s="1" t="s">
        <v>641</v>
      </c>
      <c r="M76" s="1" t="s">
        <v>76</v>
      </c>
      <c r="N76" s="1" t="s">
        <v>644</v>
      </c>
      <c r="O76" s="1" t="s">
        <v>68</v>
      </c>
      <c r="P76" s="82">
        <v>0.253</v>
      </c>
      <c r="Q76" s="1" t="s">
        <v>76</v>
      </c>
      <c r="R76" s="81" t="s">
        <v>77</v>
      </c>
      <c r="S76" s="1" t="s">
        <v>76</v>
      </c>
      <c r="T76" s="1" t="s">
        <v>78</v>
      </c>
      <c r="U76" s="1" t="s">
        <v>658</v>
      </c>
      <c r="V76" s="1" t="s">
        <v>655</v>
      </c>
      <c r="W76" s="1">
        <v>33</v>
      </c>
      <c r="X76" s="1" t="s">
        <v>566</v>
      </c>
      <c r="Y76" s="1" t="s">
        <v>644</v>
      </c>
      <c r="Z76" s="1">
        <v>7.0000000000000001E-3</v>
      </c>
      <c r="AA76" s="1">
        <v>6.0000000000000001E-3</v>
      </c>
      <c r="AB76" s="1">
        <v>4.0000000000000001E-3</v>
      </c>
      <c r="AC76" s="1">
        <v>3.5999999999999997E-2</v>
      </c>
      <c r="AD76" s="1">
        <v>7.0000000000000001E-3</v>
      </c>
      <c r="AE76" s="1">
        <v>1.2E-2</v>
      </c>
      <c r="AF76" s="1">
        <v>6.0000000000000001E-3</v>
      </c>
      <c r="AG76" s="1">
        <v>1E-3</v>
      </c>
      <c r="AH76" s="1">
        <v>1.4999999999999999E-2</v>
      </c>
      <c r="AI76" s="1">
        <v>3.0000000000000001E-3</v>
      </c>
      <c r="AJ76" s="1">
        <v>5.0000000000000001E-3</v>
      </c>
      <c r="AK76" s="1">
        <v>1.0999999999999999E-2</v>
      </c>
      <c r="AL76" s="1">
        <v>1E-3</v>
      </c>
      <c r="AM76" s="1">
        <v>2E-3</v>
      </c>
      <c r="AN76" s="1">
        <v>2.3E-2</v>
      </c>
      <c r="AO76" s="1">
        <v>5.0000000000000001E-3</v>
      </c>
      <c r="AP76" s="1">
        <v>5.0000000000000001E-3</v>
      </c>
      <c r="AQ76" s="1">
        <v>2E-3</v>
      </c>
      <c r="AR76" s="1">
        <v>1.0999999999999999E-2</v>
      </c>
      <c r="AS76" s="1">
        <v>1.2999999999999999E-2</v>
      </c>
      <c r="AT76" s="1">
        <v>7.0000000000000001E-3</v>
      </c>
      <c r="AU76" s="1">
        <v>8.0000000000000002E-3</v>
      </c>
      <c r="AV76" s="1">
        <v>4.0000000000000001E-3</v>
      </c>
      <c r="AW76" s="1">
        <v>5.0000000000000001E-3</v>
      </c>
      <c r="AX76" s="1">
        <v>5.0000000000000001E-3</v>
      </c>
      <c r="AY76" s="1">
        <v>6.0000000000000001E-3</v>
      </c>
      <c r="AZ76" s="1">
        <v>8.0000000000000002E-3</v>
      </c>
      <c r="BA76" s="1">
        <v>1.2E-2</v>
      </c>
      <c r="BB76" s="1">
        <v>7.0000000000000001E-3</v>
      </c>
      <c r="BC76" s="1">
        <v>3.0000000000000001E-3</v>
      </c>
      <c r="BD76" s="1">
        <v>0.02</v>
      </c>
      <c r="BE76" s="1">
        <v>5.0000000000000001E-3</v>
      </c>
      <c r="BF76" s="1">
        <v>6.5000000000000002E-2</v>
      </c>
      <c r="BG76" s="1">
        <v>2E-3</v>
      </c>
      <c r="BH76" s="1">
        <v>1.4999999999999999E-2</v>
      </c>
      <c r="BI76" s="1">
        <v>3.0000000000000001E-3</v>
      </c>
      <c r="BJ76" s="1">
        <v>1E-3</v>
      </c>
      <c r="BK76" s="1">
        <v>3.0000000000000001E-3</v>
      </c>
      <c r="BL76" s="1">
        <v>7.0000000000000001E-3</v>
      </c>
      <c r="BM76" s="1">
        <v>4.0000000000000001E-3</v>
      </c>
      <c r="BN76" s="1">
        <v>8.0000000000000002E-3</v>
      </c>
      <c r="BO76" s="1">
        <v>8.9999999999999993E-3</v>
      </c>
      <c r="BP76" s="1">
        <v>3.0000000000000001E-3</v>
      </c>
      <c r="BQ76" s="1">
        <v>8.0000000000000002E-3</v>
      </c>
      <c r="BR76" s="1">
        <v>4.0000000000000001E-3</v>
      </c>
      <c r="BS76" s="1">
        <v>1.4E-2</v>
      </c>
      <c r="BT76" s="1">
        <v>2E-3</v>
      </c>
      <c r="BU76" s="1">
        <v>3.0000000000000001E-3</v>
      </c>
      <c r="BV76" s="1">
        <v>6.0000000000000001E-3</v>
      </c>
      <c r="BW76" s="1">
        <v>5.0000000000000001E-3</v>
      </c>
      <c r="BX76" s="1">
        <v>0.23300000000000001</v>
      </c>
      <c r="BY76" s="1">
        <v>0.01</v>
      </c>
      <c r="BZ76" s="1">
        <v>8.9999999999999993E-3</v>
      </c>
      <c r="CA76" s="1">
        <v>5.0000000000000001E-3</v>
      </c>
      <c r="CB76" s="1">
        <v>4.0000000000000001E-3</v>
      </c>
      <c r="CC76" s="1">
        <v>6.0000000000000001E-3</v>
      </c>
      <c r="CD76" s="1">
        <v>0</v>
      </c>
      <c r="CE76" s="1">
        <v>4.0000000000000001E-3</v>
      </c>
      <c r="CF76" s="1">
        <v>5.0000000000000001E-3</v>
      </c>
      <c r="CG76" s="1">
        <v>6.0000000000000001E-3</v>
      </c>
      <c r="CH76" s="1">
        <v>7.0000000000000001E-3</v>
      </c>
      <c r="CI76" s="1">
        <v>6.0000000000000001E-3</v>
      </c>
      <c r="CJ76" s="1">
        <v>0.01</v>
      </c>
      <c r="CK76" s="1">
        <v>0.253</v>
      </c>
      <c r="CL76" s="1">
        <v>1.2999999999999999E-2</v>
      </c>
      <c r="CM76" s="1">
        <v>82.550554259999998</v>
      </c>
      <c r="CN76" s="83">
        <v>-27.22254027</v>
      </c>
    </row>
    <row r="77" spans="1:92" s="3" customFormat="1" x14ac:dyDescent="0.25">
      <c r="A77" s="72">
        <v>74</v>
      </c>
      <c r="B77" s="81" t="s">
        <v>1378</v>
      </c>
      <c r="C77" s="1" t="s">
        <v>72</v>
      </c>
      <c r="D77" s="1" t="s">
        <v>79</v>
      </c>
      <c r="E77" s="1" t="s">
        <v>99</v>
      </c>
      <c r="F77" s="1" t="s">
        <v>93</v>
      </c>
      <c r="G77" s="1" t="s">
        <v>80</v>
      </c>
      <c r="H77" s="1" t="s">
        <v>34</v>
      </c>
      <c r="I77" s="1"/>
      <c r="J77" s="9" t="s">
        <v>544</v>
      </c>
      <c r="K77" s="10">
        <v>0.39912716666666698</v>
      </c>
      <c r="L77" s="1" t="s">
        <v>76</v>
      </c>
      <c r="M77" s="1" t="s">
        <v>506</v>
      </c>
      <c r="N77" s="1" t="s">
        <v>645</v>
      </c>
      <c r="O77" s="1" t="s">
        <v>34</v>
      </c>
      <c r="P77" s="82">
        <v>0.999</v>
      </c>
      <c r="Q77" s="1" t="s">
        <v>76</v>
      </c>
      <c r="R77" s="81" t="s">
        <v>77</v>
      </c>
      <c r="S77" s="1" t="s">
        <v>76</v>
      </c>
      <c r="T77" s="1" t="s">
        <v>78</v>
      </c>
      <c r="U77" s="1" t="s">
        <v>658</v>
      </c>
      <c r="V77" s="1" t="s">
        <v>655</v>
      </c>
      <c r="W77" s="1">
        <v>44</v>
      </c>
      <c r="X77" s="1" t="s">
        <v>134</v>
      </c>
      <c r="Y77" s="1" t="s">
        <v>645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1E-3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0.999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51.751115349999999</v>
      </c>
      <c r="CN77" s="83">
        <v>97.07173761</v>
      </c>
    </row>
    <row r="78" spans="1:92" s="3" customFormat="1" x14ac:dyDescent="0.25">
      <c r="A78" s="72">
        <v>75</v>
      </c>
      <c r="B78" s="81" t="s">
        <v>1310</v>
      </c>
      <c r="C78" s="1" t="s">
        <v>72</v>
      </c>
      <c r="D78" s="1" t="s">
        <v>79</v>
      </c>
      <c r="E78" s="1" t="s">
        <v>99</v>
      </c>
      <c r="F78" s="1" t="s">
        <v>93</v>
      </c>
      <c r="G78" s="1" t="s">
        <v>80</v>
      </c>
      <c r="H78" s="1" t="s">
        <v>34</v>
      </c>
      <c r="I78" s="1"/>
      <c r="J78" s="9" t="s">
        <v>544</v>
      </c>
      <c r="K78" s="10">
        <v>0.42168766666666702</v>
      </c>
      <c r="L78" s="1" t="s">
        <v>76</v>
      </c>
      <c r="M78" s="1" t="s">
        <v>506</v>
      </c>
      <c r="N78" s="1" t="s">
        <v>645</v>
      </c>
      <c r="O78" s="1" t="s">
        <v>34</v>
      </c>
      <c r="P78" s="82">
        <v>0.99099999999999999</v>
      </c>
      <c r="Q78" s="1" t="s">
        <v>76</v>
      </c>
      <c r="R78" s="81" t="s">
        <v>87</v>
      </c>
      <c r="S78" s="1" t="s">
        <v>76</v>
      </c>
      <c r="T78" s="1" t="s">
        <v>78</v>
      </c>
      <c r="U78" s="1" t="s">
        <v>658</v>
      </c>
      <c r="V78" s="1" t="s">
        <v>655</v>
      </c>
      <c r="W78" s="1">
        <v>38</v>
      </c>
      <c r="X78" s="1" t="s">
        <v>146</v>
      </c>
      <c r="Y78" s="1" t="s">
        <v>645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7.0000000000000001E-3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0.99099999999999999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1E-3</v>
      </c>
      <c r="CL78" s="1">
        <v>0</v>
      </c>
      <c r="CM78" s="1">
        <v>52.211236939999999</v>
      </c>
      <c r="CN78" s="83">
        <v>95.132885509999994</v>
      </c>
    </row>
    <row r="79" spans="1:92" s="3" customFormat="1" x14ac:dyDescent="0.25">
      <c r="A79" s="72">
        <v>76</v>
      </c>
      <c r="B79" s="81" t="s">
        <v>979</v>
      </c>
      <c r="C79" s="1" t="s">
        <v>72</v>
      </c>
      <c r="D79" s="1" t="s">
        <v>79</v>
      </c>
      <c r="E79" s="1" t="s">
        <v>74</v>
      </c>
      <c r="F79" s="1" t="s">
        <v>89</v>
      </c>
      <c r="G79" s="1" t="s">
        <v>76</v>
      </c>
      <c r="H79" s="1" t="s">
        <v>68</v>
      </c>
      <c r="I79" s="1"/>
      <c r="J79" s="9" t="s">
        <v>544</v>
      </c>
      <c r="K79" s="10">
        <v>0.319224333333334</v>
      </c>
      <c r="L79" s="1" t="s">
        <v>641</v>
      </c>
      <c r="M79" s="1" t="s">
        <v>76</v>
      </c>
      <c r="N79" s="1" t="s">
        <v>644</v>
      </c>
      <c r="O79" s="1" t="s">
        <v>5</v>
      </c>
      <c r="P79" s="82">
        <v>0.55900000000000005</v>
      </c>
      <c r="Q79" s="1" t="s">
        <v>76</v>
      </c>
      <c r="R79" s="81" t="s">
        <v>129</v>
      </c>
      <c r="S79" s="1">
        <v>3</v>
      </c>
      <c r="T79" s="1" t="s">
        <v>120</v>
      </c>
      <c r="U79" s="1" t="s">
        <v>658</v>
      </c>
      <c r="V79" s="1" t="s">
        <v>655</v>
      </c>
      <c r="W79" s="1">
        <v>48</v>
      </c>
      <c r="X79" s="1" t="s">
        <v>143</v>
      </c>
      <c r="Y79" s="1" t="s">
        <v>644</v>
      </c>
      <c r="Z79" s="1">
        <v>0.55900000000000005</v>
      </c>
      <c r="AA79" s="1">
        <v>2E-3</v>
      </c>
      <c r="AB79" s="1">
        <v>2E-3</v>
      </c>
      <c r="AC79" s="1">
        <v>7.9000000000000001E-2</v>
      </c>
      <c r="AD79" s="1">
        <v>2E-3</v>
      </c>
      <c r="AE79" s="1">
        <v>2E-3</v>
      </c>
      <c r="AF79" s="1">
        <v>1E-3</v>
      </c>
      <c r="AG79" s="1">
        <v>0</v>
      </c>
      <c r="AH79" s="1">
        <v>0.13700000000000001</v>
      </c>
      <c r="AI79" s="1">
        <v>2.7E-2</v>
      </c>
      <c r="AJ79" s="1">
        <v>1E-3</v>
      </c>
      <c r="AK79" s="1">
        <v>1E-3</v>
      </c>
      <c r="AL79" s="1">
        <v>0</v>
      </c>
      <c r="AM79" s="1">
        <v>1E-3</v>
      </c>
      <c r="AN79" s="1">
        <v>1.2E-2</v>
      </c>
      <c r="AO79" s="1">
        <v>1E-3</v>
      </c>
      <c r="AP79" s="1">
        <v>2E-3</v>
      </c>
      <c r="AQ79" s="1">
        <v>1E-3</v>
      </c>
      <c r="AR79" s="1">
        <v>1E-3</v>
      </c>
      <c r="AS79" s="1">
        <v>3.0000000000000001E-3</v>
      </c>
      <c r="AT79" s="1">
        <v>2E-3</v>
      </c>
      <c r="AU79" s="1">
        <v>2E-3</v>
      </c>
      <c r="AV79" s="1">
        <v>2E-3</v>
      </c>
      <c r="AW79" s="1">
        <v>2E-3</v>
      </c>
      <c r="AX79" s="1">
        <v>4.0000000000000001E-3</v>
      </c>
      <c r="AY79" s="1">
        <v>5.0000000000000001E-3</v>
      </c>
      <c r="AZ79" s="1">
        <v>2E-3</v>
      </c>
      <c r="BA79" s="1">
        <v>8.9999999999999993E-3</v>
      </c>
      <c r="BB79" s="1">
        <v>1E-3</v>
      </c>
      <c r="BC79" s="1">
        <v>1E-3</v>
      </c>
      <c r="BD79" s="1">
        <v>1.2E-2</v>
      </c>
      <c r="BE79" s="1">
        <v>1E-3</v>
      </c>
      <c r="BF79" s="1">
        <v>0.01</v>
      </c>
      <c r="BG79" s="1">
        <v>0</v>
      </c>
      <c r="BH79" s="1">
        <v>1.4999999999999999E-2</v>
      </c>
      <c r="BI79" s="1">
        <v>1E-3</v>
      </c>
      <c r="BJ79" s="1">
        <v>0</v>
      </c>
      <c r="BK79" s="1">
        <v>1E-3</v>
      </c>
      <c r="BL79" s="1">
        <v>3.0000000000000001E-3</v>
      </c>
      <c r="BM79" s="1">
        <v>2E-3</v>
      </c>
      <c r="BN79" s="1">
        <v>2E-3</v>
      </c>
      <c r="BO79" s="1">
        <v>1E-3</v>
      </c>
      <c r="BP79" s="1">
        <v>0</v>
      </c>
      <c r="BQ79" s="1">
        <v>2E-3</v>
      </c>
      <c r="BR79" s="1">
        <v>5.0000000000000001E-3</v>
      </c>
      <c r="BS79" s="1">
        <v>1E-3</v>
      </c>
      <c r="BT79" s="1">
        <v>1E-3</v>
      </c>
      <c r="BU79" s="1">
        <v>3.0000000000000001E-3</v>
      </c>
      <c r="BV79" s="1">
        <v>1E-3</v>
      </c>
      <c r="BW79" s="1">
        <v>1E-3</v>
      </c>
      <c r="BX79" s="1">
        <v>7.0000000000000001E-3</v>
      </c>
      <c r="BY79" s="1">
        <v>6.0000000000000001E-3</v>
      </c>
      <c r="BZ79" s="1">
        <v>2E-3</v>
      </c>
      <c r="CA79" s="1">
        <v>2E-3</v>
      </c>
      <c r="CB79" s="1">
        <v>1E-3</v>
      </c>
      <c r="CC79" s="1">
        <v>2E-3</v>
      </c>
      <c r="CD79" s="1">
        <v>0</v>
      </c>
      <c r="CE79" s="1">
        <v>2E-3</v>
      </c>
      <c r="CF79" s="1">
        <v>2E-3</v>
      </c>
      <c r="CG79" s="1">
        <v>1.0999999999999999E-2</v>
      </c>
      <c r="CH79" s="1">
        <v>2E-3</v>
      </c>
      <c r="CI79" s="1">
        <v>2E-3</v>
      </c>
      <c r="CJ79" s="1">
        <v>6.0000000000000001E-3</v>
      </c>
      <c r="CK79" s="1">
        <v>2.3E-2</v>
      </c>
      <c r="CL79" s="1">
        <v>3.0000000000000001E-3</v>
      </c>
      <c r="CM79" s="1">
        <v>2.1341080689999998</v>
      </c>
      <c r="CN79" s="83">
        <v>-47.473929579999997</v>
      </c>
    </row>
    <row r="80" spans="1:92" s="3" customFormat="1" x14ac:dyDescent="0.25">
      <c r="A80" s="72">
        <v>77</v>
      </c>
      <c r="B80" s="81" t="s">
        <v>1464</v>
      </c>
      <c r="C80" s="1" t="s">
        <v>72</v>
      </c>
      <c r="D80" s="1" t="s">
        <v>79</v>
      </c>
      <c r="E80" s="1" t="s">
        <v>99</v>
      </c>
      <c r="F80" s="1" t="s">
        <v>144</v>
      </c>
      <c r="G80" s="1" t="s">
        <v>94</v>
      </c>
      <c r="H80" s="1" t="s">
        <v>532</v>
      </c>
      <c r="I80" s="1"/>
      <c r="J80" s="9" t="s">
        <v>506</v>
      </c>
      <c r="K80" s="10">
        <v>0.50602166666666704</v>
      </c>
      <c r="L80" s="1" t="s">
        <v>564</v>
      </c>
      <c r="M80" s="1" t="s">
        <v>506</v>
      </c>
      <c r="N80" s="1" t="s">
        <v>647</v>
      </c>
      <c r="O80" s="1" t="s">
        <v>55</v>
      </c>
      <c r="P80" s="82">
        <v>0.98699999999999999</v>
      </c>
      <c r="Q80" s="1" t="s">
        <v>76</v>
      </c>
      <c r="R80" s="81" t="s">
        <v>87</v>
      </c>
      <c r="S80" s="1">
        <v>3</v>
      </c>
      <c r="T80" s="1" t="s">
        <v>78</v>
      </c>
      <c r="U80" s="1" t="s">
        <v>659</v>
      </c>
      <c r="V80" s="1" t="s">
        <v>655</v>
      </c>
      <c r="W80" s="1">
        <v>40</v>
      </c>
      <c r="X80" s="1" t="s">
        <v>147</v>
      </c>
      <c r="Y80" s="1" t="s">
        <v>647</v>
      </c>
      <c r="Z80" s="1">
        <v>0</v>
      </c>
      <c r="AA80" s="1">
        <v>0</v>
      </c>
      <c r="AB80" s="1">
        <v>0</v>
      </c>
      <c r="AC80" s="1">
        <v>1E-3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1E-3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0.98699999999999999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2E-3</v>
      </c>
      <c r="CL80" s="1">
        <v>0</v>
      </c>
      <c r="CM80" s="1">
        <v>80.316720219999993</v>
      </c>
      <c r="CN80" s="83">
        <v>-24.552184910000001</v>
      </c>
    </row>
    <row r="81" spans="1:92" s="3" customFormat="1" x14ac:dyDescent="0.25">
      <c r="A81" s="72">
        <v>78</v>
      </c>
      <c r="B81" s="81" t="s">
        <v>1254</v>
      </c>
      <c r="C81" s="1" t="s">
        <v>72</v>
      </c>
      <c r="D81" s="1" t="s">
        <v>79</v>
      </c>
      <c r="E81" s="1" t="s">
        <v>74</v>
      </c>
      <c r="F81" s="1" t="s">
        <v>113</v>
      </c>
      <c r="G81" s="1" t="s">
        <v>80</v>
      </c>
      <c r="H81" s="1" t="s">
        <v>530</v>
      </c>
      <c r="I81" s="1"/>
      <c r="J81" s="9" t="s">
        <v>506</v>
      </c>
      <c r="K81" s="10">
        <v>0.329000666666667</v>
      </c>
      <c r="L81" s="1" t="s">
        <v>641</v>
      </c>
      <c r="M81" s="1" t="s">
        <v>76</v>
      </c>
      <c r="N81" s="1" t="s">
        <v>644</v>
      </c>
      <c r="O81" s="1" t="s">
        <v>37</v>
      </c>
      <c r="P81" s="82">
        <v>0.39800000000000002</v>
      </c>
      <c r="Q81" s="1" t="s">
        <v>76</v>
      </c>
      <c r="R81" s="81" t="s">
        <v>87</v>
      </c>
      <c r="S81" s="1" t="s">
        <v>76</v>
      </c>
      <c r="T81" s="1" t="s">
        <v>78</v>
      </c>
      <c r="U81" s="1" t="s">
        <v>658</v>
      </c>
      <c r="V81" s="1" t="s">
        <v>655</v>
      </c>
      <c r="W81" s="1">
        <v>23</v>
      </c>
      <c r="X81" s="1" t="s">
        <v>76</v>
      </c>
      <c r="Y81" s="1" t="s">
        <v>644</v>
      </c>
      <c r="Z81" s="1">
        <v>2E-3</v>
      </c>
      <c r="AA81" s="1">
        <v>2E-3</v>
      </c>
      <c r="AB81" s="1">
        <v>2E-3</v>
      </c>
      <c r="AC81" s="1">
        <v>3.6999999999999998E-2</v>
      </c>
      <c r="AD81" s="1">
        <v>4.0000000000000001E-3</v>
      </c>
      <c r="AE81" s="1">
        <v>5.0000000000000001E-3</v>
      </c>
      <c r="AF81" s="1">
        <v>3.0000000000000001E-3</v>
      </c>
      <c r="AG81" s="1">
        <v>0</v>
      </c>
      <c r="AH81" s="1">
        <v>7.0000000000000001E-3</v>
      </c>
      <c r="AI81" s="1">
        <v>5.0000000000000001E-3</v>
      </c>
      <c r="AJ81" s="1">
        <v>1E-3</v>
      </c>
      <c r="AK81" s="1">
        <v>7.0000000000000001E-3</v>
      </c>
      <c r="AL81" s="1">
        <v>0</v>
      </c>
      <c r="AM81" s="1">
        <v>1E-3</v>
      </c>
      <c r="AN81" s="1">
        <v>3.6999999999999998E-2</v>
      </c>
      <c r="AO81" s="1">
        <v>3.0000000000000001E-3</v>
      </c>
      <c r="AP81" s="1">
        <v>5.0000000000000001E-3</v>
      </c>
      <c r="AQ81" s="1">
        <v>1E-3</v>
      </c>
      <c r="AR81" s="1">
        <v>1E-3</v>
      </c>
      <c r="AS81" s="1">
        <v>7.0000000000000001E-3</v>
      </c>
      <c r="AT81" s="1">
        <v>4.0000000000000001E-3</v>
      </c>
      <c r="AU81" s="1">
        <v>2E-3</v>
      </c>
      <c r="AV81" s="1">
        <v>1E-3</v>
      </c>
      <c r="AW81" s="1">
        <v>3.0000000000000001E-3</v>
      </c>
      <c r="AX81" s="1">
        <v>1E-3</v>
      </c>
      <c r="AY81" s="1">
        <v>4.0000000000000001E-3</v>
      </c>
      <c r="AZ81" s="1">
        <v>6.0000000000000001E-3</v>
      </c>
      <c r="BA81" s="1">
        <v>1.0999999999999999E-2</v>
      </c>
      <c r="BB81" s="1">
        <v>2E-3</v>
      </c>
      <c r="BC81" s="1">
        <v>1E-3</v>
      </c>
      <c r="BD81" s="1">
        <v>1.2999999999999999E-2</v>
      </c>
      <c r="BE81" s="1">
        <v>2E-3</v>
      </c>
      <c r="BF81" s="1">
        <v>0.39800000000000002</v>
      </c>
      <c r="BG81" s="1">
        <v>1E-3</v>
      </c>
      <c r="BH81" s="1">
        <v>0.18099999999999999</v>
      </c>
      <c r="BI81" s="1">
        <v>1E-3</v>
      </c>
      <c r="BJ81" s="1">
        <v>1E-3</v>
      </c>
      <c r="BK81" s="1">
        <v>1E-3</v>
      </c>
      <c r="BL81" s="1">
        <v>3.0000000000000001E-3</v>
      </c>
      <c r="BM81" s="1">
        <v>2E-3</v>
      </c>
      <c r="BN81" s="1">
        <v>3.0000000000000001E-3</v>
      </c>
      <c r="BO81" s="1">
        <v>1E-3</v>
      </c>
      <c r="BP81" s="1">
        <v>0</v>
      </c>
      <c r="BQ81" s="1">
        <v>5.0000000000000001E-3</v>
      </c>
      <c r="BR81" s="1">
        <v>3.0000000000000001E-3</v>
      </c>
      <c r="BS81" s="1">
        <v>2E-3</v>
      </c>
      <c r="BT81" s="1">
        <v>2E-3</v>
      </c>
      <c r="BU81" s="1">
        <v>0.128</v>
      </c>
      <c r="BV81" s="1">
        <v>1E-3</v>
      </c>
      <c r="BW81" s="1">
        <v>2E-3</v>
      </c>
      <c r="BX81" s="1">
        <v>2.3E-2</v>
      </c>
      <c r="BY81" s="1">
        <v>8.0000000000000002E-3</v>
      </c>
      <c r="BZ81" s="1">
        <v>3.0000000000000001E-3</v>
      </c>
      <c r="CA81" s="1">
        <v>3.0000000000000001E-3</v>
      </c>
      <c r="CB81" s="1">
        <v>1E-3</v>
      </c>
      <c r="CC81" s="1">
        <v>2E-3</v>
      </c>
      <c r="CD81" s="1">
        <v>0</v>
      </c>
      <c r="CE81" s="1">
        <v>2E-3</v>
      </c>
      <c r="CF81" s="1">
        <v>3.0000000000000001E-3</v>
      </c>
      <c r="CG81" s="1">
        <v>3.0000000000000001E-3</v>
      </c>
      <c r="CH81" s="1">
        <v>4.0000000000000001E-3</v>
      </c>
      <c r="CI81" s="1">
        <v>7.0000000000000001E-3</v>
      </c>
      <c r="CJ81" s="1">
        <v>6.0000000000000001E-3</v>
      </c>
      <c r="CK81" s="1">
        <v>1.4999999999999999E-2</v>
      </c>
      <c r="CL81" s="1">
        <v>7.0000000000000001E-3</v>
      </c>
      <c r="CM81" s="1">
        <v>20.003532700000001</v>
      </c>
      <c r="CN81" s="83">
        <v>121.7154407</v>
      </c>
    </row>
    <row r="82" spans="1:92" s="3" customFormat="1" x14ac:dyDescent="0.25">
      <c r="A82" s="72">
        <v>517</v>
      </c>
      <c r="B82" s="81" t="s">
        <v>1602</v>
      </c>
      <c r="C82" s="1" t="s">
        <v>83</v>
      </c>
      <c r="D82" s="1" t="s">
        <v>73</v>
      </c>
      <c r="E82" s="1" t="s">
        <v>74</v>
      </c>
      <c r="F82" s="1" t="s">
        <v>327</v>
      </c>
      <c r="G82" s="1" t="s">
        <v>328</v>
      </c>
      <c r="H82" s="1" t="s">
        <v>327</v>
      </c>
      <c r="I82" s="1"/>
      <c r="J82" s="9" t="s">
        <v>544</v>
      </c>
      <c r="K82" s="10">
        <v>0.37448616666666601</v>
      </c>
      <c r="L82" s="1" t="s">
        <v>637</v>
      </c>
      <c r="M82" s="1" t="s">
        <v>506</v>
      </c>
      <c r="N82" s="1" t="s">
        <v>648</v>
      </c>
      <c r="O82" s="1" t="s">
        <v>27</v>
      </c>
      <c r="P82" s="82">
        <v>0.99399999999999999</v>
      </c>
      <c r="Q82" s="1" t="s">
        <v>76</v>
      </c>
      <c r="R82" s="81" t="s">
        <v>329</v>
      </c>
      <c r="S82" s="1">
        <v>3</v>
      </c>
      <c r="T82" s="1" t="s">
        <v>330</v>
      </c>
      <c r="U82" s="1" t="s">
        <v>658</v>
      </c>
      <c r="V82" s="1" t="s">
        <v>655</v>
      </c>
      <c r="W82" s="1">
        <v>46</v>
      </c>
      <c r="X82" s="1" t="s">
        <v>76</v>
      </c>
      <c r="Y82" s="1" t="s">
        <v>648</v>
      </c>
      <c r="Z82" s="1">
        <v>0</v>
      </c>
      <c r="AA82" s="1">
        <v>0</v>
      </c>
      <c r="AB82" s="1">
        <v>0</v>
      </c>
      <c r="AC82" s="1">
        <v>3.0000000000000001E-3</v>
      </c>
      <c r="AD82" s="1">
        <v>1E-3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0.99399999999999999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-53.744013099999997</v>
      </c>
      <c r="CN82" s="83">
        <v>-10.35602533</v>
      </c>
    </row>
    <row r="83" spans="1:92" s="3" customFormat="1" x14ac:dyDescent="0.25">
      <c r="A83" s="72">
        <v>80</v>
      </c>
      <c r="B83" s="81" t="s">
        <v>1395</v>
      </c>
      <c r="C83" s="1" t="s">
        <v>72</v>
      </c>
      <c r="D83" s="1" t="s">
        <v>79</v>
      </c>
      <c r="E83" s="1" t="s">
        <v>74</v>
      </c>
      <c r="F83" s="1" t="s">
        <v>93</v>
      </c>
      <c r="G83" s="1" t="s">
        <v>80</v>
      </c>
      <c r="H83" s="1" t="s">
        <v>34</v>
      </c>
      <c r="I83" s="1"/>
      <c r="J83" s="9" t="s">
        <v>544</v>
      </c>
      <c r="K83" s="10">
        <v>0.35543683333333298</v>
      </c>
      <c r="L83" s="1" t="s">
        <v>641</v>
      </c>
      <c r="M83" s="1" t="s">
        <v>76</v>
      </c>
      <c r="N83" s="1" t="s">
        <v>644</v>
      </c>
      <c r="O83" s="1" t="s">
        <v>16</v>
      </c>
      <c r="P83" s="82">
        <v>0.16700000000000001</v>
      </c>
      <c r="Q83" s="1" t="s">
        <v>76</v>
      </c>
      <c r="R83" s="81" t="s">
        <v>149</v>
      </c>
      <c r="S83" s="1" t="s">
        <v>76</v>
      </c>
      <c r="T83" s="1" t="s">
        <v>78</v>
      </c>
      <c r="U83" s="1" t="s">
        <v>658</v>
      </c>
      <c r="V83" s="1" t="s">
        <v>655</v>
      </c>
      <c r="W83" s="1">
        <v>17</v>
      </c>
      <c r="X83" s="1" t="s">
        <v>101</v>
      </c>
      <c r="Y83" s="1" t="s">
        <v>644</v>
      </c>
      <c r="Z83" s="1">
        <v>4.0000000000000001E-3</v>
      </c>
      <c r="AA83" s="1">
        <v>6.0000000000000001E-3</v>
      </c>
      <c r="AB83" s="1">
        <v>7.0000000000000001E-3</v>
      </c>
      <c r="AC83" s="1">
        <v>1.9E-2</v>
      </c>
      <c r="AD83" s="1">
        <v>8.0000000000000002E-3</v>
      </c>
      <c r="AE83" s="1">
        <v>3.5999999999999997E-2</v>
      </c>
      <c r="AF83" s="1">
        <v>8.0000000000000002E-3</v>
      </c>
      <c r="AG83" s="1">
        <v>1E-3</v>
      </c>
      <c r="AH83" s="1">
        <v>3.7999999999999999E-2</v>
      </c>
      <c r="AI83" s="1">
        <v>2E-3</v>
      </c>
      <c r="AJ83" s="1">
        <v>6.4000000000000001E-2</v>
      </c>
      <c r="AK83" s="1">
        <v>0.16700000000000001</v>
      </c>
      <c r="AL83" s="1">
        <v>3.0000000000000001E-3</v>
      </c>
      <c r="AM83" s="1">
        <v>8.0000000000000002E-3</v>
      </c>
      <c r="AN83" s="1">
        <v>3.6999999999999998E-2</v>
      </c>
      <c r="AO83" s="1">
        <v>6.0000000000000001E-3</v>
      </c>
      <c r="AP83" s="1">
        <v>5.0000000000000001E-3</v>
      </c>
      <c r="AQ83" s="1">
        <v>4.0000000000000001E-3</v>
      </c>
      <c r="AR83" s="1">
        <v>1.7999999999999999E-2</v>
      </c>
      <c r="AS83" s="1">
        <v>1.9E-2</v>
      </c>
      <c r="AT83" s="1">
        <v>8.9999999999999993E-3</v>
      </c>
      <c r="AU83" s="1">
        <v>7.0000000000000001E-3</v>
      </c>
      <c r="AV83" s="1">
        <v>6.0000000000000001E-3</v>
      </c>
      <c r="AW83" s="1">
        <v>1.4E-2</v>
      </c>
      <c r="AX83" s="1">
        <v>6.0000000000000001E-3</v>
      </c>
      <c r="AY83" s="1">
        <v>8.0000000000000002E-3</v>
      </c>
      <c r="AZ83" s="1">
        <v>1.6E-2</v>
      </c>
      <c r="BA83" s="1">
        <v>3.1E-2</v>
      </c>
      <c r="BB83" s="1">
        <v>1.6E-2</v>
      </c>
      <c r="BC83" s="1">
        <v>3.0000000000000001E-3</v>
      </c>
      <c r="BD83" s="1">
        <v>3.2000000000000001E-2</v>
      </c>
      <c r="BE83" s="1">
        <v>6.0000000000000001E-3</v>
      </c>
      <c r="BF83" s="1">
        <v>2E-3</v>
      </c>
      <c r="BG83" s="1">
        <v>6.0000000000000001E-3</v>
      </c>
      <c r="BH83" s="1">
        <v>5.0000000000000001E-3</v>
      </c>
      <c r="BI83" s="1">
        <v>4.0000000000000001E-3</v>
      </c>
      <c r="BJ83" s="1">
        <v>2E-3</v>
      </c>
      <c r="BK83" s="1">
        <v>3.0000000000000001E-3</v>
      </c>
      <c r="BL83" s="1">
        <v>8.0000000000000002E-3</v>
      </c>
      <c r="BM83" s="1">
        <v>4.0000000000000001E-3</v>
      </c>
      <c r="BN83" s="1">
        <v>8.0000000000000002E-3</v>
      </c>
      <c r="BO83" s="1">
        <v>1.7000000000000001E-2</v>
      </c>
      <c r="BP83" s="1">
        <v>2E-3</v>
      </c>
      <c r="BQ83" s="1">
        <v>1.2E-2</v>
      </c>
      <c r="BR83" s="1">
        <v>5.0000000000000001E-3</v>
      </c>
      <c r="BS83" s="1">
        <v>8.0000000000000002E-3</v>
      </c>
      <c r="BT83" s="1">
        <v>4.0000000000000001E-3</v>
      </c>
      <c r="BU83" s="1">
        <v>1.7999999999999999E-2</v>
      </c>
      <c r="BV83" s="1">
        <v>1.7000000000000001E-2</v>
      </c>
      <c r="BW83" s="1">
        <v>6.0000000000000001E-3</v>
      </c>
      <c r="BX83" s="1">
        <v>4.3999999999999997E-2</v>
      </c>
      <c r="BY83" s="1">
        <v>1.4E-2</v>
      </c>
      <c r="BZ83" s="1">
        <v>1.0999999999999999E-2</v>
      </c>
      <c r="CA83" s="1">
        <v>0.01</v>
      </c>
      <c r="CB83" s="1">
        <v>4.0000000000000001E-3</v>
      </c>
      <c r="CC83" s="1">
        <v>8.0000000000000002E-3</v>
      </c>
      <c r="CD83" s="1">
        <v>1E-3</v>
      </c>
      <c r="CE83" s="1">
        <v>5.0000000000000001E-3</v>
      </c>
      <c r="CF83" s="1">
        <v>5.0000000000000001E-3</v>
      </c>
      <c r="CG83" s="1">
        <v>1.4999999999999999E-2</v>
      </c>
      <c r="CH83" s="1">
        <v>1.0999999999999999E-2</v>
      </c>
      <c r="CI83" s="1">
        <v>0.01</v>
      </c>
      <c r="CJ83" s="1">
        <v>1.4999999999999999E-2</v>
      </c>
      <c r="CK83" s="1">
        <v>8.5999999999999993E-2</v>
      </c>
      <c r="CL83" s="1">
        <v>1.7999999999999999E-2</v>
      </c>
      <c r="CM83" s="1">
        <v>8.6590386689999992</v>
      </c>
      <c r="CN83" s="83">
        <v>132.86716860000001</v>
      </c>
    </row>
    <row r="84" spans="1:92" s="3" customFormat="1" x14ac:dyDescent="0.25">
      <c r="A84" s="72">
        <v>81</v>
      </c>
      <c r="B84" s="81" t="s">
        <v>1269</v>
      </c>
      <c r="C84" s="1" t="s">
        <v>72</v>
      </c>
      <c r="D84" s="1" t="s">
        <v>79</v>
      </c>
      <c r="E84" s="1" t="s">
        <v>74</v>
      </c>
      <c r="F84" s="1" t="s">
        <v>105</v>
      </c>
      <c r="G84" s="1" t="s">
        <v>80</v>
      </c>
      <c r="H84" s="1" t="s">
        <v>33</v>
      </c>
      <c r="I84" s="1"/>
      <c r="J84" s="9" t="s">
        <v>544</v>
      </c>
      <c r="K84" s="10">
        <v>0.41485366666666701</v>
      </c>
      <c r="L84" s="1" t="s">
        <v>76</v>
      </c>
      <c r="M84" s="1" t="s">
        <v>506</v>
      </c>
      <c r="N84" s="1" t="s">
        <v>645</v>
      </c>
      <c r="O84" s="1" t="s">
        <v>33</v>
      </c>
      <c r="P84" s="82">
        <v>0.999</v>
      </c>
      <c r="Q84" s="1" t="s">
        <v>76</v>
      </c>
      <c r="R84" s="81" t="s">
        <v>87</v>
      </c>
      <c r="S84" s="1" t="s">
        <v>76</v>
      </c>
      <c r="T84" s="1" t="s">
        <v>78</v>
      </c>
      <c r="U84" s="1" t="s">
        <v>658</v>
      </c>
      <c r="V84" s="1" t="s">
        <v>655</v>
      </c>
      <c r="W84" s="1">
        <v>23</v>
      </c>
      <c r="X84" s="1" t="s">
        <v>150</v>
      </c>
      <c r="Y84" s="1" t="s">
        <v>645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0.999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-13.75249885</v>
      </c>
      <c r="CN84" s="83">
        <v>125.6990459</v>
      </c>
    </row>
    <row r="85" spans="1:92" s="3" customFormat="1" x14ac:dyDescent="0.25">
      <c r="A85" s="72">
        <v>82</v>
      </c>
      <c r="B85" s="81" t="s">
        <v>1231</v>
      </c>
      <c r="C85" s="1" t="s">
        <v>72</v>
      </c>
      <c r="D85" s="1" t="s">
        <v>79</v>
      </c>
      <c r="E85" s="1" t="s">
        <v>74</v>
      </c>
      <c r="F85" s="1" t="s">
        <v>93</v>
      </c>
      <c r="G85" s="1" t="s">
        <v>103</v>
      </c>
      <c r="H85" s="1" t="s">
        <v>34</v>
      </c>
      <c r="I85" s="1"/>
      <c r="J85" s="9" t="s">
        <v>544</v>
      </c>
      <c r="K85" s="10">
        <v>0.421158166666667</v>
      </c>
      <c r="L85" s="1" t="s">
        <v>76</v>
      </c>
      <c r="M85" s="1" t="s">
        <v>506</v>
      </c>
      <c r="N85" s="1" t="s">
        <v>645</v>
      </c>
      <c r="O85" s="1" t="s">
        <v>34</v>
      </c>
      <c r="P85" s="82">
        <v>1</v>
      </c>
      <c r="Q85" s="1" t="s">
        <v>76</v>
      </c>
      <c r="R85" s="81" t="s">
        <v>151</v>
      </c>
      <c r="S85" s="1" t="s">
        <v>76</v>
      </c>
      <c r="T85" s="1" t="s">
        <v>78</v>
      </c>
      <c r="U85" s="1" t="s">
        <v>658</v>
      </c>
      <c r="V85" s="1" t="s">
        <v>655</v>
      </c>
      <c r="W85" s="1">
        <v>30</v>
      </c>
      <c r="X85" s="1" t="s">
        <v>132</v>
      </c>
      <c r="Y85" s="1" t="s">
        <v>645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1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53.562976450000001</v>
      </c>
      <c r="CN85" s="83">
        <v>96.408349049999998</v>
      </c>
    </row>
    <row r="86" spans="1:92" s="3" customFormat="1" x14ac:dyDescent="0.25">
      <c r="A86" s="72">
        <v>83</v>
      </c>
      <c r="B86" s="81" t="s">
        <v>1243</v>
      </c>
      <c r="C86" s="1" t="s">
        <v>72</v>
      </c>
      <c r="D86" s="1" t="s">
        <v>79</v>
      </c>
      <c r="E86" s="1" t="s">
        <v>74</v>
      </c>
      <c r="F86" s="1" t="s">
        <v>93</v>
      </c>
      <c r="G86" s="1" t="s">
        <v>80</v>
      </c>
      <c r="H86" s="1" t="s">
        <v>34</v>
      </c>
      <c r="I86" s="1"/>
      <c r="J86" s="9" t="s">
        <v>544</v>
      </c>
      <c r="K86" s="10">
        <v>0.39136850000000101</v>
      </c>
      <c r="L86" s="1" t="s">
        <v>76</v>
      </c>
      <c r="M86" s="1" t="s">
        <v>506</v>
      </c>
      <c r="N86" s="1" t="s">
        <v>645</v>
      </c>
      <c r="O86" s="1" t="s">
        <v>34</v>
      </c>
      <c r="P86" s="82">
        <v>1</v>
      </c>
      <c r="Q86" s="1" t="s">
        <v>76</v>
      </c>
      <c r="R86" s="81" t="s">
        <v>77</v>
      </c>
      <c r="S86" s="1" t="s">
        <v>76</v>
      </c>
      <c r="T86" s="1" t="s">
        <v>78</v>
      </c>
      <c r="U86" s="1" t="s">
        <v>658</v>
      </c>
      <c r="V86" s="1" t="s">
        <v>655</v>
      </c>
      <c r="W86" s="1">
        <v>36</v>
      </c>
      <c r="X86" s="1" t="s">
        <v>132</v>
      </c>
      <c r="Y86" s="1" t="s">
        <v>645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1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48.323679599999998</v>
      </c>
      <c r="CN86" s="83">
        <v>95.835199029999998</v>
      </c>
    </row>
    <row r="87" spans="1:92" s="3" customFormat="1" x14ac:dyDescent="0.25">
      <c r="A87" s="72">
        <v>84</v>
      </c>
      <c r="B87" s="81" t="s">
        <v>1355</v>
      </c>
      <c r="C87" s="1" t="s">
        <v>72</v>
      </c>
      <c r="D87" s="1" t="s">
        <v>79</v>
      </c>
      <c r="E87" s="1" t="s">
        <v>74</v>
      </c>
      <c r="F87" s="1" t="s">
        <v>93</v>
      </c>
      <c r="G87" s="1" t="s">
        <v>80</v>
      </c>
      <c r="H87" s="1" t="s">
        <v>34</v>
      </c>
      <c r="I87" s="1"/>
      <c r="J87" s="9" t="s">
        <v>544</v>
      </c>
      <c r="K87" s="10">
        <v>0.40726699999999999</v>
      </c>
      <c r="L87" s="1" t="s">
        <v>76</v>
      </c>
      <c r="M87" s="1" t="s">
        <v>506</v>
      </c>
      <c r="N87" s="1" t="s">
        <v>645</v>
      </c>
      <c r="O87" s="1" t="s">
        <v>34</v>
      </c>
      <c r="P87" s="82">
        <v>1</v>
      </c>
      <c r="Q87" s="1" t="s">
        <v>76</v>
      </c>
      <c r="R87" s="81" t="s">
        <v>77</v>
      </c>
      <c r="S87" s="1" t="s">
        <v>76</v>
      </c>
      <c r="T87" s="1" t="s">
        <v>78</v>
      </c>
      <c r="U87" s="1" t="s">
        <v>658</v>
      </c>
      <c r="V87" s="1" t="s">
        <v>655</v>
      </c>
      <c r="W87" s="1">
        <v>20</v>
      </c>
      <c r="X87" s="1" t="s">
        <v>152</v>
      </c>
      <c r="Y87" s="1" t="s">
        <v>645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1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51.140380669999999</v>
      </c>
      <c r="CN87" s="83">
        <v>94.352075790000001</v>
      </c>
    </row>
    <row r="88" spans="1:92" s="3" customFormat="1" x14ac:dyDescent="0.25">
      <c r="A88" s="72">
        <v>85</v>
      </c>
      <c r="B88" s="81" t="s">
        <v>1314</v>
      </c>
      <c r="C88" s="1" t="s">
        <v>72</v>
      </c>
      <c r="D88" s="1" t="s">
        <v>79</v>
      </c>
      <c r="E88" s="1" t="s">
        <v>74</v>
      </c>
      <c r="F88" s="1" t="s">
        <v>113</v>
      </c>
      <c r="G88" s="1" t="s">
        <v>80</v>
      </c>
      <c r="H88" s="1" t="s">
        <v>530</v>
      </c>
      <c r="I88" s="1"/>
      <c r="J88" s="9" t="s">
        <v>506</v>
      </c>
      <c r="K88" s="10">
        <v>0.31382033333333298</v>
      </c>
      <c r="L88" s="1" t="s">
        <v>641</v>
      </c>
      <c r="M88" s="1" t="s">
        <v>76</v>
      </c>
      <c r="N88" s="1" t="s">
        <v>644</v>
      </c>
      <c r="O88" s="1" t="s">
        <v>68</v>
      </c>
      <c r="P88" s="82">
        <v>0.248</v>
      </c>
      <c r="Q88" s="1" t="s">
        <v>76</v>
      </c>
      <c r="R88" s="81" t="s">
        <v>153</v>
      </c>
      <c r="S88" s="1" t="s">
        <v>76</v>
      </c>
      <c r="T88" s="1" t="s">
        <v>78</v>
      </c>
      <c r="U88" s="1" t="s">
        <v>658</v>
      </c>
      <c r="V88" s="1" t="s">
        <v>655</v>
      </c>
      <c r="W88" s="1">
        <v>8</v>
      </c>
      <c r="X88" s="1" t="s">
        <v>76</v>
      </c>
      <c r="Y88" s="1" t="s">
        <v>644</v>
      </c>
      <c r="Z88" s="1">
        <v>3.6999999999999998E-2</v>
      </c>
      <c r="AA88" s="1">
        <v>5.0000000000000001E-3</v>
      </c>
      <c r="AB88" s="1">
        <v>4.0000000000000001E-3</v>
      </c>
      <c r="AC88" s="1">
        <v>0.01</v>
      </c>
      <c r="AD88" s="1">
        <v>8.0000000000000002E-3</v>
      </c>
      <c r="AE88" s="1">
        <v>6.0000000000000001E-3</v>
      </c>
      <c r="AF88" s="1">
        <v>6.0000000000000001E-3</v>
      </c>
      <c r="AG88" s="1">
        <v>0</v>
      </c>
      <c r="AH88" s="1">
        <v>1.4E-2</v>
      </c>
      <c r="AI88" s="1">
        <v>3.0000000000000001E-3</v>
      </c>
      <c r="AJ88" s="1">
        <v>6.0000000000000001E-3</v>
      </c>
      <c r="AK88" s="1">
        <v>0.01</v>
      </c>
      <c r="AL88" s="1">
        <v>0</v>
      </c>
      <c r="AM88" s="1">
        <v>4.0000000000000001E-3</v>
      </c>
      <c r="AN88" s="1">
        <v>4.7E-2</v>
      </c>
      <c r="AO88" s="1">
        <v>2E-3</v>
      </c>
      <c r="AP88" s="1">
        <v>2E-3</v>
      </c>
      <c r="AQ88" s="1">
        <v>2E-3</v>
      </c>
      <c r="AR88" s="1">
        <v>0.105</v>
      </c>
      <c r="AS88" s="1">
        <v>7.0000000000000001E-3</v>
      </c>
      <c r="AT88" s="1">
        <v>4.0000000000000001E-3</v>
      </c>
      <c r="AU88" s="1">
        <v>1.4999999999999999E-2</v>
      </c>
      <c r="AV88" s="1">
        <v>3.0000000000000001E-3</v>
      </c>
      <c r="AW88" s="1">
        <v>4.0000000000000001E-3</v>
      </c>
      <c r="AX88" s="1">
        <v>0.01</v>
      </c>
      <c r="AY88" s="1">
        <v>6.0000000000000001E-3</v>
      </c>
      <c r="AZ88" s="1">
        <v>8.9999999999999993E-3</v>
      </c>
      <c r="BA88" s="1">
        <v>1.4E-2</v>
      </c>
      <c r="BB88" s="1">
        <v>5.0000000000000001E-3</v>
      </c>
      <c r="BC88" s="1">
        <v>2E-3</v>
      </c>
      <c r="BD88" s="1">
        <v>1.4E-2</v>
      </c>
      <c r="BE88" s="1">
        <v>2E-3</v>
      </c>
      <c r="BF88" s="1">
        <v>8.7999999999999995E-2</v>
      </c>
      <c r="BG88" s="1">
        <v>1E-3</v>
      </c>
      <c r="BH88" s="1">
        <v>5.0000000000000001E-3</v>
      </c>
      <c r="BI88" s="1">
        <v>2E-3</v>
      </c>
      <c r="BJ88" s="1">
        <v>2E-3</v>
      </c>
      <c r="BK88" s="1">
        <v>2E-3</v>
      </c>
      <c r="BL88" s="1">
        <v>4.0000000000000001E-3</v>
      </c>
      <c r="BM88" s="1">
        <v>2E-3</v>
      </c>
      <c r="BN88" s="1">
        <v>3.0000000000000001E-3</v>
      </c>
      <c r="BO88" s="1">
        <v>1.2E-2</v>
      </c>
      <c r="BP88" s="1">
        <v>4.0000000000000001E-3</v>
      </c>
      <c r="BQ88" s="1">
        <v>5.0000000000000001E-3</v>
      </c>
      <c r="BR88" s="1">
        <v>3.0000000000000001E-3</v>
      </c>
      <c r="BS88" s="1">
        <v>0.107</v>
      </c>
      <c r="BT88" s="1">
        <v>2E-3</v>
      </c>
      <c r="BU88" s="1">
        <v>3.5000000000000003E-2</v>
      </c>
      <c r="BV88" s="1">
        <v>4.0000000000000001E-3</v>
      </c>
      <c r="BW88" s="1">
        <v>3.0000000000000001E-3</v>
      </c>
      <c r="BX88" s="1">
        <v>3.5000000000000003E-2</v>
      </c>
      <c r="BY88" s="1">
        <v>8.9999999999999993E-3</v>
      </c>
      <c r="BZ88" s="1">
        <v>7.0000000000000001E-3</v>
      </c>
      <c r="CA88" s="1">
        <v>5.0000000000000001E-3</v>
      </c>
      <c r="CB88" s="1">
        <v>2E-3</v>
      </c>
      <c r="CC88" s="1">
        <v>4.0000000000000001E-3</v>
      </c>
      <c r="CD88" s="1">
        <v>0</v>
      </c>
      <c r="CE88" s="1">
        <v>3.0000000000000001E-3</v>
      </c>
      <c r="CF88" s="1">
        <v>3.0000000000000001E-3</v>
      </c>
      <c r="CG88" s="1">
        <v>4.0000000000000001E-3</v>
      </c>
      <c r="CH88" s="1">
        <v>5.0000000000000001E-3</v>
      </c>
      <c r="CI88" s="1">
        <v>5.0000000000000001E-3</v>
      </c>
      <c r="CJ88" s="1">
        <v>6.0000000000000001E-3</v>
      </c>
      <c r="CK88" s="1">
        <v>0.248</v>
      </c>
      <c r="CL88" s="1">
        <v>1.2999999999999999E-2</v>
      </c>
      <c r="CM88" s="1">
        <v>14.06077399</v>
      </c>
      <c r="CN88" s="83">
        <v>121.8790674</v>
      </c>
    </row>
    <row r="89" spans="1:92" s="3" customFormat="1" x14ac:dyDescent="0.25">
      <c r="A89" s="72">
        <v>86</v>
      </c>
      <c r="B89" s="81" t="s">
        <v>1202</v>
      </c>
      <c r="C89" s="1" t="s">
        <v>72</v>
      </c>
      <c r="D89" s="1" t="s">
        <v>79</v>
      </c>
      <c r="E89" s="1" t="s">
        <v>74</v>
      </c>
      <c r="F89" s="1" t="s">
        <v>108</v>
      </c>
      <c r="G89" s="1" t="s">
        <v>103</v>
      </c>
      <c r="H89" s="1" t="s">
        <v>10</v>
      </c>
      <c r="I89" s="1"/>
      <c r="J89" s="9" t="s">
        <v>544</v>
      </c>
      <c r="K89" s="10">
        <v>0.34234750000000003</v>
      </c>
      <c r="L89" s="1" t="s">
        <v>509</v>
      </c>
      <c r="M89" s="1" t="s">
        <v>76</v>
      </c>
      <c r="N89" s="1" t="s">
        <v>644</v>
      </c>
      <c r="O89" s="1" t="s">
        <v>37</v>
      </c>
      <c r="P89" s="82">
        <v>0.58399999999999996</v>
      </c>
      <c r="Q89" s="1" t="s">
        <v>76</v>
      </c>
      <c r="R89" s="81" t="s">
        <v>114</v>
      </c>
      <c r="S89" s="1" t="s">
        <v>76</v>
      </c>
      <c r="T89" s="1" t="s">
        <v>78</v>
      </c>
      <c r="U89" s="1" t="s">
        <v>658</v>
      </c>
      <c r="V89" s="1" t="s">
        <v>655</v>
      </c>
      <c r="W89" s="1">
        <v>38</v>
      </c>
      <c r="X89" s="1" t="s">
        <v>154</v>
      </c>
      <c r="Y89" s="1" t="s">
        <v>644</v>
      </c>
      <c r="Z89" s="1">
        <v>4.0000000000000001E-3</v>
      </c>
      <c r="AA89" s="1">
        <v>2E-3</v>
      </c>
      <c r="AB89" s="1">
        <v>2E-3</v>
      </c>
      <c r="AC89" s="1">
        <v>1.0999999999999999E-2</v>
      </c>
      <c r="AD89" s="1">
        <v>3.0000000000000001E-3</v>
      </c>
      <c r="AE89" s="1">
        <v>5.0000000000000001E-3</v>
      </c>
      <c r="AF89" s="1">
        <v>2E-3</v>
      </c>
      <c r="AG89" s="1">
        <v>0</v>
      </c>
      <c r="AH89" s="1">
        <v>6.0000000000000001E-3</v>
      </c>
      <c r="AI89" s="1">
        <v>2E-3</v>
      </c>
      <c r="AJ89" s="1">
        <v>6.0000000000000001E-3</v>
      </c>
      <c r="AK89" s="1">
        <v>4.0000000000000001E-3</v>
      </c>
      <c r="AL89" s="1">
        <v>0</v>
      </c>
      <c r="AM89" s="1">
        <v>1E-3</v>
      </c>
      <c r="AN89" s="1">
        <v>0.155</v>
      </c>
      <c r="AO89" s="1">
        <v>1E-3</v>
      </c>
      <c r="AP89" s="1">
        <v>1E-3</v>
      </c>
      <c r="AQ89" s="1">
        <v>1E-3</v>
      </c>
      <c r="AR89" s="1">
        <v>8.9999999999999993E-3</v>
      </c>
      <c r="AS89" s="1">
        <v>4.0000000000000001E-3</v>
      </c>
      <c r="AT89" s="1">
        <v>2E-3</v>
      </c>
      <c r="AU89" s="1">
        <v>3.0000000000000001E-3</v>
      </c>
      <c r="AV89" s="1">
        <v>2E-3</v>
      </c>
      <c r="AW89" s="1">
        <v>2E-3</v>
      </c>
      <c r="AX89" s="1">
        <v>1E-3</v>
      </c>
      <c r="AY89" s="1">
        <v>3.0000000000000001E-3</v>
      </c>
      <c r="AZ89" s="1">
        <v>4.0000000000000001E-3</v>
      </c>
      <c r="BA89" s="1">
        <v>7.0000000000000001E-3</v>
      </c>
      <c r="BB89" s="1">
        <v>2E-3</v>
      </c>
      <c r="BC89" s="1">
        <v>1E-3</v>
      </c>
      <c r="BD89" s="1">
        <v>8.0000000000000002E-3</v>
      </c>
      <c r="BE89" s="1">
        <v>1E-3</v>
      </c>
      <c r="BF89" s="1">
        <v>0.58399999999999996</v>
      </c>
      <c r="BG89" s="1">
        <v>0</v>
      </c>
      <c r="BH89" s="1">
        <v>7.0000000000000001E-3</v>
      </c>
      <c r="BI89" s="1">
        <v>1E-3</v>
      </c>
      <c r="BJ89" s="1">
        <v>1E-3</v>
      </c>
      <c r="BK89" s="1">
        <v>1E-3</v>
      </c>
      <c r="BL89" s="1">
        <v>2E-3</v>
      </c>
      <c r="BM89" s="1">
        <v>1E-3</v>
      </c>
      <c r="BN89" s="1">
        <v>2E-3</v>
      </c>
      <c r="BO89" s="1">
        <v>3.0000000000000001E-3</v>
      </c>
      <c r="BP89" s="1">
        <v>1E-3</v>
      </c>
      <c r="BQ89" s="1">
        <v>3.0000000000000001E-3</v>
      </c>
      <c r="BR89" s="1">
        <v>1E-3</v>
      </c>
      <c r="BS89" s="1">
        <v>5.0000000000000001E-3</v>
      </c>
      <c r="BT89" s="1">
        <v>1E-3</v>
      </c>
      <c r="BU89" s="1">
        <v>3.5999999999999997E-2</v>
      </c>
      <c r="BV89" s="1">
        <v>2E-3</v>
      </c>
      <c r="BW89" s="1">
        <v>2E-3</v>
      </c>
      <c r="BX89" s="1">
        <v>4.5999999999999999E-2</v>
      </c>
      <c r="BY89" s="1">
        <v>4.0000000000000001E-3</v>
      </c>
      <c r="BZ89" s="1">
        <v>3.0000000000000001E-3</v>
      </c>
      <c r="CA89" s="1">
        <v>2E-3</v>
      </c>
      <c r="CB89" s="1">
        <v>1E-3</v>
      </c>
      <c r="CC89" s="1">
        <v>1E-3</v>
      </c>
      <c r="CD89" s="1">
        <v>0</v>
      </c>
      <c r="CE89" s="1">
        <v>1E-3</v>
      </c>
      <c r="CF89" s="1">
        <v>2E-3</v>
      </c>
      <c r="CG89" s="1">
        <v>2E-3</v>
      </c>
      <c r="CH89" s="1">
        <v>2E-3</v>
      </c>
      <c r="CI89" s="1">
        <v>3.0000000000000001E-3</v>
      </c>
      <c r="CJ89" s="1">
        <v>3.0000000000000001E-3</v>
      </c>
      <c r="CK89" s="1">
        <v>2.1999999999999999E-2</v>
      </c>
      <c r="CL89" s="1">
        <v>4.0000000000000001E-3</v>
      </c>
      <c r="CM89" s="1">
        <v>11.23246705</v>
      </c>
      <c r="CN89" s="83">
        <v>121.9291398</v>
      </c>
    </row>
    <row r="90" spans="1:92" s="3" customFormat="1" x14ac:dyDescent="0.25">
      <c r="A90" s="72">
        <v>87</v>
      </c>
      <c r="B90" s="81" t="s">
        <v>1271</v>
      </c>
      <c r="C90" s="1" t="s">
        <v>72</v>
      </c>
      <c r="D90" s="1" t="s">
        <v>79</v>
      </c>
      <c r="E90" s="1" t="s">
        <v>74</v>
      </c>
      <c r="F90" s="1" t="s">
        <v>155</v>
      </c>
      <c r="G90" s="1" t="s">
        <v>80</v>
      </c>
      <c r="H90" s="1" t="s">
        <v>156</v>
      </c>
      <c r="I90" s="1"/>
      <c r="J90" s="9" t="s">
        <v>506</v>
      </c>
      <c r="K90" s="10">
        <v>0.37850099999999998</v>
      </c>
      <c r="L90" s="1" t="s">
        <v>641</v>
      </c>
      <c r="M90" s="1" t="s">
        <v>76</v>
      </c>
      <c r="N90" s="1" t="s">
        <v>644</v>
      </c>
      <c r="O90" s="1" t="s">
        <v>52</v>
      </c>
      <c r="P90" s="82">
        <v>0.373</v>
      </c>
      <c r="Q90" s="1" t="s">
        <v>76</v>
      </c>
      <c r="R90" s="81" t="s">
        <v>157</v>
      </c>
      <c r="S90" s="1" t="s">
        <v>76</v>
      </c>
      <c r="T90" s="1" t="s">
        <v>78</v>
      </c>
      <c r="U90" s="1" t="s">
        <v>658</v>
      </c>
      <c r="V90" s="1" t="s">
        <v>655</v>
      </c>
      <c r="W90" s="1">
        <v>29</v>
      </c>
      <c r="X90" s="1" t="s">
        <v>76</v>
      </c>
      <c r="Y90" s="1" t="s">
        <v>644</v>
      </c>
      <c r="Z90" s="1">
        <v>4.0000000000000001E-3</v>
      </c>
      <c r="AA90" s="1">
        <v>4.0000000000000001E-3</v>
      </c>
      <c r="AB90" s="1">
        <v>6.0000000000000001E-3</v>
      </c>
      <c r="AC90" s="1">
        <v>2.1000000000000001E-2</v>
      </c>
      <c r="AD90" s="1">
        <v>6.0000000000000001E-3</v>
      </c>
      <c r="AE90" s="1">
        <v>1.6E-2</v>
      </c>
      <c r="AF90" s="1">
        <v>8.9999999999999993E-3</v>
      </c>
      <c r="AG90" s="1">
        <v>0</v>
      </c>
      <c r="AH90" s="1">
        <v>0.02</v>
      </c>
      <c r="AI90" s="1">
        <v>2E-3</v>
      </c>
      <c r="AJ90" s="1">
        <v>1.7000000000000001E-2</v>
      </c>
      <c r="AK90" s="1">
        <v>2.1999999999999999E-2</v>
      </c>
      <c r="AL90" s="1">
        <v>1E-3</v>
      </c>
      <c r="AM90" s="1">
        <v>3.0000000000000001E-3</v>
      </c>
      <c r="AN90" s="1">
        <v>0.01</v>
      </c>
      <c r="AO90" s="1">
        <v>4.0000000000000001E-3</v>
      </c>
      <c r="AP90" s="1">
        <v>3.0000000000000001E-3</v>
      </c>
      <c r="AQ90" s="1">
        <v>3.0000000000000001E-3</v>
      </c>
      <c r="AR90" s="1">
        <v>8.0000000000000002E-3</v>
      </c>
      <c r="AS90" s="1">
        <v>2.4E-2</v>
      </c>
      <c r="AT90" s="1">
        <v>7.0000000000000001E-3</v>
      </c>
      <c r="AU90" s="1">
        <v>0.01</v>
      </c>
      <c r="AV90" s="1">
        <v>5.0000000000000001E-3</v>
      </c>
      <c r="AW90" s="1">
        <v>6.0000000000000001E-3</v>
      </c>
      <c r="AX90" s="1">
        <v>4.0000000000000001E-3</v>
      </c>
      <c r="AY90" s="1">
        <v>8.0000000000000002E-3</v>
      </c>
      <c r="AZ90" s="1">
        <v>1.6E-2</v>
      </c>
      <c r="BA90" s="1">
        <v>2.5000000000000001E-2</v>
      </c>
      <c r="BB90" s="1">
        <v>6.0000000000000001E-3</v>
      </c>
      <c r="BC90" s="1">
        <v>2E-3</v>
      </c>
      <c r="BD90" s="1">
        <v>2.4E-2</v>
      </c>
      <c r="BE90" s="1">
        <v>5.0000000000000001E-3</v>
      </c>
      <c r="BF90" s="1">
        <v>2E-3</v>
      </c>
      <c r="BG90" s="1">
        <v>2E-3</v>
      </c>
      <c r="BH90" s="1">
        <v>3.0000000000000001E-3</v>
      </c>
      <c r="BI90" s="1">
        <v>3.0000000000000001E-3</v>
      </c>
      <c r="BJ90" s="1">
        <v>2E-3</v>
      </c>
      <c r="BK90" s="1">
        <v>2E-3</v>
      </c>
      <c r="BL90" s="1">
        <v>6.0000000000000001E-3</v>
      </c>
      <c r="BM90" s="1">
        <v>3.0000000000000001E-3</v>
      </c>
      <c r="BN90" s="1">
        <v>8.9999999999999993E-3</v>
      </c>
      <c r="BO90" s="1">
        <v>7.0000000000000001E-3</v>
      </c>
      <c r="BP90" s="1">
        <v>1E-3</v>
      </c>
      <c r="BQ90" s="1">
        <v>1.2999999999999999E-2</v>
      </c>
      <c r="BR90" s="1">
        <v>4.0000000000000001E-3</v>
      </c>
      <c r="BS90" s="1">
        <v>6.0000000000000001E-3</v>
      </c>
      <c r="BT90" s="1">
        <v>5.0000000000000001E-3</v>
      </c>
      <c r="BU90" s="1">
        <v>0.373</v>
      </c>
      <c r="BV90" s="1">
        <v>7.0000000000000001E-3</v>
      </c>
      <c r="BW90" s="1">
        <v>5.0000000000000001E-3</v>
      </c>
      <c r="BX90" s="1">
        <v>2.1000000000000001E-2</v>
      </c>
      <c r="BY90" s="1">
        <v>1.0999999999999999E-2</v>
      </c>
      <c r="BZ90" s="1">
        <v>8.9999999999999993E-3</v>
      </c>
      <c r="CA90" s="1">
        <v>4.0000000000000001E-3</v>
      </c>
      <c r="CB90" s="1">
        <v>5.0000000000000001E-3</v>
      </c>
      <c r="CC90" s="1">
        <v>6.0000000000000001E-3</v>
      </c>
      <c r="CD90" s="1">
        <v>0</v>
      </c>
      <c r="CE90" s="1">
        <v>4.0000000000000001E-3</v>
      </c>
      <c r="CF90" s="1">
        <v>3.0000000000000001E-3</v>
      </c>
      <c r="CG90" s="1">
        <v>6.0000000000000001E-3</v>
      </c>
      <c r="CH90" s="1">
        <v>8.9999999999999993E-3</v>
      </c>
      <c r="CI90" s="1">
        <v>1.0999999999999999E-2</v>
      </c>
      <c r="CJ90" s="1">
        <v>1.0999999999999999E-2</v>
      </c>
      <c r="CK90" s="1">
        <v>0.13300000000000001</v>
      </c>
      <c r="CL90" s="1">
        <v>1.4E-2</v>
      </c>
      <c r="CM90" s="1">
        <v>7.084491946</v>
      </c>
      <c r="CN90" s="83">
        <v>114.26917880000001</v>
      </c>
    </row>
    <row r="91" spans="1:92" s="3" customFormat="1" ht="14.1" customHeight="1" x14ac:dyDescent="0.25">
      <c r="A91" s="72">
        <v>88</v>
      </c>
      <c r="B91" s="81" t="s">
        <v>1414</v>
      </c>
      <c r="C91" s="1" t="s">
        <v>72</v>
      </c>
      <c r="D91" s="1" t="s">
        <v>79</v>
      </c>
      <c r="E91" s="1" t="s">
        <v>74</v>
      </c>
      <c r="F91" s="1" t="s">
        <v>102</v>
      </c>
      <c r="G91" s="1" t="s">
        <v>80</v>
      </c>
      <c r="H91" s="1" t="s">
        <v>53</v>
      </c>
      <c r="I91" s="1"/>
      <c r="J91" s="9" t="s">
        <v>544</v>
      </c>
      <c r="K91" s="10">
        <v>0.392409333333333</v>
      </c>
      <c r="L91" s="1" t="s">
        <v>76</v>
      </c>
      <c r="M91" s="1" t="s">
        <v>506</v>
      </c>
      <c r="N91" s="1" t="s">
        <v>645</v>
      </c>
      <c r="O91" s="1" t="s">
        <v>53</v>
      </c>
      <c r="P91" s="82">
        <v>1</v>
      </c>
      <c r="Q91" s="1" t="s">
        <v>76</v>
      </c>
      <c r="R91" s="81" t="s">
        <v>81</v>
      </c>
      <c r="S91" s="1" t="s">
        <v>76</v>
      </c>
      <c r="T91" s="1" t="s">
        <v>78</v>
      </c>
      <c r="U91" s="1" t="s">
        <v>658</v>
      </c>
      <c r="V91" s="1" t="s">
        <v>655</v>
      </c>
      <c r="W91" s="1">
        <v>13</v>
      </c>
      <c r="X91" s="1" t="s">
        <v>158</v>
      </c>
      <c r="Y91" s="1" t="s">
        <v>645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1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-9.8023360549999996</v>
      </c>
      <c r="CN91" s="83">
        <v>129.30771630000001</v>
      </c>
    </row>
    <row r="92" spans="1:92" s="3" customFormat="1" x14ac:dyDescent="0.25">
      <c r="A92" s="72">
        <v>89</v>
      </c>
      <c r="B92" s="81" t="s">
        <v>1363</v>
      </c>
      <c r="C92" s="1" t="s">
        <v>72</v>
      </c>
      <c r="D92" s="1" t="s">
        <v>79</v>
      </c>
      <c r="E92" s="1" t="s">
        <v>74</v>
      </c>
      <c r="F92" s="1" t="s">
        <v>93</v>
      </c>
      <c r="G92" s="1" t="s">
        <v>80</v>
      </c>
      <c r="H92" s="1" t="s">
        <v>34</v>
      </c>
      <c r="I92" s="1"/>
      <c r="J92" s="9" t="s">
        <v>544</v>
      </c>
      <c r="K92" s="10">
        <v>0.37806983333333299</v>
      </c>
      <c r="L92" s="1" t="s">
        <v>76</v>
      </c>
      <c r="M92" s="1" t="s">
        <v>506</v>
      </c>
      <c r="N92" s="1" t="s">
        <v>645</v>
      </c>
      <c r="O92" s="1" t="s">
        <v>34</v>
      </c>
      <c r="P92" s="82">
        <v>1</v>
      </c>
      <c r="Q92" s="1" t="s">
        <v>76</v>
      </c>
      <c r="R92" s="81" t="s">
        <v>149</v>
      </c>
      <c r="S92" s="1" t="s">
        <v>76</v>
      </c>
      <c r="T92" s="1" t="s">
        <v>78</v>
      </c>
      <c r="U92" s="1" t="s">
        <v>658</v>
      </c>
      <c r="V92" s="1" t="s">
        <v>655</v>
      </c>
      <c r="W92" s="1">
        <v>25</v>
      </c>
      <c r="X92" s="1" t="s">
        <v>152</v>
      </c>
      <c r="Y92" s="1" t="s">
        <v>645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44.928534859999999</v>
      </c>
      <c r="CN92" s="83">
        <v>98.829724299999995</v>
      </c>
    </row>
    <row r="93" spans="1:92" s="3" customFormat="1" x14ac:dyDescent="0.25">
      <c r="A93" s="72">
        <v>90</v>
      </c>
      <c r="B93" s="81" t="s">
        <v>1381</v>
      </c>
      <c r="C93" s="1" t="s">
        <v>72</v>
      </c>
      <c r="D93" s="1" t="s">
        <v>79</v>
      </c>
      <c r="E93" s="1" t="s">
        <v>99</v>
      </c>
      <c r="F93" s="1" t="s">
        <v>108</v>
      </c>
      <c r="G93" s="1" t="s">
        <v>80</v>
      </c>
      <c r="H93" s="1" t="s">
        <v>10</v>
      </c>
      <c r="I93" s="1"/>
      <c r="J93" s="9" t="s">
        <v>544</v>
      </c>
      <c r="K93" s="10">
        <v>0.442961833333334</v>
      </c>
      <c r="L93" s="1" t="s">
        <v>76</v>
      </c>
      <c r="M93" s="1" t="s">
        <v>506</v>
      </c>
      <c r="N93" s="1" t="s">
        <v>645</v>
      </c>
      <c r="O93" s="1" t="s">
        <v>10</v>
      </c>
      <c r="P93" s="82">
        <v>0.996</v>
      </c>
      <c r="Q93" s="1" t="s">
        <v>76</v>
      </c>
      <c r="R93" s="81" t="s">
        <v>81</v>
      </c>
      <c r="S93" s="1" t="s">
        <v>76</v>
      </c>
      <c r="T93" s="1" t="s">
        <v>78</v>
      </c>
      <c r="U93" s="1" t="s">
        <v>658</v>
      </c>
      <c r="V93" s="1" t="s">
        <v>655</v>
      </c>
      <c r="W93" s="1">
        <v>13</v>
      </c>
      <c r="X93" s="1" t="s">
        <v>109</v>
      </c>
      <c r="Y93" s="1" t="s">
        <v>645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0.996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2E-3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1E-3</v>
      </c>
      <c r="CL93" s="1">
        <v>0</v>
      </c>
      <c r="CM93" s="1">
        <v>-11.0599378</v>
      </c>
      <c r="CN93" s="83">
        <v>147.7100609</v>
      </c>
    </row>
    <row r="94" spans="1:92" s="3" customFormat="1" x14ac:dyDescent="0.25">
      <c r="A94" s="72">
        <v>91</v>
      </c>
      <c r="B94" s="81" t="s">
        <v>1208</v>
      </c>
      <c r="C94" s="1" t="s">
        <v>72</v>
      </c>
      <c r="D94" s="1" t="s">
        <v>79</v>
      </c>
      <c r="E94" s="1" t="s">
        <v>99</v>
      </c>
      <c r="F94" s="1" t="s">
        <v>93</v>
      </c>
      <c r="G94" s="1" t="s">
        <v>103</v>
      </c>
      <c r="H94" s="1" t="s">
        <v>34</v>
      </c>
      <c r="I94" s="1"/>
      <c r="J94" s="9" t="s">
        <v>544</v>
      </c>
      <c r="K94" s="10">
        <v>0.38658666666666702</v>
      </c>
      <c r="L94" s="1" t="s">
        <v>76</v>
      </c>
      <c r="M94" s="1" t="s">
        <v>506</v>
      </c>
      <c r="N94" s="1" t="s">
        <v>645</v>
      </c>
      <c r="O94" s="1" t="s">
        <v>34</v>
      </c>
      <c r="P94" s="82">
        <v>0.98599999999999999</v>
      </c>
      <c r="Q94" s="1" t="s">
        <v>76</v>
      </c>
      <c r="R94" s="81" t="s">
        <v>87</v>
      </c>
      <c r="S94" s="1" t="s">
        <v>76</v>
      </c>
      <c r="T94" s="1" t="s">
        <v>78</v>
      </c>
      <c r="U94" s="1" t="s">
        <v>658</v>
      </c>
      <c r="V94" s="1" t="s">
        <v>655</v>
      </c>
      <c r="W94" s="1">
        <v>49</v>
      </c>
      <c r="X94" s="1" t="s">
        <v>134</v>
      </c>
      <c r="Y94" s="1" t="s">
        <v>645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4.0000000000000001E-3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0.98599999999999999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1E-3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1E-3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2E-3</v>
      </c>
      <c r="CL94" s="1">
        <v>0</v>
      </c>
      <c r="CM94" s="1">
        <v>48.268713810000001</v>
      </c>
      <c r="CN94" s="83">
        <v>103.2906404</v>
      </c>
    </row>
    <row r="95" spans="1:92" s="3" customFormat="1" x14ac:dyDescent="0.25">
      <c r="A95" s="72">
        <v>92</v>
      </c>
      <c r="B95" s="81" t="s">
        <v>1436</v>
      </c>
      <c r="C95" s="1" t="s">
        <v>72</v>
      </c>
      <c r="D95" s="1" t="s">
        <v>79</v>
      </c>
      <c r="E95" s="1" t="s">
        <v>99</v>
      </c>
      <c r="F95" s="1" t="s">
        <v>102</v>
      </c>
      <c r="G95" s="1" t="s">
        <v>80</v>
      </c>
      <c r="H95" s="1" t="s">
        <v>53</v>
      </c>
      <c r="I95" s="1"/>
      <c r="J95" s="9" t="s">
        <v>544</v>
      </c>
      <c r="K95" s="10">
        <v>0.36440899999999998</v>
      </c>
      <c r="L95" s="1" t="s">
        <v>76</v>
      </c>
      <c r="M95" s="1" t="s">
        <v>506</v>
      </c>
      <c r="N95" s="1" t="s">
        <v>645</v>
      </c>
      <c r="O95" s="1" t="s">
        <v>53</v>
      </c>
      <c r="P95" s="82">
        <v>0.995</v>
      </c>
      <c r="Q95" s="1" t="s">
        <v>76</v>
      </c>
      <c r="R95" s="81" t="s">
        <v>95</v>
      </c>
      <c r="S95" s="1" t="s">
        <v>76</v>
      </c>
      <c r="T95" s="1" t="s">
        <v>78</v>
      </c>
      <c r="U95" s="1" t="s">
        <v>658</v>
      </c>
      <c r="V95" s="1" t="s">
        <v>655</v>
      </c>
      <c r="W95" s="1">
        <v>39</v>
      </c>
      <c r="X95" s="1" t="s">
        <v>159</v>
      </c>
      <c r="Y95" s="1" t="s">
        <v>645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0.995</v>
      </c>
      <c r="BW95" s="1">
        <v>0</v>
      </c>
      <c r="BX95" s="1">
        <v>2E-3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1E-3</v>
      </c>
      <c r="CL95" s="1">
        <v>0</v>
      </c>
      <c r="CM95" s="1">
        <v>-1.9729566549999999</v>
      </c>
      <c r="CN95" s="83">
        <v>123.0621558</v>
      </c>
    </row>
    <row r="96" spans="1:92" s="3" customFormat="1" x14ac:dyDescent="0.25">
      <c r="A96" s="72">
        <v>93</v>
      </c>
      <c r="B96" s="81" t="s">
        <v>1362</v>
      </c>
      <c r="C96" s="1" t="s">
        <v>72</v>
      </c>
      <c r="D96" s="1" t="s">
        <v>79</v>
      </c>
      <c r="E96" s="1" t="s">
        <v>99</v>
      </c>
      <c r="F96" s="1" t="s">
        <v>93</v>
      </c>
      <c r="G96" s="1" t="s">
        <v>80</v>
      </c>
      <c r="H96" s="1" t="s">
        <v>34</v>
      </c>
      <c r="I96" s="1"/>
      <c r="J96" s="9" t="s">
        <v>544</v>
      </c>
      <c r="K96" s="10">
        <v>0.39240700000000101</v>
      </c>
      <c r="L96" s="1" t="s">
        <v>76</v>
      </c>
      <c r="M96" s="1" t="s">
        <v>506</v>
      </c>
      <c r="N96" s="1" t="s">
        <v>645</v>
      </c>
      <c r="O96" s="1" t="s">
        <v>34</v>
      </c>
      <c r="P96" s="82">
        <v>0.996</v>
      </c>
      <c r="Q96" s="1" t="s">
        <v>76</v>
      </c>
      <c r="R96" s="81" t="s">
        <v>151</v>
      </c>
      <c r="S96" s="1" t="s">
        <v>76</v>
      </c>
      <c r="T96" s="1" t="s">
        <v>78</v>
      </c>
      <c r="U96" s="1" t="s">
        <v>658</v>
      </c>
      <c r="V96" s="1" t="s">
        <v>655</v>
      </c>
      <c r="W96" s="1">
        <v>20</v>
      </c>
      <c r="X96" s="1" t="s">
        <v>152</v>
      </c>
      <c r="Y96" s="1" t="s">
        <v>645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3.0000000000000001E-3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0.996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50.479615379999998</v>
      </c>
      <c r="CN96" s="83">
        <v>98.811739869999997</v>
      </c>
    </row>
    <row r="97" spans="1:92" s="3" customFormat="1" x14ac:dyDescent="0.25">
      <c r="A97" s="72">
        <v>94</v>
      </c>
      <c r="B97" s="81" t="s">
        <v>1228</v>
      </c>
      <c r="C97" s="1" t="s">
        <v>72</v>
      </c>
      <c r="D97" s="1" t="s">
        <v>79</v>
      </c>
      <c r="E97" s="1" t="s">
        <v>99</v>
      </c>
      <c r="F97" s="1" t="s">
        <v>113</v>
      </c>
      <c r="G97" s="1" t="s">
        <v>80</v>
      </c>
      <c r="H97" s="1" t="s">
        <v>530</v>
      </c>
      <c r="I97" s="1"/>
      <c r="J97" s="9" t="s">
        <v>506</v>
      </c>
      <c r="K97" s="10">
        <v>0.35164833333333301</v>
      </c>
      <c r="L97" s="1" t="s">
        <v>641</v>
      </c>
      <c r="M97" s="1" t="s">
        <v>76</v>
      </c>
      <c r="N97" s="1" t="s">
        <v>644</v>
      </c>
      <c r="O97" s="1" t="s">
        <v>52</v>
      </c>
      <c r="P97" s="82">
        <v>0.85499999999999998</v>
      </c>
      <c r="Q97" s="1" t="s">
        <v>76</v>
      </c>
      <c r="R97" s="81" t="s">
        <v>77</v>
      </c>
      <c r="S97" s="1" t="s">
        <v>76</v>
      </c>
      <c r="T97" s="1" t="s">
        <v>78</v>
      </c>
      <c r="U97" s="1" t="s">
        <v>658</v>
      </c>
      <c r="V97" s="1" t="s">
        <v>655</v>
      </c>
      <c r="W97" s="1">
        <v>14</v>
      </c>
      <c r="X97" s="1" t="s">
        <v>76</v>
      </c>
      <c r="Y97" s="1" t="s">
        <v>644</v>
      </c>
      <c r="Z97" s="1">
        <v>2E-3</v>
      </c>
      <c r="AA97" s="1">
        <v>1E-3</v>
      </c>
      <c r="AB97" s="1">
        <v>1E-3</v>
      </c>
      <c r="AC97" s="1">
        <v>6.0000000000000001E-3</v>
      </c>
      <c r="AD97" s="1">
        <v>1E-3</v>
      </c>
      <c r="AE97" s="1">
        <v>1E-3</v>
      </c>
      <c r="AF97" s="1">
        <v>2E-3</v>
      </c>
      <c r="AG97" s="1">
        <v>0</v>
      </c>
      <c r="AH97" s="1">
        <v>4.0000000000000001E-3</v>
      </c>
      <c r="AI97" s="1">
        <v>1E-3</v>
      </c>
      <c r="AJ97" s="1">
        <v>1E-3</v>
      </c>
      <c r="AK97" s="1">
        <v>3.0000000000000001E-3</v>
      </c>
      <c r="AL97" s="1">
        <v>0</v>
      </c>
      <c r="AM97" s="1">
        <v>1E-3</v>
      </c>
      <c r="AN97" s="1">
        <v>8.9999999999999993E-3</v>
      </c>
      <c r="AO97" s="1">
        <v>1E-3</v>
      </c>
      <c r="AP97" s="1">
        <v>1E-3</v>
      </c>
      <c r="AQ97" s="1">
        <v>1E-3</v>
      </c>
      <c r="AR97" s="1">
        <v>2E-3</v>
      </c>
      <c r="AS97" s="1">
        <v>3.0000000000000001E-3</v>
      </c>
      <c r="AT97" s="1">
        <v>1E-3</v>
      </c>
      <c r="AU97" s="1">
        <v>1E-3</v>
      </c>
      <c r="AV97" s="1">
        <v>1E-3</v>
      </c>
      <c r="AW97" s="1">
        <v>1E-3</v>
      </c>
      <c r="AX97" s="1">
        <v>1E-3</v>
      </c>
      <c r="AY97" s="1">
        <v>2E-3</v>
      </c>
      <c r="AZ97" s="1">
        <v>4.0000000000000001E-3</v>
      </c>
      <c r="BA97" s="1">
        <v>7.0000000000000001E-3</v>
      </c>
      <c r="BB97" s="1">
        <v>1E-3</v>
      </c>
      <c r="BC97" s="1">
        <v>1E-3</v>
      </c>
      <c r="BD97" s="1">
        <v>6.0000000000000001E-3</v>
      </c>
      <c r="BE97" s="1">
        <v>1E-3</v>
      </c>
      <c r="BF97" s="1">
        <v>2.3E-2</v>
      </c>
      <c r="BG97" s="1">
        <v>0</v>
      </c>
      <c r="BH97" s="1">
        <v>3.0000000000000001E-3</v>
      </c>
      <c r="BI97" s="1">
        <v>1E-3</v>
      </c>
      <c r="BJ97" s="1">
        <v>0</v>
      </c>
      <c r="BK97" s="1">
        <v>0</v>
      </c>
      <c r="BL97" s="1">
        <v>1E-3</v>
      </c>
      <c r="BM97" s="1">
        <v>1E-3</v>
      </c>
      <c r="BN97" s="1">
        <v>1E-3</v>
      </c>
      <c r="BO97" s="1">
        <v>1E-3</v>
      </c>
      <c r="BP97" s="1">
        <v>0</v>
      </c>
      <c r="BQ97" s="1">
        <v>2E-3</v>
      </c>
      <c r="BR97" s="1">
        <v>1E-3</v>
      </c>
      <c r="BS97" s="1">
        <v>2E-3</v>
      </c>
      <c r="BT97" s="1">
        <v>1E-3</v>
      </c>
      <c r="BU97" s="1">
        <v>0.85499999999999998</v>
      </c>
      <c r="BV97" s="1">
        <v>1E-3</v>
      </c>
      <c r="BW97" s="1">
        <v>1E-3</v>
      </c>
      <c r="BX97" s="1">
        <v>5.0000000000000001E-3</v>
      </c>
      <c r="BY97" s="1">
        <v>3.0000000000000001E-3</v>
      </c>
      <c r="BZ97" s="1">
        <v>2E-3</v>
      </c>
      <c r="CA97" s="1">
        <v>1E-3</v>
      </c>
      <c r="CB97" s="1">
        <v>0</v>
      </c>
      <c r="CC97" s="1">
        <v>1E-3</v>
      </c>
      <c r="CD97" s="1">
        <v>0</v>
      </c>
      <c r="CE97" s="1">
        <v>1E-3</v>
      </c>
      <c r="CF97" s="1">
        <v>1E-3</v>
      </c>
      <c r="CG97" s="1">
        <v>1E-3</v>
      </c>
      <c r="CH97" s="1">
        <v>2E-3</v>
      </c>
      <c r="CI97" s="1">
        <v>3.0000000000000001E-3</v>
      </c>
      <c r="CJ97" s="1">
        <v>2E-3</v>
      </c>
      <c r="CK97" s="1">
        <v>1.4E-2</v>
      </c>
      <c r="CL97" s="1">
        <v>3.0000000000000001E-3</v>
      </c>
      <c r="CM97" s="1">
        <v>17.435208029999998</v>
      </c>
      <c r="CN97" s="83">
        <v>121.44420409999999</v>
      </c>
    </row>
    <row r="98" spans="1:92" s="3" customFormat="1" x14ac:dyDescent="0.25">
      <c r="A98" s="72">
        <v>95</v>
      </c>
      <c r="B98" s="81" t="s">
        <v>1347</v>
      </c>
      <c r="C98" s="1" t="s">
        <v>72</v>
      </c>
      <c r="D98" s="1" t="s">
        <v>79</v>
      </c>
      <c r="E98" s="1" t="s">
        <v>99</v>
      </c>
      <c r="F98" s="1" t="s">
        <v>113</v>
      </c>
      <c r="G98" s="1" t="s">
        <v>80</v>
      </c>
      <c r="H98" s="1" t="s">
        <v>530</v>
      </c>
      <c r="I98" s="1"/>
      <c r="J98" s="9" t="s">
        <v>506</v>
      </c>
      <c r="K98" s="10">
        <v>0.37616583333333298</v>
      </c>
      <c r="L98" s="1" t="s">
        <v>641</v>
      </c>
      <c r="M98" s="1" t="s">
        <v>76</v>
      </c>
      <c r="N98" s="1" t="s">
        <v>644</v>
      </c>
      <c r="O98" s="1" t="s">
        <v>52</v>
      </c>
      <c r="P98" s="82">
        <v>0.86499999999999999</v>
      </c>
      <c r="Q98" s="1" t="s">
        <v>76</v>
      </c>
      <c r="R98" s="81" t="s">
        <v>87</v>
      </c>
      <c r="S98" s="1" t="s">
        <v>76</v>
      </c>
      <c r="T98" s="1" t="s">
        <v>78</v>
      </c>
      <c r="U98" s="1" t="s">
        <v>658</v>
      </c>
      <c r="V98" s="1" t="s">
        <v>655</v>
      </c>
      <c r="W98" s="1">
        <v>17</v>
      </c>
      <c r="X98" s="1" t="s">
        <v>76</v>
      </c>
      <c r="Y98" s="1" t="s">
        <v>644</v>
      </c>
      <c r="Z98" s="1">
        <v>3.0000000000000001E-3</v>
      </c>
      <c r="AA98" s="1">
        <v>1E-3</v>
      </c>
      <c r="AB98" s="1">
        <v>1E-3</v>
      </c>
      <c r="AC98" s="1">
        <v>4.0000000000000001E-3</v>
      </c>
      <c r="AD98" s="1">
        <v>1E-3</v>
      </c>
      <c r="AE98" s="1">
        <v>1E-3</v>
      </c>
      <c r="AF98" s="1">
        <v>2E-3</v>
      </c>
      <c r="AG98" s="1">
        <v>0</v>
      </c>
      <c r="AH98" s="1">
        <v>3.0000000000000001E-3</v>
      </c>
      <c r="AI98" s="1">
        <v>1E-3</v>
      </c>
      <c r="AJ98" s="1">
        <v>1E-3</v>
      </c>
      <c r="AK98" s="1">
        <v>3.0000000000000001E-3</v>
      </c>
      <c r="AL98" s="1">
        <v>0</v>
      </c>
      <c r="AM98" s="1">
        <v>1E-3</v>
      </c>
      <c r="AN98" s="1">
        <v>6.0000000000000001E-3</v>
      </c>
      <c r="AO98" s="1">
        <v>1E-3</v>
      </c>
      <c r="AP98" s="1">
        <v>1E-3</v>
      </c>
      <c r="AQ98" s="1">
        <v>0</v>
      </c>
      <c r="AR98" s="1">
        <v>3.0000000000000001E-3</v>
      </c>
      <c r="AS98" s="1">
        <v>2E-3</v>
      </c>
      <c r="AT98" s="1">
        <v>1E-3</v>
      </c>
      <c r="AU98" s="1">
        <v>2E-3</v>
      </c>
      <c r="AV98" s="1">
        <v>1E-3</v>
      </c>
      <c r="AW98" s="1">
        <v>1E-3</v>
      </c>
      <c r="AX98" s="1">
        <v>1E-3</v>
      </c>
      <c r="AY98" s="1">
        <v>2E-3</v>
      </c>
      <c r="AZ98" s="1">
        <v>4.0000000000000001E-3</v>
      </c>
      <c r="BA98" s="1">
        <v>5.0000000000000001E-3</v>
      </c>
      <c r="BB98" s="1">
        <v>1E-3</v>
      </c>
      <c r="BC98" s="1">
        <v>1E-3</v>
      </c>
      <c r="BD98" s="1">
        <v>5.0000000000000001E-3</v>
      </c>
      <c r="BE98" s="1">
        <v>1E-3</v>
      </c>
      <c r="BF98" s="1">
        <v>0.01</v>
      </c>
      <c r="BG98" s="1">
        <v>0</v>
      </c>
      <c r="BH98" s="1">
        <v>1E-3</v>
      </c>
      <c r="BI98" s="1">
        <v>0</v>
      </c>
      <c r="BJ98" s="1">
        <v>0</v>
      </c>
      <c r="BK98" s="1">
        <v>0</v>
      </c>
      <c r="BL98" s="1">
        <v>1E-3</v>
      </c>
      <c r="BM98" s="1">
        <v>1E-3</v>
      </c>
      <c r="BN98" s="1">
        <v>1E-3</v>
      </c>
      <c r="BO98" s="1">
        <v>1E-3</v>
      </c>
      <c r="BP98" s="1">
        <v>0</v>
      </c>
      <c r="BQ98" s="1">
        <v>2E-3</v>
      </c>
      <c r="BR98" s="1">
        <v>1E-3</v>
      </c>
      <c r="BS98" s="1">
        <v>3.0000000000000001E-3</v>
      </c>
      <c r="BT98" s="1">
        <v>1E-3</v>
      </c>
      <c r="BU98" s="1">
        <v>0.86499999999999999</v>
      </c>
      <c r="BV98" s="1">
        <v>1E-3</v>
      </c>
      <c r="BW98" s="1">
        <v>1E-3</v>
      </c>
      <c r="BX98" s="1">
        <v>6.0000000000000001E-3</v>
      </c>
      <c r="BY98" s="1">
        <v>3.0000000000000001E-3</v>
      </c>
      <c r="BZ98" s="1">
        <v>2E-3</v>
      </c>
      <c r="CA98" s="1">
        <v>1E-3</v>
      </c>
      <c r="CB98" s="1">
        <v>0</v>
      </c>
      <c r="CC98" s="1">
        <v>1E-3</v>
      </c>
      <c r="CD98" s="1">
        <v>0</v>
      </c>
      <c r="CE98" s="1">
        <v>1E-3</v>
      </c>
      <c r="CF98" s="1">
        <v>1E-3</v>
      </c>
      <c r="CG98" s="1">
        <v>1E-3</v>
      </c>
      <c r="CH98" s="1">
        <v>1E-3</v>
      </c>
      <c r="CI98" s="1">
        <v>2E-3</v>
      </c>
      <c r="CJ98" s="1">
        <v>2E-3</v>
      </c>
      <c r="CK98" s="1">
        <v>2.5000000000000001E-2</v>
      </c>
      <c r="CL98" s="1">
        <v>4.0000000000000001E-3</v>
      </c>
      <c r="CM98" s="1">
        <v>15.847277630000001</v>
      </c>
      <c r="CN98" s="83">
        <v>121.0026191</v>
      </c>
    </row>
    <row r="99" spans="1:92" s="3" customFormat="1" x14ac:dyDescent="0.25">
      <c r="A99" s="72">
        <v>96</v>
      </c>
      <c r="B99" s="81" t="s">
        <v>1324</v>
      </c>
      <c r="C99" s="1" t="s">
        <v>72</v>
      </c>
      <c r="D99" s="1" t="s">
        <v>79</v>
      </c>
      <c r="E99" s="1" t="s">
        <v>99</v>
      </c>
      <c r="F99" s="1" t="s">
        <v>113</v>
      </c>
      <c r="G99" s="1" t="s">
        <v>80</v>
      </c>
      <c r="H99" s="1" t="s">
        <v>530</v>
      </c>
      <c r="I99" s="1"/>
      <c r="J99" s="9" t="s">
        <v>506</v>
      </c>
      <c r="K99" s="10">
        <v>0.35414933333333398</v>
      </c>
      <c r="L99" s="1" t="s">
        <v>620</v>
      </c>
      <c r="M99" s="1" t="s">
        <v>506</v>
      </c>
      <c r="N99" s="1" t="s">
        <v>647</v>
      </c>
      <c r="O99" s="1" t="s">
        <v>52</v>
      </c>
      <c r="P99" s="82">
        <v>0.93100000000000005</v>
      </c>
      <c r="Q99" s="1" t="s">
        <v>76</v>
      </c>
      <c r="R99" s="81" t="s">
        <v>77</v>
      </c>
      <c r="S99" s="1" t="s">
        <v>76</v>
      </c>
      <c r="T99" s="1" t="s">
        <v>78</v>
      </c>
      <c r="U99" s="1" t="s">
        <v>658</v>
      </c>
      <c r="V99" s="1" t="s">
        <v>655</v>
      </c>
      <c r="W99" s="1">
        <v>17</v>
      </c>
      <c r="X99" s="1" t="s">
        <v>76</v>
      </c>
      <c r="Y99" s="1" t="s">
        <v>647</v>
      </c>
      <c r="Z99" s="1">
        <v>1E-3</v>
      </c>
      <c r="AA99" s="1">
        <v>0</v>
      </c>
      <c r="AB99" s="1">
        <v>1E-3</v>
      </c>
      <c r="AC99" s="1">
        <v>4.0000000000000001E-3</v>
      </c>
      <c r="AD99" s="1">
        <v>1E-3</v>
      </c>
      <c r="AE99" s="1">
        <v>1E-3</v>
      </c>
      <c r="AF99" s="1">
        <v>2E-3</v>
      </c>
      <c r="AG99" s="1">
        <v>0</v>
      </c>
      <c r="AH99" s="1">
        <v>4.0000000000000001E-3</v>
      </c>
      <c r="AI99" s="1">
        <v>1E-3</v>
      </c>
      <c r="AJ99" s="1">
        <v>0</v>
      </c>
      <c r="AK99" s="1">
        <v>2E-3</v>
      </c>
      <c r="AL99" s="1">
        <v>0</v>
      </c>
      <c r="AM99" s="1">
        <v>0</v>
      </c>
      <c r="AN99" s="1">
        <v>3.0000000000000001E-3</v>
      </c>
      <c r="AO99" s="1">
        <v>0</v>
      </c>
      <c r="AP99" s="1">
        <v>1E-3</v>
      </c>
      <c r="AQ99" s="1">
        <v>0</v>
      </c>
      <c r="AR99" s="1">
        <v>0</v>
      </c>
      <c r="AS99" s="1">
        <v>1E-3</v>
      </c>
      <c r="AT99" s="1">
        <v>1E-3</v>
      </c>
      <c r="AU99" s="1">
        <v>1E-3</v>
      </c>
      <c r="AV99" s="1">
        <v>0</v>
      </c>
      <c r="AW99" s="1">
        <v>1E-3</v>
      </c>
      <c r="AX99" s="1">
        <v>1E-3</v>
      </c>
      <c r="AY99" s="1">
        <v>2E-3</v>
      </c>
      <c r="AZ99" s="1">
        <v>2E-3</v>
      </c>
      <c r="BA99" s="1">
        <v>4.0000000000000001E-3</v>
      </c>
      <c r="BB99" s="1">
        <v>0</v>
      </c>
      <c r="BC99" s="1">
        <v>0</v>
      </c>
      <c r="BD99" s="1">
        <v>4.0000000000000001E-3</v>
      </c>
      <c r="BE99" s="1">
        <v>0</v>
      </c>
      <c r="BF99" s="1">
        <v>2E-3</v>
      </c>
      <c r="BG99" s="1">
        <v>0</v>
      </c>
      <c r="BH99" s="1">
        <v>2E-3</v>
      </c>
      <c r="BI99" s="1">
        <v>0</v>
      </c>
      <c r="BJ99" s="1">
        <v>0</v>
      </c>
      <c r="BK99" s="1">
        <v>0</v>
      </c>
      <c r="BL99" s="1">
        <v>1E-3</v>
      </c>
      <c r="BM99" s="1">
        <v>0</v>
      </c>
      <c r="BN99" s="1">
        <v>1E-3</v>
      </c>
      <c r="BO99" s="1">
        <v>0</v>
      </c>
      <c r="BP99" s="1">
        <v>0</v>
      </c>
      <c r="BQ99" s="1">
        <v>1E-3</v>
      </c>
      <c r="BR99" s="1">
        <v>1E-3</v>
      </c>
      <c r="BS99" s="1">
        <v>1E-3</v>
      </c>
      <c r="BT99" s="1">
        <v>1E-3</v>
      </c>
      <c r="BU99" s="1">
        <v>0.93100000000000005</v>
      </c>
      <c r="BV99" s="1">
        <v>0</v>
      </c>
      <c r="BW99" s="1">
        <v>1E-3</v>
      </c>
      <c r="BX99" s="1">
        <v>2E-3</v>
      </c>
      <c r="BY99" s="1">
        <v>2E-3</v>
      </c>
      <c r="BZ99" s="1">
        <v>1E-3</v>
      </c>
      <c r="CA99" s="1">
        <v>1E-3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1E-3</v>
      </c>
      <c r="CH99" s="1">
        <v>1E-3</v>
      </c>
      <c r="CI99" s="1">
        <v>2E-3</v>
      </c>
      <c r="CJ99" s="1">
        <v>2E-3</v>
      </c>
      <c r="CK99" s="1">
        <v>5.0000000000000001E-3</v>
      </c>
      <c r="CL99" s="1">
        <v>2E-3</v>
      </c>
      <c r="CM99" s="1">
        <v>19.078545720000001</v>
      </c>
      <c r="CN99" s="83">
        <v>120.55445779999999</v>
      </c>
    </row>
    <row r="100" spans="1:92" s="3" customFormat="1" ht="18.95" customHeight="1" x14ac:dyDescent="0.25">
      <c r="A100" s="72">
        <v>97</v>
      </c>
      <c r="B100" s="81" t="s">
        <v>1320</v>
      </c>
      <c r="C100" s="1" t="s">
        <v>72</v>
      </c>
      <c r="D100" s="1" t="s">
        <v>79</v>
      </c>
      <c r="E100" s="1" t="s">
        <v>99</v>
      </c>
      <c r="F100" s="1" t="s">
        <v>75</v>
      </c>
      <c r="G100" s="1" t="s">
        <v>80</v>
      </c>
      <c r="H100" s="1" t="s">
        <v>526</v>
      </c>
      <c r="I100" s="1"/>
      <c r="J100" s="9" t="s">
        <v>506</v>
      </c>
      <c r="K100" s="10">
        <v>0.36192883333333398</v>
      </c>
      <c r="L100" s="1" t="s">
        <v>641</v>
      </c>
      <c r="M100" s="1" t="s">
        <v>76</v>
      </c>
      <c r="N100" s="1" t="s">
        <v>644</v>
      </c>
      <c r="O100" s="1" t="s">
        <v>33</v>
      </c>
      <c r="P100" s="82">
        <v>0.51800000000000002</v>
      </c>
      <c r="Q100" s="1" t="s">
        <v>76</v>
      </c>
      <c r="R100" s="81" t="s">
        <v>77</v>
      </c>
      <c r="S100" s="1" t="s">
        <v>76</v>
      </c>
      <c r="T100" s="1" t="s">
        <v>78</v>
      </c>
      <c r="U100" s="1" t="s">
        <v>658</v>
      </c>
      <c r="V100" s="1" t="s">
        <v>655</v>
      </c>
      <c r="W100" s="1">
        <v>13</v>
      </c>
      <c r="X100" s="1" t="s">
        <v>76</v>
      </c>
      <c r="Y100" s="1" t="s">
        <v>644</v>
      </c>
      <c r="Z100" s="1">
        <v>1E-3</v>
      </c>
      <c r="AA100" s="1">
        <v>2E-3</v>
      </c>
      <c r="AB100" s="1">
        <v>2E-3</v>
      </c>
      <c r="AC100" s="1">
        <v>8.9999999999999993E-3</v>
      </c>
      <c r="AD100" s="1">
        <v>2E-3</v>
      </c>
      <c r="AE100" s="1">
        <v>3.0000000000000001E-3</v>
      </c>
      <c r="AF100" s="1">
        <v>3.0000000000000001E-3</v>
      </c>
      <c r="AG100" s="1">
        <v>0</v>
      </c>
      <c r="AH100" s="1">
        <v>6.0000000000000001E-3</v>
      </c>
      <c r="AI100" s="1">
        <v>1E-3</v>
      </c>
      <c r="AJ100" s="1">
        <v>7.0000000000000001E-3</v>
      </c>
      <c r="AK100" s="1">
        <v>0.01</v>
      </c>
      <c r="AL100" s="1">
        <v>0</v>
      </c>
      <c r="AM100" s="1">
        <v>1E-3</v>
      </c>
      <c r="AN100" s="1">
        <v>3.0000000000000001E-3</v>
      </c>
      <c r="AO100" s="1">
        <v>2E-3</v>
      </c>
      <c r="AP100" s="1">
        <v>1E-3</v>
      </c>
      <c r="AQ100" s="1">
        <v>1E-3</v>
      </c>
      <c r="AR100" s="1">
        <v>2E-3</v>
      </c>
      <c r="AS100" s="1">
        <v>7.0000000000000001E-3</v>
      </c>
      <c r="AT100" s="1">
        <v>3.0000000000000001E-3</v>
      </c>
      <c r="AU100" s="1">
        <v>3.0000000000000001E-3</v>
      </c>
      <c r="AV100" s="1">
        <v>1E-3</v>
      </c>
      <c r="AW100" s="1">
        <v>2E-3</v>
      </c>
      <c r="AX100" s="1">
        <v>1E-3</v>
      </c>
      <c r="AY100" s="1">
        <v>3.0000000000000001E-3</v>
      </c>
      <c r="AZ100" s="1">
        <v>5.0000000000000001E-3</v>
      </c>
      <c r="BA100" s="1">
        <v>8.9999999999999993E-3</v>
      </c>
      <c r="BB100" s="1">
        <v>0.51800000000000002</v>
      </c>
      <c r="BC100" s="1">
        <v>1E-3</v>
      </c>
      <c r="BD100" s="1">
        <v>0.01</v>
      </c>
      <c r="BE100" s="1">
        <v>1E-3</v>
      </c>
      <c r="BF100" s="1">
        <v>1E-3</v>
      </c>
      <c r="BG100" s="1">
        <v>1E-3</v>
      </c>
      <c r="BH100" s="1">
        <v>1E-3</v>
      </c>
      <c r="BI100" s="1">
        <v>1E-3</v>
      </c>
      <c r="BJ100" s="1">
        <v>1E-3</v>
      </c>
      <c r="BK100" s="1">
        <v>1E-3</v>
      </c>
      <c r="BL100" s="1">
        <v>3.0000000000000001E-3</v>
      </c>
      <c r="BM100" s="1">
        <v>2E-3</v>
      </c>
      <c r="BN100" s="1">
        <v>3.0000000000000001E-3</v>
      </c>
      <c r="BO100" s="1">
        <v>1.0999999999999999E-2</v>
      </c>
      <c r="BP100" s="1">
        <v>1E-3</v>
      </c>
      <c r="BQ100" s="1">
        <v>5.0000000000000001E-3</v>
      </c>
      <c r="BR100" s="1">
        <v>2E-3</v>
      </c>
      <c r="BS100" s="1">
        <v>3.0000000000000001E-3</v>
      </c>
      <c r="BT100" s="1">
        <v>2E-3</v>
      </c>
      <c r="BU100" s="1">
        <v>7.4999999999999997E-2</v>
      </c>
      <c r="BV100" s="1">
        <v>1.4999999999999999E-2</v>
      </c>
      <c r="BW100" s="1">
        <v>3.0000000000000001E-3</v>
      </c>
      <c r="BX100" s="1">
        <v>0.17799999999999999</v>
      </c>
      <c r="BY100" s="1">
        <v>6.0000000000000001E-3</v>
      </c>
      <c r="BZ100" s="1">
        <v>3.0000000000000001E-3</v>
      </c>
      <c r="CA100" s="1">
        <v>2E-3</v>
      </c>
      <c r="CB100" s="1">
        <v>1E-3</v>
      </c>
      <c r="CC100" s="1">
        <v>2E-3</v>
      </c>
      <c r="CD100" s="1">
        <v>0</v>
      </c>
      <c r="CE100" s="1">
        <v>2E-3</v>
      </c>
      <c r="CF100" s="1">
        <v>1E-3</v>
      </c>
      <c r="CG100" s="1">
        <v>2E-3</v>
      </c>
      <c r="CH100" s="1">
        <v>4.0000000000000001E-3</v>
      </c>
      <c r="CI100" s="1">
        <v>5.0000000000000001E-3</v>
      </c>
      <c r="CJ100" s="1">
        <v>4.0000000000000001E-3</v>
      </c>
      <c r="CK100" s="1">
        <v>3.5000000000000003E-2</v>
      </c>
      <c r="CL100" s="1">
        <v>4.0000000000000001E-3</v>
      </c>
      <c r="CM100" s="1">
        <v>-11.71898979</v>
      </c>
      <c r="CN100" s="83">
        <v>114.91056159999999</v>
      </c>
    </row>
    <row r="101" spans="1:92" s="3" customFormat="1" ht="21.95" customHeight="1" x14ac:dyDescent="0.25">
      <c r="A101" s="72">
        <v>98</v>
      </c>
      <c r="B101" s="81" t="s">
        <v>1171</v>
      </c>
      <c r="C101" s="1" t="s">
        <v>72</v>
      </c>
      <c r="D101" s="1" t="s">
        <v>79</v>
      </c>
      <c r="E101" s="1" t="s">
        <v>99</v>
      </c>
      <c r="F101" s="1" t="s">
        <v>108</v>
      </c>
      <c r="G101" s="1" t="s">
        <v>80</v>
      </c>
      <c r="H101" s="1" t="s">
        <v>10</v>
      </c>
      <c r="I101" s="1"/>
      <c r="J101" s="9" t="s">
        <v>544</v>
      </c>
      <c r="K101" s="10">
        <v>0.48574333333333303</v>
      </c>
      <c r="L101" s="1" t="s">
        <v>76</v>
      </c>
      <c r="M101" s="1" t="s">
        <v>506</v>
      </c>
      <c r="N101" s="1" t="s">
        <v>645</v>
      </c>
      <c r="O101" s="1" t="s">
        <v>10</v>
      </c>
      <c r="P101" s="82">
        <v>0.95299999999999996</v>
      </c>
      <c r="Q101" s="1" t="s">
        <v>76</v>
      </c>
      <c r="R101" s="81" t="s">
        <v>77</v>
      </c>
      <c r="S101" s="1" t="s">
        <v>76</v>
      </c>
      <c r="T101" s="1" t="s">
        <v>78</v>
      </c>
      <c r="U101" s="1" t="s">
        <v>658</v>
      </c>
      <c r="V101" s="1" t="s">
        <v>655</v>
      </c>
      <c r="W101" s="1">
        <v>14</v>
      </c>
      <c r="X101" s="1" t="s">
        <v>160</v>
      </c>
      <c r="Y101" s="1" t="s">
        <v>645</v>
      </c>
      <c r="Z101" s="1">
        <v>0</v>
      </c>
      <c r="AA101" s="1">
        <v>0</v>
      </c>
      <c r="AB101" s="1">
        <v>0</v>
      </c>
      <c r="AC101" s="1">
        <v>1E-3</v>
      </c>
      <c r="AD101" s="1">
        <v>0</v>
      </c>
      <c r="AE101" s="1">
        <v>0.95299999999999996</v>
      </c>
      <c r="AF101" s="1">
        <v>0</v>
      </c>
      <c r="AG101" s="1">
        <v>0</v>
      </c>
      <c r="AH101" s="1">
        <v>1E-3</v>
      </c>
      <c r="AI101" s="1">
        <v>0</v>
      </c>
      <c r="AJ101" s="1">
        <v>0</v>
      </c>
      <c r="AK101" s="1">
        <v>2.8000000000000001E-2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1E-3</v>
      </c>
      <c r="AX101" s="1">
        <v>0</v>
      </c>
      <c r="AY101" s="1">
        <v>0</v>
      </c>
      <c r="AZ101" s="1">
        <v>0</v>
      </c>
      <c r="BA101" s="1">
        <v>1E-3</v>
      </c>
      <c r="BB101" s="1">
        <v>0</v>
      </c>
      <c r="BC101" s="1">
        <v>0</v>
      </c>
      <c r="BD101" s="1">
        <v>1E-3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1E-3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1E-3</v>
      </c>
      <c r="CI101" s="1">
        <v>0</v>
      </c>
      <c r="CJ101" s="1">
        <v>1E-3</v>
      </c>
      <c r="CK101" s="1">
        <v>5.0000000000000001E-3</v>
      </c>
      <c r="CL101" s="1">
        <v>0</v>
      </c>
      <c r="CM101" s="1">
        <v>-14.21386893</v>
      </c>
      <c r="CN101" s="83">
        <v>150.38426989999999</v>
      </c>
    </row>
    <row r="102" spans="1:92" s="3" customFormat="1" x14ac:dyDescent="0.25">
      <c r="A102" s="72">
        <v>99</v>
      </c>
      <c r="B102" s="81" t="s">
        <v>1360</v>
      </c>
      <c r="C102" s="1" t="s">
        <v>72</v>
      </c>
      <c r="D102" s="1" t="s">
        <v>79</v>
      </c>
      <c r="E102" s="1" t="s">
        <v>74</v>
      </c>
      <c r="F102" s="1" t="s">
        <v>93</v>
      </c>
      <c r="G102" s="1" t="s">
        <v>80</v>
      </c>
      <c r="H102" s="1" t="s">
        <v>34</v>
      </c>
      <c r="I102" s="1"/>
      <c r="J102" s="9" t="s">
        <v>544</v>
      </c>
      <c r="K102" s="10">
        <v>0.39774466666666702</v>
      </c>
      <c r="L102" s="1" t="s">
        <v>76</v>
      </c>
      <c r="M102" s="1" t="s">
        <v>506</v>
      </c>
      <c r="N102" s="1" t="s">
        <v>645</v>
      </c>
      <c r="O102" s="1" t="s">
        <v>34</v>
      </c>
      <c r="P102" s="82">
        <v>1</v>
      </c>
      <c r="Q102" s="1" t="s">
        <v>76</v>
      </c>
      <c r="R102" s="81" t="s">
        <v>77</v>
      </c>
      <c r="S102" s="1" t="s">
        <v>76</v>
      </c>
      <c r="T102" s="1" t="s">
        <v>78</v>
      </c>
      <c r="U102" s="1" t="s">
        <v>658</v>
      </c>
      <c r="V102" s="1" t="s">
        <v>655</v>
      </c>
      <c r="W102" s="1">
        <v>36</v>
      </c>
      <c r="X102" s="1" t="s">
        <v>152</v>
      </c>
      <c r="Y102" s="1" t="s">
        <v>645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1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50.599254029999997</v>
      </c>
      <c r="CN102" s="83">
        <v>95.643610960000004</v>
      </c>
    </row>
    <row r="103" spans="1:92" s="3" customFormat="1" x14ac:dyDescent="0.25">
      <c r="A103" s="72">
        <v>100</v>
      </c>
      <c r="B103" s="81" t="s">
        <v>1233</v>
      </c>
      <c r="C103" s="1" t="s">
        <v>72</v>
      </c>
      <c r="D103" s="1" t="s">
        <v>79</v>
      </c>
      <c r="E103" s="1" t="s">
        <v>74</v>
      </c>
      <c r="F103" s="1" t="s">
        <v>113</v>
      </c>
      <c r="G103" s="1" t="s">
        <v>80</v>
      </c>
      <c r="H103" s="1" t="s">
        <v>530</v>
      </c>
      <c r="I103" s="1"/>
      <c r="J103" s="9" t="s">
        <v>506</v>
      </c>
      <c r="K103" s="10">
        <v>0.35096066666666598</v>
      </c>
      <c r="L103" s="1" t="s">
        <v>641</v>
      </c>
      <c r="M103" s="1" t="s">
        <v>76</v>
      </c>
      <c r="N103" s="1" t="s">
        <v>644</v>
      </c>
      <c r="O103" s="1" t="s">
        <v>68</v>
      </c>
      <c r="P103" s="82">
        <v>0.188</v>
      </c>
      <c r="Q103" s="1" t="s">
        <v>76</v>
      </c>
      <c r="R103" s="81" t="s">
        <v>87</v>
      </c>
      <c r="S103" s="1" t="s">
        <v>76</v>
      </c>
      <c r="T103" s="1" t="s">
        <v>78</v>
      </c>
      <c r="U103" s="1" t="s">
        <v>658</v>
      </c>
      <c r="V103" s="1" t="s">
        <v>655</v>
      </c>
      <c r="W103" s="1">
        <v>15</v>
      </c>
      <c r="X103" s="1" t="s">
        <v>76</v>
      </c>
      <c r="Y103" s="1" t="s">
        <v>644</v>
      </c>
      <c r="Z103" s="1">
        <v>0.10199999999999999</v>
      </c>
      <c r="AA103" s="1">
        <v>5.0000000000000001E-3</v>
      </c>
      <c r="AB103" s="1">
        <v>4.0000000000000001E-3</v>
      </c>
      <c r="AC103" s="1">
        <v>2.5999999999999999E-2</v>
      </c>
      <c r="AD103" s="1">
        <v>3.2000000000000001E-2</v>
      </c>
      <c r="AE103" s="1">
        <v>5.0000000000000001E-3</v>
      </c>
      <c r="AF103" s="1">
        <v>7.0000000000000001E-3</v>
      </c>
      <c r="AG103" s="1">
        <v>0</v>
      </c>
      <c r="AH103" s="1">
        <v>3.9E-2</v>
      </c>
      <c r="AI103" s="1">
        <v>6.0000000000000001E-3</v>
      </c>
      <c r="AJ103" s="1">
        <v>4.0000000000000001E-3</v>
      </c>
      <c r="AK103" s="1">
        <v>6.0000000000000001E-3</v>
      </c>
      <c r="AL103" s="1">
        <v>0</v>
      </c>
      <c r="AM103" s="1">
        <v>3.0000000000000001E-3</v>
      </c>
      <c r="AN103" s="1">
        <v>3.6999999999999998E-2</v>
      </c>
      <c r="AO103" s="1">
        <v>3.0000000000000001E-3</v>
      </c>
      <c r="AP103" s="1">
        <v>3.0000000000000001E-3</v>
      </c>
      <c r="AQ103" s="1">
        <v>3.0000000000000001E-3</v>
      </c>
      <c r="AR103" s="1">
        <v>1.0999999999999999E-2</v>
      </c>
      <c r="AS103" s="1">
        <v>8.0000000000000002E-3</v>
      </c>
      <c r="AT103" s="1">
        <v>4.0000000000000001E-3</v>
      </c>
      <c r="AU103" s="1">
        <v>7.0000000000000001E-3</v>
      </c>
      <c r="AV103" s="1">
        <v>5.0000000000000001E-3</v>
      </c>
      <c r="AW103" s="1">
        <v>4.0000000000000001E-3</v>
      </c>
      <c r="AX103" s="1">
        <v>8.0000000000000002E-3</v>
      </c>
      <c r="AY103" s="1">
        <v>8.9999999999999993E-3</v>
      </c>
      <c r="AZ103" s="1">
        <v>1.0999999999999999E-2</v>
      </c>
      <c r="BA103" s="1">
        <v>0.02</v>
      </c>
      <c r="BB103" s="1">
        <v>4.0000000000000001E-3</v>
      </c>
      <c r="BC103" s="1">
        <v>2E-3</v>
      </c>
      <c r="BD103" s="1">
        <v>2.3E-2</v>
      </c>
      <c r="BE103" s="1">
        <v>3.0000000000000001E-3</v>
      </c>
      <c r="BF103" s="1">
        <v>5.0999999999999997E-2</v>
      </c>
      <c r="BG103" s="1">
        <v>1E-3</v>
      </c>
      <c r="BH103" s="1">
        <v>6.0000000000000001E-3</v>
      </c>
      <c r="BI103" s="1">
        <v>2E-3</v>
      </c>
      <c r="BJ103" s="1">
        <v>1E-3</v>
      </c>
      <c r="BK103" s="1">
        <v>2E-3</v>
      </c>
      <c r="BL103" s="1">
        <v>4.0000000000000001E-3</v>
      </c>
      <c r="BM103" s="1">
        <v>3.0000000000000001E-3</v>
      </c>
      <c r="BN103" s="1">
        <v>4.0000000000000001E-3</v>
      </c>
      <c r="BO103" s="1">
        <v>4.0000000000000001E-3</v>
      </c>
      <c r="BP103" s="1">
        <v>2E-3</v>
      </c>
      <c r="BQ103" s="1">
        <v>6.0000000000000001E-3</v>
      </c>
      <c r="BR103" s="1">
        <v>4.0000000000000001E-3</v>
      </c>
      <c r="BS103" s="1">
        <v>0.02</v>
      </c>
      <c r="BT103" s="1">
        <v>3.0000000000000001E-3</v>
      </c>
      <c r="BU103" s="1">
        <v>0.17599999999999999</v>
      </c>
      <c r="BV103" s="1">
        <v>2E-3</v>
      </c>
      <c r="BW103" s="1">
        <v>4.0000000000000001E-3</v>
      </c>
      <c r="BX103" s="1">
        <v>2.7E-2</v>
      </c>
      <c r="BY103" s="1">
        <v>1.4999999999999999E-2</v>
      </c>
      <c r="BZ103" s="1">
        <v>8.9999999999999993E-3</v>
      </c>
      <c r="CA103" s="1">
        <v>6.0000000000000001E-3</v>
      </c>
      <c r="CB103" s="1">
        <v>2E-3</v>
      </c>
      <c r="CC103" s="1">
        <v>4.0000000000000001E-3</v>
      </c>
      <c r="CD103" s="1">
        <v>0</v>
      </c>
      <c r="CE103" s="1">
        <v>4.0000000000000001E-3</v>
      </c>
      <c r="CF103" s="1">
        <v>4.0000000000000001E-3</v>
      </c>
      <c r="CG103" s="1">
        <v>6.0000000000000001E-3</v>
      </c>
      <c r="CH103" s="1">
        <v>5.0000000000000001E-3</v>
      </c>
      <c r="CI103" s="1">
        <v>7.0000000000000001E-3</v>
      </c>
      <c r="CJ103" s="1">
        <v>8.0000000000000002E-3</v>
      </c>
      <c r="CK103" s="1">
        <v>0.188</v>
      </c>
      <c r="CL103" s="1">
        <v>1.4E-2</v>
      </c>
      <c r="CM103" s="1">
        <v>16.69503787</v>
      </c>
      <c r="CN103" s="83">
        <v>118.2500751</v>
      </c>
    </row>
    <row r="104" spans="1:92" s="3" customFormat="1" x14ac:dyDescent="0.25">
      <c r="A104" s="72">
        <v>101</v>
      </c>
      <c r="B104" s="81" t="s">
        <v>1354</v>
      </c>
      <c r="C104" s="1" t="s">
        <v>72</v>
      </c>
      <c r="D104" s="1" t="s">
        <v>79</v>
      </c>
      <c r="E104" s="1" t="s">
        <v>99</v>
      </c>
      <c r="F104" s="1" t="s">
        <v>93</v>
      </c>
      <c r="G104" s="1" t="s">
        <v>80</v>
      </c>
      <c r="H104" s="1" t="s">
        <v>34</v>
      </c>
      <c r="I104" s="1"/>
      <c r="J104" s="9" t="s">
        <v>544</v>
      </c>
      <c r="K104" s="10">
        <v>0.40373383333333401</v>
      </c>
      <c r="L104" s="1" t="s">
        <v>76</v>
      </c>
      <c r="M104" s="1" t="s">
        <v>506</v>
      </c>
      <c r="N104" s="1" t="s">
        <v>645</v>
      </c>
      <c r="O104" s="1" t="s">
        <v>34</v>
      </c>
      <c r="P104" s="82">
        <v>1</v>
      </c>
      <c r="Q104" s="1" t="s">
        <v>76</v>
      </c>
      <c r="R104" s="81" t="s">
        <v>77</v>
      </c>
      <c r="S104" s="1" t="s">
        <v>76</v>
      </c>
      <c r="T104" s="1" t="s">
        <v>78</v>
      </c>
      <c r="U104" s="1" t="s">
        <v>658</v>
      </c>
      <c r="V104" s="1" t="s">
        <v>655</v>
      </c>
      <c r="W104" s="1">
        <v>76</v>
      </c>
      <c r="X104" s="1" t="s">
        <v>152</v>
      </c>
      <c r="Y104" s="1" t="s">
        <v>645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1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46.818362720000003</v>
      </c>
      <c r="CN104" s="83">
        <v>96.982175290000001</v>
      </c>
    </row>
    <row r="105" spans="1:92" s="3" customFormat="1" x14ac:dyDescent="0.25">
      <c r="A105" s="72">
        <v>102</v>
      </c>
      <c r="B105" s="81" t="s">
        <v>1276</v>
      </c>
      <c r="C105" s="1" t="s">
        <v>72</v>
      </c>
      <c r="D105" s="1" t="s">
        <v>79</v>
      </c>
      <c r="E105" s="1" t="s">
        <v>99</v>
      </c>
      <c r="F105" s="1" t="s">
        <v>105</v>
      </c>
      <c r="G105" s="1" t="s">
        <v>80</v>
      </c>
      <c r="H105" s="1" t="s">
        <v>33</v>
      </c>
      <c r="I105" s="1"/>
      <c r="J105" s="9" t="s">
        <v>544</v>
      </c>
      <c r="K105" s="10">
        <v>0.43313649999999998</v>
      </c>
      <c r="L105" s="1" t="s">
        <v>76</v>
      </c>
      <c r="M105" s="1" t="s">
        <v>506</v>
      </c>
      <c r="N105" s="1" t="s">
        <v>645</v>
      </c>
      <c r="O105" s="1" t="s">
        <v>33</v>
      </c>
      <c r="P105" s="82">
        <v>0.999</v>
      </c>
      <c r="Q105" s="1" t="s">
        <v>76</v>
      </c>
      <c r="R105" s="81" t="s">
        <v>104</v>
      </c>
      <c r="S105" s="1" t="s">
        <v>76</v>
      </c>
      <c r="T105" s="1" t="s">
        <v>78</v>
      </c>
      <c r="U105" s="1" t="s">
        <v>658</v>
      </c>
      <c r="V105" s="1" t="s">
        <v>655</v>
      </c>
      <c r="W105" s="1">
        <v>50</v>
      </c>
      <c r="X105" s="1" t="s">
        <v>150</v>
      </c>
      <c r="Y105" s="1" t="s">
        <v>645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0.999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-15.293136820000001</v>
      </c>
      <c r="CN105" s="83">
        <v>122.919476</v>
      </c>
    </row>
    <row r="106" spans="1:92" s="3" customFormat="1" x14ac:dyDescent="0.25">
      <c r="A106" s="72">
        <v>103</v>
      </c>
      <c r="B106" s="81" t="s">
        <v>1225</v>
      </c>
      <c r="C106" s="1" t="s">
        <v>72</v>
      </c>
      <c r="D106" s="1" t="s">
        <v>79</v>
      </c>
      <c r="E106" s="1" t="s">
        <v>99</v>
      </c>
      <c r="F106" s="1" t="s">
        <v>93</v>
      </c>
      <c r="G106" s="1" t="s">
        <v>80</v>
      </c>
      <c r="H106" s="1" t="s">
        <v>34</v>
      </c>
      <c r="I106" s="1"/>
      <c r="J106" s="9" t="s">
        <v>544</v>
      </c>
      <c r="K106" s="10">
        <v>0.343425166666667</v>
      </c>
      <c r="L106" s="1" t="s">
        <v>76</v>
      </c>
      <c r="M106" s="1" t="s">
        <v>506</v>
      </c>
      <c r="N106" s="1" t="s">
        <v>645</v>
      </c>
      <c r="O106" s="1" t="s">
        <v>34</v>
      </c>
      <c r="P106" s="82">
        <v>0.99199999999999999</v>
      </c>
      <c r="Q106" s="1" t="s">
        <v>76</v>
      </c>
      <c r="R106" s="81" t="s">
        <v>87</v>
      </c>
      <c r="S106" s="1" t="s">
        <v>76</v>
      </c>
      <c r="T106" s="1" t="s">
        <v>78</v>
      </c>
      <c r="U106" s="1" t="s">
        <v>658</v>
      </c>
      <c r="V106" s="1" t="s">
        <v>655</v>
      </c>
      <c r="W106" s="1">
        <v>49</v>
      </c>
      <c r="X106" s="1" t="s">
        <v>132</v>
      </c>
      <c r="Y106" s="1" t="s">
        <v>645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2E-3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0.99199999999999999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1E-3</v>
      </c>
      <c r="CL106" s="1">
        <v>0</v>
      </c>
      <c r="CM106" s="1">
        <v>46.038725360000001</v>
      </c>
      <c r="CN106" s="83">
        <v>104.8951873</v>
      </c>
    </row>
    <row r="107" spans="1:92" s="3" customFormat="1" x14ac:dyDescent="0.25">
      <c r="A107" s="72">
        <v>104</v>
      </c>
      <c r="B107" s="81" t="s">
        <v>1154</v>
      </c>
      <c r="C107" s="1" t="s">
        <v>72</v>
      </c>
      <c r="D107" s="1" t="s">
        <v>79</v>
      </c>
      <c r="E107" s="1" t="s">
        <v>99</v>
      </c>
      <c r="F107" s="1" t="s">
        <v>113</v>
      </c>
      <c r="G107" s="1" t="s">
        <v>80</v>
      </c>
      <c r="H107" s="1" t="s">
        <v>530</v>
      </c>
      <c r="I107" s="1"/>
      <c r="J107" s="9" t="s">
        <v>506</v>
      </c>
      <c r="K107" s="10">
        <v>0.35880916666666701</v>
      </c>
      <c r="L107" s="1" t="s">
        <v>641</v>
      </c>
      <c r="M107" s="1" t="s">
        <v>76</v>
      </c>
      <c r="N107" s="1" t="s">
        <v>644</v>
      </c>
      <c r="O107" s="1" t="s">
        <v>52</v>
      </c>
      <c r="P107" s="82">
        <v>0.86</v>
      </c>
      <c r="Q107" s="1" t="s">
        <v>76</v>
      </c>
      <c r="R107" s="81" t="s">
        <v>87</v>
      </c>
      <c r="S107" s="1" t="s">
        <v>76</v>
      </c>
      <c r="T107" s="1" t="s">
        <v>78</v>
      </c>
      <c r="U107" s="1" t="s">
        <v>658</v>
      </c>
      <c r="V107" s="1" t="s">
        <v>655</v>
      </c>
      <c r="W107" s="1">
        <v>11</v>
      </c>
      <c r="X107" s="1" t="s">
        <v>76</v>
      </c>
      <c r="Y107" s="1" t="s">
        <v>644</v>
      </c>
      <c r="Z107" s="1">
        <v>3.0000000000000001E-3</v>
      </c>
      <c r="AA107" s="1">
        <v>1E-3</v>
      </c>
      <c r="AB107" s="1">
        <v>1E-3</v>
      </c>
      <c r="AC107" s="1">
        <v>2E-3</v>
      </c>
      <c r="AD107" s="1">
        <v>1E-3</v>
      </c>
      <c r="AE107" s="1">
        <v>1E-3</v>
      </c>
      <c r="AF107" s="1">
        <v>2E-3</v>
      </c>
      <c r="AG107" s="1">
        <v>0</v>
      </c>
      <c r="AH107" s="1">
        <v>3.0000000000000001E-3</v>
      </c>
      <c r="AI107" s="1">
        <v>0</v>
      </c>
      <c r="AJ107" s="1">
        <v>1E-3</v>
      </c>
      <c r="AK107" s="1">
        <v>2E-3</v>
      </c>
      <c r="AL107" s="1">
        <v>0</v>
      </c>
      <c r="AM107" s="1">
        <v>1E-3</v>
      </c>
      <c r="AN107" s="1">
        <v>2E-3</v>
      </c>
      <c r="AO107" s="1">
        <v>0</v>
      </c>
      <c r="AP107" s="1">
        <v>1E-3</v>
      </c>
      <c r="AQ107" s="1">
        <v>0</v>
      </c>
      <c r="AR107" s="1">
        <v>6.0000000000000001E-3</v>
      </c>
      <c r="AS107" s="1">
        <v>2E-3</v>
      </c>
      <c r="AT107" s="1">
        <v>1E-3</v>
      </c>
      <c r="AU107" s="1">
        <v>2E-3</v>
      </c>
      <c r="AV107" s="1">
        <v>1E-3</v>
      </c>
      <c r="AW107" s="1">
        <v>1E-3</v>
      </c>
      <c r="AX107" s="1">
        <v>1E-3</v>
      </c>
      <c r="AY107" s="1">
        <v>2E-3</v>
      </c>
      <c r="AZ107" s="1">
        <v>3.0000000000000001E-3</v>
      </c>
      <c r="BA107" s="1">
        <v>4.0000000000000001E-3</v>
      </c>
      <c r="BB107" s="1">
        <v>1E-3</v>
      </c>
      <c r="BC107" s="1">
        <v>0</v>
      </c>
      <c r="BD107" s="1">
        <v>4.0000000000000001E-3</v>
      </c>
      <c r="BE107" s="1">
        <v>0</v>
      </c>
      <c r="BF107" s="1">
        <v>2E-3</v>
      </c>
      <c r="BG107" s="1">
        <v>0</v>
      </c>
      <c r="BH107" s="1">
        <v>1E-3</v>
      </c>
      <c r="BI107" s="1">
        <v>0</v>
      </c>
      <c r="BJ107" s="1">
        <v>0</v>
      </c>
      <c r="BK107" s="1">
        <v>0</v>
      </c>
      <c r="BL107" s="1">
        <v>1E-3</v>
      </c>
      <c r="BM107" s="1">
        <v>0</v>
      </c>
      <c r="BN107" s="1">
        <v>1E-3</v>
      </c>
      <c r="BO107" s="1">
        <v>1E-3</v>
      </c>
      <c r="BP107" s="1">
        <v>0</v>
      </c>
      <c r="BQ107" s="1">
        <v>2E-3</v>
      </c>
      <c r="BR107" s="1">
        <v>1E-3</v>
      </c>
      <c r="BS107" s="1">
        <v>0.01</v>
      </c>
      <c r="BT107" s="1">
        <v>1E-3</v>
      </c>
      <c r="BU107" s="1">
        <v>0.86</v>
      </c>
      <c r="BV107" s="1">
        <v>1E-3</v>
      </c>
      <c r="BW107" s="1">
        <v>1E-3</v>
      </c>
      <c r="BX107" s="1">
        <v>3.0000000000000001E-3</v>
      </c>
      <c r="BY107" s="1">
        <v>2E-3</v>
      </c>
      <c r="BZ107" s="1">
        <v>1E-3</v>
      </c>
      <c r="CA107" s="1">
        <v>1E-3</v>
      </c>
      <c r="CB107" s="1">
        <v>0</v>
      </c>
      <c r="CC107" s="1">
        <v>1E-3</v>
      </c>
      <c r="CD107" s="1">
        <v>0</v>
      </c>
      <c r="CE107" s="1">
        <v>1E-3</v>
      </c>
      <c r="CF107" s="1">
        <v>1E-3</v>
      </c>
      <c r="CG107" s="1">
        <v>1E-3</v>
      </c>
      <c r="CH107" s="1">
        <v>1E-3</v>
      </c>
      <c r="CI107" s="1">
        <v>2E-3</v>
      </c>
      <c r="CJ107" s="1">
        <v>1E-3</v>
      </c>
      <c r="CK107" s="1">
        <v>5.2999999999999999E-2</v>
      </c>
      <c r="CL107" s="1">
        <v>2E-3</v>
      </c>
      <c r="CM107" s="1">
        <v>14.87392374</v>
      </c>
      <c r="CN107" s="83">
        <v>119.8985833</v>
      </c>
    </row>
    <row r="108" spans="1:92" s="3" customFormat="1" x14ac:dyDescent="0.25">
      <c r="A108" s="72">
        <v>105</v>
      </c>
      <c r="B108" s="81" t="s">
        <v>1364</v>
      </c>
      <c r="C108" s="1" t="s">
        <v>72</v>
      </c>
      <c r="D108" s="1" t="s">
        <v>79</v>
      </c>
      <c r="E108" s="1" t="s">
        <v>99</v>
      </c>
      <c r="F108" s="1" t="s">
        <v>108</v>
      </c>
      <c r="G108" s="1" t="s">
        <v>80</v>
      </c>
      <c r="H108" s="1" t="s">
        <v>10</v>
      </c>
      <c r="I108" s="1"/>
      <c r="J108" s="9" t="s">
        <v>544</v>
      </c>
      <c r="K108" s="10">
        <v>0.45258700000000002</v>
      </c>
      <c r="L108" s="1" t="s">
        <v>76</v>
      </c>
      <c r="M108" s="1" t="s">
        <v>506</v>
      </c>
      <c r="N108" s="1" t="s">
        <v>645</v>
      </c>
      <c r="O108" s="1" t="s">
        <v>10</v>
      </c>
      <c r="P108" s="82">
        <v>0.996</v>
      </c>
      <c r="Q108" s="1" t="s">
        <v>76</v>
      </c>
      <c r="R108" s="81" t="s">
        <v>77</v>
      </c>
      <c r="S108" s="1" t="s">
        <v>76</v>
      </c>
      <c r="T108" s="1" t="s">
        <v>78</v>
      </c>
      <c r="U108" s="1" t="s">
        <v>658</v>
      </c>
      <c r="V108" s="1" t="s">
        <v>655</v>
      </c>
      <c r="W108" s="1">
        <v>15</v>
      </c>
      <c r="X108" s="1" t="s">
        <v>154</v>
      </c>
      <c r="Y108" s="1" t="s">
        <v>645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0.996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3.0000000000000001E-3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1E-3</v>
      </c>
      <c r="CL108" s="1">
        <v>0</v>
      </c>
      <c r="CM108" s="1">
        <v>-11.876682020000001</v>
      </c>
      <c r="CN108" s="83">
        <v>146.62441469999999</v>
      </c>
    </row>
    <row r="109" spans="1:92" s="3" customFormat="1" x14ac:dyDescent="0.25">
      <c r="A109" s="72">
        <v>106</v>
      </c>
      <c r="B109" s="81" t="s">
        <v>1273</v>
      </c>
      <c r="C109" s="1" t="s">
        <v>72</v>
      </c>
      <c r="D109" s="1" t="s">
        <v>79</v>
      </c>
      <c r="E109" s="1" t="s">
        <v>99</v>
      </c>
      <c r="F109" s="1" t="s">
        <v>155</v>
      </c>
      <c r="G109" s="1" t="s">
        <v>80</v>
      </c>
      <c r="H109" s="1" t="s">
        <v>156</v>
      </c>
      <c r="I109" s="1"/>
      <c r="J109" s="9" t="s">
        <v>506</v>
      </c>
      <c r="K109" s="10">
        <v>0.47221299999999999</v>
      </c>
      <c r="L109" s="1" t="s">
        <v>641</v>
      </c>
      <c r="M109" s="1" t="s">
        <v>76</v>
      </c>
      <c r="N109" s="1" t="s">
        <v>644</v>
      </c>
      <c r="O109" s="1" t="s">
        <v>53</v>
      </c>
      <c r="P109" s="82">
        <v>0.11600000000000001</v>
      </c>
      <c r="Q109" s="1" t="s">
        <v>76</v>
      </c>
      <c r="R109" s="81" t="s">
        <v>87</v>
      </c>
      <c r="S109" s="1" t="s">
        <v>76</v>
      </c>
      <c r="T109" s="1" t="s">
        <v>78</v>
      </c>
      <c r="U109" s="1" t="s">
        <v>658</v>
      </c>
      <c r="V109" s="1" t="s">
        <v>655</v>
      </c>
      <c r="W109" s="1">
        <v>67</v>
      </c>
      <c r="X109" s="1" t="s">
        <v>76</v>
      </c>
      <c r="Y109" s="1" t="s">
        <v>644</v>
      </c>
      <c r="Z109" s="1">
        <v>2E-3</v>
      </c>
      <c r="AA109" s="1">
        <v>6.0000000000000001E-3</v>
      </c>
      <c r="AB109" s="1">
        <v>6.0000000000000001E-3</v>
      </c>
      <c r="AC109" s="1">
        <v>4.5999999999999999E-2</v>
      </c>
      <c r="AD109" s="1">
        <v>5.0000000000000001E-3</v>
      </c>
      <c r="AE109" s="1">
        <v>1.2E-2</v>
      </c>
      <c r="AF109" s="1">
        <v>7.0000000000000001E-3</v>
      </c>
      <c r="AG109" s="1">
        <v>1E-3</v>
      </c>
      <c r="AH109" s="1">
        <v>1.9E-2</v>
      </c>
      <c r="AI109" s="1">
        <v>2E-3</v>
      </c>
      <c r="AJ109" s="1">
        <v>4.0000000000000001E-3</v>
      </c>
      <c r="AK109" s="1">
        <v>8.8999999999999996E-2</v>
      </c>
      <c r="AL109" s="1">
        <v>1E-3</v>
      </c>
      <c r="AM109" s="1">
        <v>4.0000000000000001E-3</v>
      </c>
      <c r="AN109" s="1">
        <v>5.0000000000000001E-3</v>
      </c>
      <c r="AO109" s="1">
        <v>1.0999999999999999E-2</v>
      </c>
      <c r="AP109" s="1">
        <v>5.0000000000000001E-3</v>
      </c>
      <c r="AQ109" s="1">
        <v>3.0000000000000001E-3</v>
      </c>
      <c r="AR109" s="1">
        <v>3.0000000000000001E-3</v>
      </c>
      <c r="AS109" s="1">
        <v>6.2E-2</v>
      </c>
      <c r="AT109" s="1">
        <v>1.7000000000000001E-2</v>
      </c>
      <c r="AU109" s="1">
        <v>5.0000000000000001E-3</v>
      </c>
      <c r="AV109" s="1">
        <v>3.0000000000000001E-3</v>
      </c>
      <c r="AW109" s="1">
        <v>1.7999999999999999E-2</v>
      </c>
      <c r="AX109" s="1">
        <v>3.0000000000000001E-3</v>
      </c>
      <c r="AY109" s="1">
        <v>0.01</v>
      </c>
      <c r="AZ109" s="1">
        <v>1.2999999999999999E-2</v>
      </c>
      <c r="BA109" s="1">
        <v>2.7E-2</v>
      </c>
      <c r="BB109" s="1">
        <v>3.7999999999999999E-2</v>
      </c>
      <c r="BC109" s="1">
        <v>3.0000000000000001E-3</v>
      </c>
      <c r="BD109" s="1">
        <v>3.5999999999999997E-2</v>
      </c>
      <c r="BE109" s="1">
        <v>5.0000000000000001E-3</v>
      </c>
      <c r="BF109" s="1">
        <v>3.0000000000000001E-3</v>
      </c>
      <c r="BG109" s="1">
        <v>7.0000000000000001E-3</v>
      </c>
      <c r="BH109" s="1">
        <v>5.0000000000000001E-3</v>
      </c>
      <c r="BI109" s="1">
        <v>4.0000000000000001E-3</v>
      </c>
      <c r="BJ109" s="1">
        <v>2E-3</v>
      </c>
      <c r="BK109" s="1">
        <v>3.0000000000000001E-3</v>
      </c>
      <c r="BL109" s="1">
        <v>1.0999999999999999E-2</v>
      </c>
      <c r="BM109" s="1">
        <v>5.0000000000000001E-3</v>
      </c>
      <c r="BN109" s="1">
        <v>1.4E-2</v>
      </c>
      <c r="BO109" s="1">
        <v>4.0000000000000001E-3</v>
      </c>
      <c r="BP109" s="1">
        <v>1E-3</v>
      </c>
      <c r="BQ109" s="1">
        <v>1.4E-2</v>
      </c>
      <c r="BR109" s="1">
        <v>6.0000000000000001E-3</v>
      </c>
      <c r="BS109" s="1">
        <v>4.0000000000000001E-3</v>
      </c>
      <c r="BT109" s="1">
        <v>4.0000000000000001E-3</v>
      </c>
      <c r="BU109" s="1">
        <v>2.1000000000000001E-2</v>
      </c>
      <c r="BV109" s="1">
        <v>0.11600000000000001</v>
      </c>
      <c r="BW109" s="1">
        <v>8.9999999999999993E-3</v>
      </c>
      <c r="BX109" s="1">
        <v>4.9000000000000002E-2</v>
      </c>
      <c r="BY109" s="1">
        <v>1.7000000000000001E-2</v>
      </c>
      <c r="BZ109" s="1">
        <v>8.9999999999999993E-3</v>
      </c>
      <c r="CA109" s="1">
        <v>6.0000000000000001E-3</v>
      </c>
      <c r="CB109" s="1">
        <v>2E-3</v>
      </c>
      <c r="CC109" s="1">
        <v>7.0000000000000001E-3</v>
      </c>
      <c r="CD109" s="1">
        <v>1E-3</v>
      </c>
      <c r="CE109" s="1">
        <v>5.0000000000000001E-3</v>
      </c>
      <c r="CF109" s="1">
        <v>4.0000000000000001E-3</v>
      </c>
      <c r="CG109" s="1">
        <v>1.2999999999999999E-2</v>
      </c>
      <c r="CH109" s="1">
        <v>2.1999999999999999E-2</v>
      </c>
      <c r="CI109" s="1">
        <v>1.4E-2</v>
      </c>
      <c r="CJ109" s="1">
        <v>2.5000000000000001E-2</v>
      </c>
      <c r="CK109" s="1">
        <v>0.107</v>
      </c>
      <c r="CL109" s="1">
        <v>1.6E-2</v>
      </c>
      <c r="CM109" s="1">
        <v>-15.14569421</v>
      </c>
      <c r="CN109" s="83">
        <v>125.99009719999999</v>
      </c>
    </row>
    <row r="110" spans="1:92" s="3" customFormat="1" x14ac:dyDescent="0.25">
      <c r="A110" s="72">
        <v>107</v>
      </c>
      <c r="B110" s="81" t="s">
        <v>1377</v>
      </c>
      <c r="C110" s="1" t="s">
        <v>72</v>
      </c>
      <c r="D110" s="1" t="s">
        <v>79</v>
      </c>
      <c r="E110" s="1" t="s">
        <v>74</v>
      </c>
      <c r="F110" s="1" t="s">
        <v>108</v>
      </c>
      <c r="G110" s="1" t="s">
        <v>80</v>
      </c>
      <c r="H110" s="1" t="s">
        <v>10</v>
      </c>
      <c r="I110" s="1"/>
      <c r="J110" s="9" t="s">
        <v>544</v>
      </c>
      <c r="K110" s="10">
        <v>0.44875083333333299</v>
      </c>
      <c r="L110" s="1" t="s">
        <v>76</v>
      </c>
      <c r="M110" s="1" t="s">
        <v>506</v>
      </c>
      <c r="N110" s="1" t="s">
        <v>645</v>
      </c>
      <c r="O110" s="1" t="s">
        <v>10</v>
      </c>
      <c r="P110" s="82">
        <v>1</v>
      </c>
      <c r="Q110" s="1" t="s">
        <v>76</v>
      </c>
      <c r="R110" s="81" t="s">
        <v>87</v>
      </c>
      <c r="S110" s="1" t="s">
        <v>76</v>
      </c>
      <c r="T110" s="1" t="s">
        <v>78</v>
      </c>
      <c r="U110" s="1" t="s">
        <v>658</v>
      </c>
      <c r="V110" s="1" t="s">
        <v>655</v>
      </c>
      <c r="W110" s="1">
        <v>30</v>
      </c>
      <c r="X110" s="1" t="s">
        <v>161</v>
      </c>
      <c r="Y110" s="1" t="s">
        <v>645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-13.162906789999999</v>
      </c>
      <c r="CN110" s="83">
        <v>147.65018860000001</v>
      </c>
    </row>
    <row r="111" spans="1:92" s="3" customFormat="1" x14ac:dyDescent="0.25">
      <c r="A111" s="72">
        <v>108</v>
      </c>
      <c r="B111" s="81" t="s">
        <v>1428</v>
      </c>
      <c r="C111" s="1" t="s">
        <v>72</v>
      </c>
      <c r="D111" s="1" t="s">
        <v>79</v>
      </c>
      <c r="E111" s="1" t="s">
        <v>99</v>
      </c>
      <c r="F111" s="1" t="s">
        <v>102</v>
      </c>
      <c r="G111" s="1" t="s">
        <v>80</v>
      </c>
      <c r="H111" s="1" t="s">
        <v>53</v>
      </c>
      <c r="I111" s="1"/>
      <c r="J111" s="9" t="s">
        <v>544</v>
      </c>
      <c r="K111" s="10">
        <v>0.37512266666666699</v>
      </c>
      <c r="L111" s="1" t="s">
        <v>76</v>
      </c>
      <c r="M111" s="1" t="s">
        <v>506</v>
      </c>
      <c r="N111" s="1" t="s">
        <v>645</v>
      </c>
      <c r="O111" s="1" t="s">
        <v>53</v>
      </c>
      <c r="P111" s="82">
        <v>0.97199999999999998</v>
      </c>
      <c r="Q111" s="1" t="s">
        <v>76</v>
      </c>
      <c r="R111" s="81" t="s">
        <v>124</v>
      </c>
      <c r="S111" s="1" t="s">
        <v>76</v>
      </c>
      <c r="T111" s="1" t="s">
        <v>78</v>
      </c>
      <c r="U111" s="1" t="s">
        <v>658</v>
      </c>
      <c r="V111" s="1" t="s">
        <v>655</v>
      </c>
      <c r="W111" s="1">
        <v>19</v>
      </c>
      <c r="X111" s="1" t="s">
        <v>159</v>
      </c>
      <c r="Y111" s="1" t="s">
        <v>645</v>
      </c>
      <c r="Z111" s="1">
        <v>0</v>
      </c>
      <c r="AA111" s="1">
        <v>0</v>
      </c>
      <c r="AB111" s="1">
        <v>0</v>
      </c>
      <c r="AC111" s="1">
        <v>1E-3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1E-3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1E-3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8.0000000000000002E-3</v>
      </c>
      <c r="BV111" s="1">
        <v>0.97199999999999998</v>
      </c>
      <c r="BW111" s="1">
        <v>0</v>
      </c>
      <c r="BX111" s="1">
        <v>7.0000000000000001E-3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5.0000000000000001E-3</v>
      </c>
      <c r="CL111" s="1">
        <v>0</v>
      </c>
      <c r="CM111" s="1">
        <v>-7.275302494</v>
      </c>
      <c r="CN111" s="83">
        <v>119.6516845</v>
      </c>
    </row>
    <row r="112" spans="1:92" s="3" customFormat="1" x14ac:dyDescent="0.25">
      <c r="A112" s="72">
        <v>109</v>
      </c>
      <c r="B112" s="81" t="s">
        <v>974</v>
      </c>
      <c r="C112" s="1" t="s">
        <v>162</v>
      </c>
      <c r="D112" s="1" t="s">
        <v>73</v>
      </c>
      <c r="E112" s="1" t="s">
        <v>99</v>
      </c>
      <c r="F112" s="1" t="s">
        <v>128</v>
      </c>
      <c r="G112" s="1" t="s">
        <v>163</v>
      </c>
      <c r="H112" s="1" t="s">
        <v>534</v>
      </c>
      <c r="I112" s="1"/>
      <c r="J112" s="9" t="s">
        <v>506</v>
      </c>
      <c r="K112" s="10">
        <v>0.482862666666667</v>
      </c>
      <c r="L112" s="1" t="s">
        <v>641</v>
      </c>
      <c r="M112" s="1" t="s">
        <v>76</v>
      </c>
      <c r="N112" s="1" t="s">
        <v>644</v>
      </c>
      <c r="O112" s="1" t="s">
        <v>68</v>
      </c>
      <c r="P112" s="82">
        <v>0.84099999999999997</v>
      </c>
      <c r="Q112" s="1" t="s">
        <v>76</v>
      </c>
      <c r="R112" s="81" t="s">
        <v>164</v>
      </c>
      <c r="S112" s="1">
        <v>3</v>
      </c>
      <c r="T112" s="1" t="s">
        <v>120</v>
      </c>
      <c r="U112" s="1" t="s">
        <v>658</v>
      </c>
      <c r="V112" s="1" t="s">
        <v>655</v>
      </c>
      <c r="W112" s="1">
        <v>70</v>
      </c>
      <c r="X112" s="1" t="s">
        <v>165</v>
      </c>
      <c r="Y112" s="1" t="s">
        <v>644</v>
      </c>
      <c r="Z112" s="1">
        <v>2E-3</v>
      </c>
      <c r="AA112" s="1">
        <v>1E-3</v>
      </c>
      <c r="AB112" s="1">
        <v>0</v>
      </c>
      <c r="AC112" s="1">
        <v>1E-3</v>
      </c>
      <c r="AD112" s="1">
        <v>1E-3</v>
      </c>
      <c r="AE112" s="1">
        <v>1E-3</v>
      </c>
      <c r="AF112" s="1">
        <v>1E-3</v>
      </c>
      <c r="AG112" s="1">
        <v>0</v>
      </c>
      <c r="AH112" s="1">
        <v>1E-3</v>
      </c>
      <c r="AI112" s="1">
        <v>0</v>
      </c>
      <c r="AJ112" s="1">
        <v>2E-3</v>
      </c>
      <c r="AK112" s="1">
        <v>1E-3</v>
      </c>
      <c r="AL112" s="1">
        <v>0</v>
      </c>
      <c r="AM112" s="1">
        <v>0</v>
      </c>
      <c r="AN112" s="1">
        <v>1E-3</v>
      </c>
      <c r="AO112" s="1">
        <v>0</v>
      </c>
      <c r="AP112" s="1">
        <v>0</v>
      </c>
      <c r="AQ112" s="1">
        <v>0</v>
      </c>
      <c r="AR112" s="1">
        <v>5.0000000000000001E-3</v>
      </c>
      <c r="AS112" s="1">
        <v>1E-3</v>
      </c>
      <c r="AT112" s="1">
        <v>0</v>
      </c>
      <c r="AU112" s="1">
        <v>4.0000000000000001E-3</v>
      </c>
      <c r="AV112" s="1">
        <v>0</v>
      </c>
      <c r="AW112" s="1">
        <v>0</v>
      </c>
      <c r="AX112" s="1">
        <v>2E-3</v>
      </c>
      <c r="AY112" s="1">
        <v>1E-3</v>
      </c>
      <c r="AZ112" s="1">
        <v>1E-3</v>
      </c>
      <c r="BA112" s="1">
        <v>1E-3</v>
      </c>
      <c r="BB112" s="1">
        <v>1E-3</v>
      </c>
      <c r="BC112" s="1">
        <v>0</v>
      </c>
      <c r="BD112" s="1">
        <v>2E-3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1E-3</v>
      </c>
      <c r="BM112" s="1">
        <v>0</v>
      </c>
      <c r="BN112" s="1">
        <v>0</v>
      </c>
      <c r="BO112" s="1">
        <v>1E-3</v>
      </c>
      <c r="BP112" s="1">
        <v>0</v>
      </c>
      <c r="BQ112" s="1">
        <v>1E-3</v>
      </c>
      <c r="BR112" s="1">
        <v>0</v>
      </c>
      <c r="BS112" s="1">
        <v>1.6E-2</v>
      </c>
      <c r="BT112" s="1">
        <v>0</v>
      </c>
      <c r="BU112" s="1">
        <v>0</v>
      </c>
      <c r="BV112" s="1">
        <v>0</v>
      </c>
      <c r="BW112" s="1">
        <v>0</v>
      </c>
      <c r="BX112" s="1">
        <v>0.1</v>
      </c>
      <c r="BY112" s="1">
        <v>1E-3</v>
      </c>
      <c r="BZ112" s="1">
        <v>1E-3</v>
      </c>
      <c r="CA112" s="1">
        <v>1E-3</v>
      </c>
      <c r="CB112" s="1">
        <v>0</v>
      </c>
      <c r="CC112" s="1">
        <v>1E-3</v>
      </c>
      <c r="CD112" s="1">
        <v>0</v>
      </c>
      <c r="CE112" s="1">
        <v>0</v>
      </c>
      <c r="CF112" s="1">
        <v>0</v>
      </c>
      <c r="CG112" s="1">
        <v>0</v>
      </c>
      <c r="CH112" s="1">
        <v>1E-3</v>
      </c>
      <c r="CI112" s="1">
        <v>0</v>
      </c>
      <c r="CJ112" s="1">
        <v>1E-3</v>
      </c>
      <c r="CK112" s="1">
        <v>0.84099999999999997</v>
      </c>
      <c r="CL112" s="1">
        <v>1E-3</v>
      </c>
      <c r="CM112" s="1">
        <v>80.258415839999998</v>
      </c>
      <c r="CN112" s="83">
        <v>-32.801231979999997</v>
      </c>
    </row>
    <row r="113" spans="1:92" s="3" customFormat="1" x14ac:dyDescent="0.25">
      <c r="A113" s="72">
        <v>110</v>
      </c>
      <c r="B113" s="81" t="s">
        <v>980</v>
      </c>
      <c r="C113" s="1" t="s">
        <v>162</v>
      </c>
      <c r="D113" s="1" t="s">
        <v>73</v>
      </c>
      <c r="E113" s="1" t="s">
        <v>74</v>
      </c>
      <c r="F113" s="1" t="s">
        <v>128</v>
      </c>
      <c r="G113" s="1" t="s">
        <v>166</v>
      </c>
      <c r="H113" s="1" t="s">
        <v>535</v>
      </c>
      <c r="I113" s="1"/>
      <c r="J113" s="9" t="s">
        <v>506</v>
      </c>
      <c r="K113" s="10">
        <v>0.381235833333334</v>
      </c>
      <c r="L113" s="1" t="s">
        <v>641</v>
      </c>
      <c r="M113" s="1" t="s">
        <v>76</v>
      </c>
      <c r="N113" s="1" t="s">
        <v>644</v>
      </c>
      <c r="O113" s="1" t="s">
        <v>68</v>
      </c>
      <c r="P113" s="82">
        <v>0.23699999999999999</v>
      </c>
      <c r="Q113" s="1" t="s">
        <v>76</v>
      </c>
      <c r="R113" s="81" t="s">
        <v>87</v>
      </c>
      <c r="S113" s="1">
        <v>3</v>
      </c>
      <c r="T113" s="1" t="s">
        <v>78</v>
      </c>
      <c r="U113" s="1" t="s">
        <v>658</v>
      </c>
      <c r="V113" s="1" t="s">
        <v>655</v>
      </c>
      <c r="W113" s="1">
        <v>19</v>
      </c>
      <c r="X113" s="1" t="s">
        <v>167</v>
      </c>
      <c r="Y113" s="1" t="s">
        <v>644</v>
      </c>
      <c r="Z113" s="1">
        <v>5.0000000000000001E-3</v>
      </c>
      <c r="AA113" s="1">
        <v>5.0000000000000001E-3</v>
      </c>
      <c r="AB113" s="1">
        <v>4.0000000000000001E-3</v>
      </c>
      <c r="AC113" s="1">
        <v>8.9999999999999993E-3</v>
      </c>
      <c r="AD113" s="1">
        <v>5.0000000000000001E-3</v>
      </c>
      <c r="AE113" s="1">
        <v>8.9999999999999993E-3</v>
      </c>
      <c r="AF113" s="1">
        <v>7.0000000000000001E-3</v>
      </c>
      <c r="AG113" s="1">
        <v>0</v>
      </c>
      <c r="AH113" s="1">
        <v>1.4E-2</v>
      </c>
      <c r="AI113" s="1">
        <v>1E-3</v>
      </c>
      <c r="AJ113" s="1">
        <v>3.3000000000000002E-2</v>
      </c>
      <c r="AK113" s="1">
        <v>1.2E-2</v>
      </c>
      <c r="AL113" s="1">
        <v>0</v>
      </c>
      <c r="AM113" s="1">
        <v>4.0000000000000001E-3</v>
      </c>
      <c r="AN113" s="1">
        <v>2.1000000000000001E-2</v>
      </c>
      <c r="AO113" s="1">
        <v>3.0000000000000001E-3</v>
      </c>
      <c r="AP113" s="1">
        <v>3.0000000000000001E-3</v>
      </c>
      <c r="AQ113" s="1">
        <v>2E-3</v>
      </c>
      <c r="AR113" s="1">
        <v>1.4999999999999999E-2</v>
      </c>
      <c r="AS113" s="1">
        <v>1.0999999999999999E-2</v>
      </c>
      <c r="AT113" s="1">
        <v>5.0000000000000001E-3</v>
      </c>
      <c r="AU113" s="1">
        <v>0.01</v>
      </c>
      <c r="AV113" s="1">
        <v>3.0000000000000001E-3</v>
      </c>
      <c r="AW113" s="1">
        <v>4.0000000000000001E-3</v>
      </c>
      <c r="AX113" s="1">
        <v>6.0000000000000001E-3</v>
      </c>
      <c r="AY113" s="1">
        <v>8.0000000000000002E-3</v>
      </c>
      <c r="AZ113" s="1">
        <v>1.2999999999999999E-2</v>
      </c>
      <c r="BA113" s="1">
        <v>1.7000000000000001E-2</v>
      </c>
      <c r="BB113" s="1">
        <v>4.5999999999999999E-2</v>
      </c>
      <c r="BC113" s="1">
        <v>2E-3</v>
      </c>
      <c r="BD113" s="1">
        <v>0.02</v>
      </c>
      <c r="BE113" s="1">
        <v>2E-3</v>
      </c>
      <c r="BF113" s="1">
        <v>2E-3</v>
      </c>
      <c r="BG113" s="1">
        <v>2E-3</v>
      </c>
      <c r="BH113" s="1">
        <v>2E-3</v>
      </c>
      <c r="BI113" s="1">
        <v>2E-3</v>
      </c>
      <c r="BJ113" s="1">
        <v>2E-3</v>
      </c>
      <c r="BK113" s="1">
        <v>2E-3</v>
      </c>
      <c r="BL113" s="1">
        <v>4.0000000000000001E-3</v>
      </c>
      <c r="BM113" s="1">
        <v>3.0000000000000001E-3</v>
      </c>
      <c r="BN113" s="1">
        <v>4.0000000000000001E-3</v>
      </c>
      <c r="BO113" s="1">
        <v>0.05</v>
      </c>
      <c r="BP113" s="1">
        <v>2E-3</v>
      </c>
      <c r="BQ113" s="1">
        <v>8.0000000000000002E-3</v>
      </c>
      <c r="BR113" s="1">
        <v>3.0000000000000001E-3</v>
      </c>
      <c r="BS113" s="1">
        <v>1.4E-2</v>
      </c>
      <c r="BT113" s="1">
        <v>3.0000000000000001E-3</v>
      </c>
      <c r="BU113" s="1">
        <v>0.17899999999999999</v>
      </c>
      <c r="BV113" s="1">
        <v>1.2E-2</v>
      </c>
      <c r="BW113" s="1">
        <v>5.0000000000000001E-3</v>
      </c>
      <c r="BX113" s="1">
        <v>7.2999999999999995E-2</v>
      </c>
      <c r="BY113" s="1">
        <v>0.01</v>
      </c>
      <c r="BZ113" s="1">
        <v>8.9999999999999993E-3</v>
      </c>
      <c r="CA113" s="1">
        <v>5.0000000000000001E-3</v>
      </c>
      <c r="CB113" s="1">
        <v>2E-3</v>
      </c>
      <c r="CC113" s="1">
        <v>4.0000000000000001E-3</v>
      </c>
      <c r="CD113" s="1">
        <v>0</v>
      </c>
      <c r="CE113" s="1">
        <v>3.0000000000000001E-3</v>
      </c>
      <c r="CF113" s="1">
        <v>3.0000000000000001E-3</v>
      </c>
      <c r="CG113" s="1">
        <v>5.0000000000000001E-3</v>
      </c>
      <c r="CH113" s="1">
        <v>6.0000000000000001E-3</v>
      </c>
      <c r="CI113" s="1">
        <v>7.0000000000000001E-3</v>
      </c>
      <c r="CJ113" s="1">
        <v>7.0000000000000001E-3</v>
      </c>
      <c r="CK113" s="1">
        <v>0.23699999999999999</v>
      </c>
      <c r="CL113" s="1">
        <v>3.2000000000000001E-2</v>
      </c>
      <c r="CM113" s="1">
        <v>-19.100320700000001</v>
      </c>
      <c r="CN113" s="83">
        <v>115.80814839999999</v>
      </c>
    </row>
    <row r="114" spans="1:92" s="3" customFormat="1" x14ac:dyDescent="0.25">
      <c r="A114" s="72">
        <v>111</v>
      </c>
      <c r="B114" s="81" t="s">
        <v>1319</v>
      </c>
      <c r="C114" s="1" t="s">
        <v>162</v>
      </c>
      <c r="D114" s="1" t="s">
        <v>73</v>
      </c>
      <c r="E114" s="1" t="s">
        <v>99</v>
      </c>
      <c r="F114" s="1" t="s">
        <v>128</v>
      </c>
      <c r="G114" s="1" t="s">
        <v>168</v>
      </c>
      <c r="H114" s="1" t="s">
        <v>534</v>
      </c>
      <c r="I114" s="1"/>
      <c r="J114" s="9" t="s">
        <v>506</v>
      </c>
      <c r="K114" s="10">
        <v>0.49266866666666698</v>
      </c>
      <c r="L114" s="1" t="s">
        <v>602</v>
      </c>
      <c r="M114" s="1" t="s">
        <v>506</v>
      </c>
      <c r="N114" s="1" t="s">
        <v>648</v>
      </c>
      <c r="O114" s="1" t="s">
        <v>68</v>
      </c>
      <c r="P114" s="82">
        <v>0.99299999999999999</v>
      </c>
      <c r="Q114" s="1" t="s">
        <v>76</v>
      </c>
      <c r="R114" s="81" t="s">
        <v>169</v>
      </c>
      <c r="S114" s="1">
        <v>3</v>
      </c>
      <c r="T114" s="1" t="s">
        <v>120</v>
      </c>
      <c r="U114" s="1" t="s">
        <v>658</v>
      </c>
      <c r="V114" s="1" t="s">
        <v>655</v>
      </c>
      <c r="W114" s="1">
        <v>62</v>
      </c>
      <c r="X114" s="1" t="s">
        <v>170</v>
      </c>
      <c r="Y114" s="1" t="s">
        <v>648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1E-3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1E-3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0.99299999999999999</v>
      </c>
      <c r="CL114" s="1">
        <v>0</v>
      </c>
      <c r="CM114" s="1">
        <v>73.527891229999994</v>
      </c>
      <c r="CN114" s="83">
        <v>-33.303608619999999</v>
      </c>
    </row>
    <row r="115" spans="1:92" s="3" customFormat="1" x14ac:dyDescent="0.25">
      <c r="A115" s="72">
        <v>112</v>
      </c>
      <c r="B115" s="81" t="s">
        <v>1004</v>
      </c>
      <c r="C115" s="1" t="s">
        <v>162</v>
      </c>
      <c r="D115" s="1" t="s">
        <v>73</v>
      </c>
      <c r="E115" s="1" t="s">
        <v>99</v>
      </c>
      <c r="F115" s="1" t="s">
        <v>128</v>
      </c>
      <c r="G115" s="1" t="s">
        <v>166</v>
      </c>
      <c r="H115" s="1" t="s">
        <v>535</v>
      </c>
      <c r="I115" s="1"/>
      <c r="J115" s="9" t="s">
        <v>506</v>
      </c>
      <c r="K115" s="10">
        <v>0.44753016666666601</v>
      </c>
      <c r="L115" s="1" t="s">
        <v>641</v>
      </c>
      <c r="M115" s="1" t="s">
        <v>76</v>
      </c>
      <c r="N115" s="1" t="s">
        <v>644</v>
      </c>
      <c r="O115" s="1" t="s">
        <v>55</v>
      </c>
      <c r="P115" s="82">
        <v>0.66</v>
      </c>
      <c r="Q115" s="1" t="s">
        <v>76</v>
      </c>
      <c r="R115" s="81" t="s">
        <v>87</v>
      </c>
      <c r="S115" s="1">
        <v>1</v>
      </c>
      <c r="T115" s="1" t="s">
        <v>78</v>
      </c>
      <c r="U115" s="1" t="s">
        <v>658</v>
      </c>
      <c r="V115" s="1" t="s">
        <v>655</v>
      </c>
      <c r="W115" s="1">
        <v>36</v>
      </c>
      <c r="X115" s="1" t="s">
        <v>170</v>
      </c>
      <c r="Y115" s="1" t="s">
        <v>644</v>
      </c>
      <c r="Z115" s="1">
        <v>1E-3</v>
      </c>
      <c r="AA115" s="1">
        <v>2E-3</v>
      </c>
      <c r="AB115" s="1">
        <v>2E-3</v>
      </c>
      <c r="AC115" s="1">
        <v>6.0000000000000001E-3</v>
      </c>
      <c r="AD115" s="1">
        <v>2E-3</v>
      </c>
      <c r="AE115" s="1">
        <v>4.0000000000000001E-3</v>
      </c>
      <c r="AF115" s="1">
        <v>2E-3</v>
      </c>
      <c r="AG115" s="1">
        <v>0</v>
      </c>
      <c r="AH115" s="1">
        <v>5.0000000000000001E-3</v>
      </c>
      <c r="AI115" s="1">
        <v>1E-3</v>
      </c>
      <c r="AJ115" s="1">
        <v>1.0999999999999999E-2</v>
      </c>
      <c r="AK115" s="1">
        <v>6.0000000000000001E-3</v>
      </c>
      <c r="AL115" s="1">
        <v>0</v>
      </c>
      <c r="AM115" s="1">
        <v>1E-3</v>
      </c>
      <c r="AN115" s="1">
        <v>4.0000000000000001E-3</v>
      </c>
      <c r="AO115" s="1">
        <v>1E-3</v>
      </c>
      <c r="AP115" s="1">
        <v>1E-3</v>
      </c>
      <c r="AQ115" s="1">
        <v>1E-3</v>
      </c>
      <c r="AR115" s="1">
        <v>5.0000000000000001E-3</v>
      </c>
      <c r="AS115" s="1">
        <v>4.0000000000000001E-3</v>
      </c>
      <c r="AT115" s="1">
        <v>2E-3</v>
      </c>
      <c r="AU115" s="1">
        <v>3.0000000000000001E-3</v>
      </c>
      <c r="AV115" s="1">
        <v>1E-3</v>
      </c>
      <c r="AW115" s="1">
        <v>2E-3</v>
      </c>
      <c r="AX115" s="1">
        <v>2E-3</v>
      </c>
      <c r="AY115" s="1">
        <v>2E-3</v>
      </c>
      <c r="AZ115" s="1">
        <v>3.0000000000000001E-3</v>
      </c>
      <c r="BA115" s="1">
        <v>5.0000000000000001E-3</v>
      </c>
      <c r="BB115" s="1">
        <v>0.108</v>
      </c>
      <c r="BC115" s="1">
        <v>1E-3</v>
      </c>
      <c r="BD115" s="1">
        <v>6.0000000000000001E-3</v>
      </c>
      <c r="BE115" s="1">
        <v>1E-3</v>
      </c>
      <c r="BF115" s="1">
        <v>1E-3</v>
      </c>
      <c r="BG115" s="1">
        <v>1E-3</v>
      </c>
      <c r="BH115" s="1">
        <v>1E-3</v>
      </c>
      <c r="BI115" s="1">
        <v>1E-3</v>
      </c>
      <c r="BJ115" s="1">
        <v>1E-3</v>
      </c>
      <c r="BK115" s="1">
        <v>1E-3</v>
      </c>
      <c r="BL115" s="1">
        <v>2E-3</v>
      </c>
      <c r="BM115" s="1">
        <v>1E-3</v>
      </c>
      <c r="BN115" s="1">
        <v>2E-3</v>
      </c>
      <c r="BO115" s="1">
        <v>2.3E-2</v>
      </c>
      <c r="BP115" s="1">
        <v>1E-3</v>
      </c>
      <c r="BQ115" s="1">
        <v>3.0000000000000001E-3</v>
      </c>
      <c r="BR115" s="1">
        <v>2E-3</v>
      </c>
      <c r="BS115" s="1">
        <v>4.0000000000000001E-3</v>
      </c>
      <c r="BT115" s="1">
        <v>1E-3</v>
      </c>
      <c r="BU115" s="1">
        <v>2E-3</v>
      </c>
      <c r="BV115" s="1">
        <v>7.0000000000000001E-3</v>
      </c>
      <c r="BW115" s="1">
        <v>2E-3</v>
      </c>
      <c r="BX115" s="1">
        <v>0.66</v>
      </c>
      <c r="BY115" s="1">
        <v>4.0000000000000001E-3</v>
      </c>
      <c r="BZ115" s="1">
        <v>3.0000000000000001E-3</v>
      </c>
      <c r="CA115" s="1">
        <v>2E-3</v>
      </c>
      <c r="CB115" s="1">
        <v>1E-3</v>
      </c>
      <c r="CC115" s="1">
        <v>2E-3</v>
      </c>
      <c r="CD115" s="1">
        <v>0</v>
      </c>
      <c r="CE115" s="1">
        <v>1E-3</v>
      </c>
      <c r="CF115" s="1">
        <v>1E-3</v>
      </c>
      <c r="CG115" s="1">
        <v>2E-3</v>
      </c>
      <c r="CH115" s="1">
        <v>3.0000000000000001E-3</v>
      </c>
      <c r="CI115" s="1">
        <v>2E-3</v>
      </c>
      <c r="CJ115" s="1">
        <v>3.0000000000000001E-3</v>
      </c>
      <c r="CK115" s="1">
        <v>6.4000000000000001E-2</v>
      </c>
      <c r="CL115" s="1">
        <v>4.0000000000000001E-3</v>
      </c>
      <c r="CM115" s="1">
        <v>-20.002381840000002</v>
      </c>
      <c r="CN115" s="83">
        <v>120.8459282</v>
      </c>
    </row>
    <row r="116" spans="1:92" s="3" customFormat="1" x14ac:dyDescent="0.25">
      <c r="A116" s="72">
        <v>113</v>
      </c>
      <c r="B116" s="81" t="s">
        <v>1397</v>
      </c>
      <c r="C116" s="1" t="s">
        <v>162</v>
      </c>
      <c r="D116" s="1" t="s">
        <v>73</v>
      </c>
      <c r="E116" s="1" t="s">
        <v>74</v>
      </c>
      <c r="F116" s="1" t="s">
        <v>128</v>
      </c>
      <c r="G116" s="1" t="s">
        <v>168</v>
      </c>
      <c r="H116" s="1" t="s">
        <v>534</v>
      </c>
      <c r="I116" s="1"/>
      <c r="J116" s="9" t="s">
        <v>506</v>
      </c>
      <c r="K116" s="10">
        <v>0.59598399999999996</v>
      </c>
      <c r="L116" s="1" t="s">
        <v>623</v>
      </c>
      <c r="M116" s="1" t="s">
        <v>506</v>
      </c>
      <c r="N116" s="1" t="s">
        <v>648</v>
      </c>
      <c r="O116" s="1" t="s">
        <v>55</v>
      </c>
      <c r="P116" s="82">
        <v>0.94899999999999995</v>
      </c>
      <c r="Q116" s="1" t="s">
        <v>76</v>
      </c>
      <c r="R116" s="81" t="s">
        <v>171</v>
      </c>
      <c r="S116" s="1">
        <v>3</v>
      </c>
      <c r="T116" s="1" t="s">
        <v>120</v>
      </c>
      <c r="U116" s="1" t="s">
        <v>658</v>
      </c>
      <c r="V116" s="1" t="s">
        <v>655</v>
      </c>
      <c r="W116" s="1">
        <v>79</v>
      </c>
      <c r="X116" s="1" t="s">
        <v>170</v>
      </c>
      <c r="Y116" s="1" t="s">
        <v>648</v>
      </c>
      <c r="Z116" s="1">
        <v>0</v>
      </c>
      <c r="AA116" s="1">
        <v>1.4999999999999999E-2</v>
      </c>
      <c r="AB116" s="1">
        <v>0</v>
      </c>
      <c r="AC116" s="1">
        <v>3.0000000000000001E-3</v>
      </c>
      <c r="AD116" s="1">
        <v>0</v>
      </c>
      <c r="AE116" s="1">
        <v>0</v>
      </c>
      <c r="AF116" s="1">
        <v>0</v>
      </c>
      <c r="AG116" s="1">
        <v>0</v>
      </c>
      <c r="AH116" s="1">
        <v>1E-3</v>
      </c>
      <c r="AI116" s="1">
        <v>0</v>
      </c>
      <c r="AJ116" s="1">
        <v>0</v>
      </c>
      <c r="AK116" s="1">
        <v>1E-3</v>
      </c>
      <c r="AL116" s="1">
        <v>0</v>
      </c>
      <c r="AM116" s="1">
        <v>0</v>
      </c>
      <c r="AN116" s="1">
        <v>0</v>
      </c>
      <c r="AO116" s="1">
        <v>1E-3</v>
      </c>
      <c r="AP116" s="1">
        <v>0</v>
      </c>
      <c r="AQ116" s="1">
        <v>0</v>
      </c>
      <c r="AR116" s="1">
        <v>0</v>
      </c>
      <c r="AS116" s="1">
        <v>1E-3</v>
      </c>
      <c r="AT116" s="1">
        <v>1E-3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1E-3</v>
      </c>
      <c r="BA116" s="1">
        <v>1E-3</v>
      </c>
      <c r="BB116" s="1">
        <v>1E-3</v>
      </c>
      <c r="BC116" s="1">
        <v>0</v>
      </c>
      <c r="BD116" s="1">
        <v>1E-3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1E-3</v>
      </c>
      <c r="BM116" s="1">
        <v>0</v>
      </c>
      <c r="BN116" s="1">
        <v>1E-3</v>
      </c>
      <c r="BO116" s="1">
        <v>0</v>
      </c>
      <c r="BP116" s="1">
        <v>0</v>
      </c>
      <c r="BQ116" s="1">
        <v>2E-3</v>
      </c>
      <c r="BR116" s="1">
        <v>0</v>
      </c>
      <c r="BS116" s="1">
        <v>0</v>
      </c>
      <c r="BT116" s="1">
        <v>0</v>
      </c>
      <c r="BU116" s="1">
        <v>0</v>
      </c>
      <c r="BV116" s="1">
        <v>1E-3</v>
      </c>
      <c r="BW116" s="1">
        <v>0</v>
      </c>
      <c r="BX116" s="1">
        <v>0.94899999999999995</v>
      </c>
      <c r="BY116" s="1">
        <v>1E-3</v>
      </c>
      <c r="BZ116" s="1">
        <v>1E-3</v>
      </c>
      <c r="CA116" s="1">
        <v>0</v>
      </c>
      <c r="CB116" s="1">
        <v>0</v>
      </c>
      <c r="CC116" s="1">
        <v>1E-3</v>
      </c>
      <c r="CD116" s="1">
        <v>0</v>
      </c>
      <c r="CE116" s="1">
        <v>0</v>
      </c>
      <c r="CF116" s="1">
        <v>0</v>
      </c>
      <c r="CG116" s="1">
        <v>1E-3</v>
      </c>
      <c r="CH116" s="1">
        <v>1E-3</v>
      </c>
      <c r="CI116" s="1">
        <v>1E-3</v>
      </c>
      <c r="CJ116" s="1">
        <v>1E-3</v>
      </c>
      <c r="CK116" s="1">
        <v>4.0000000000000001E-3</v>
      </c>
      <c r="CL116" s="1">
        <v>1E-3</v>
      </c>
      <c r="CM116" s="1">
        <v>76.019794509999997</v>
      </c>
      <c r="CN116" s="83">
        <v>-25.265849679999999</v>
      </c>
    </row>
    <row r="117" spans="1:92" s="3" customFormat="1" x14ac:dyDescent="0.25">
      <c r="A117" s="72">
        <v>114</v>
      </c>
      <c r="B117" s="81" t="s">
        <v>1043</v>
      </c>
      <c r="C117" s="1" t="s">
        <v>162</v>
      </c>
      <c r="D117" s="1" t="s">
        <v>73</v>
      </c>
      <c r="E117" s="1" t="s">
        <v>74</v>
      </c>
      <c r="F117" s="1" t="s">
        <v>128</v>
      </c>
      <c r="G117" s="1" t="s">
        <v>166</v>
      </c>
      <c r="H117" s="1" t="s">
        <v>535</v>
      </c>
      <c r="I117" s="1"/>
      <c r="J117" s="9" t="s">
        <v>506</v>
      </c>
      <c r="K117" s="10">
        <v>0.413024</v>
      </c>
      <c r="L117" s="1" t="s">
        <v>641</v>
      </c>
      <c r="M117" s="1" t="s">
        <v>76</v>
      </c>
      <c r="N117" s="1" t="s">
        <v>644</v>
      </c>
      <c r="O117" s="1" t="s">
        <v>55</v>
      </c>
      <c r="P117" s="82">
        <v>0.223</v>
      </c>
      <c r="Q117" s="1" t="s">
        <v>76</v>
      </c>
      <c r="R117" s="81" t="s">
        <v>87</v>
      </c>
      <c r="S117" s="1">
        <v>3</v>
      </c>
      <c r="T117" s="1" t="s">
        <v>78</v>
      </c>
      <c r="U117" s="1" t="s">
        <v>658</v>
      </c>
      <c r="V117" s="1" t="s">
        <v>655</v>
      </c>
      <c r="W117" s="1">
        <v>12</v>
      </c>
      <c r="X117" s="1" t="s">
        <v>167</v>
      </c>
      <c r="Y117" s="1" t="s">
        <v>644</v>
      </c>
      <c r="Z117" s="1">
        <v>3.0000000000000001E-3</v>
      </c>
      <c r="AA117" s="1">
        <v>5.0000000000000001E-3</v>
      </c>
      <c r="AB117" s="1">
        <v>4.0000000000000001E-3</v>
      </c>
      <c r="AC117" s="1">
        <v>1.2E-2</v>
      </c>
      <c r="AD117" s="1">
        <v>4.0000000000000001E-3</v>
      </c>
      <c r="AE117" s="1">
        <v>8.9999999999999993E-3</v>
      </c>
      <c r="AF117" s="1">
        <v>5.0000000000000001E-3</v>
      </c>
      <c r="AG117" s="1">
        <v>1E-3</v>
      </c>
      <c r="AH117" s="1">
        <v>1.4E-2</v>
      </c>
      <c r="AI117" s="1">
        <v>1E-3</v>
      </c>
      <c r="AJ117" s="1">
        <v>3.1E-2</v>
      </c>
      <c r="AK117" s="1">
        <v>1.7000000000000001E-2</v>
      </c>
      <c r="AL117" s="1">
        <v>0</v>
      </c>
      <c r="AM117" s="1">
        <v>4.0000000000000001E-3</v>
      </c>
      <c r="AN117" s="1">
        <v>1.7000000000000001E-2</v>
      </c>
      <c r="AO117" s="1">
        <v>3.0000000000000001E-3</v>
      </c>
      <c r="AP117" s="1">
        <v>2E-3</v>
      </c>
      <c r="AQ117" s="1">
        <v>2E-3</v>
      </c>
      <c r="AR117" s="1">
        <v>8.9999999999999993E-3</v>
      </c>
      <c r="AS117" s="1">
        <v>1.0999999999999999E-2</v>
      </c>
      <c r="AT117" s="1">
        <v>5.0000000000000001E-3</v>
      </c>
      <c r="AU117" s="1">
        <v>0.01</v>
      </c>
      <c r="AV117" s="1">
        <v>3.0000000000000001E-3</v>
      </c>
      <c r="AW117" s="1">
        <v>4.0000000000000001E-3</v>
      </c>
      <c r="AX117" s="1">
        <v>5.0000000000000001E-3</v>
      </c>
      <c r="AY117" s="1">
        <v>6.0000000000000001E-3</v>
      </c>
      <c r="AZ117" s="1">
        <v>8.9999999999999993E-3</v>
      </c>
      <c r="BA117" s="1">
        <v>1.4999999999999999E-2</v>
      </c>
      <c r="BB117" s="1">
        <v>0.20499999999999999</v>
      </c>
      <c r="BC117" s="1">
        <v>3.0000000000000001E-3</v>
      </c>
      <c r="BD117" s="1">
        <v>1.7999999999999999E-2</v>
      </c>
      <c r="BE117" s="1">
        <v>2E-3</v>
      </c>
      <c r="BF117" s="1">
        <v>1E-3</v>
      </c>
      <c r="BG117" s="1">
        <v>2E-3</v>
      </c>
      <c r="BH117" s="1">
        <v>2E-3</v>
      </c>
      <c r="BI117" s="1">
        <v>2E-3</v>
      </c>
      <c r="BJ117" s="1">
        <v>2E-3</v>
      </c>
      <c r="BK117" s="1">
        <v>2E-3</v>
      </c>
      <c r="BL117" s="1">
        <v>5.0000000000000001E-3</v>
      </c>
      <c r="BM117" s="1">
        <v>3.0000000000000001E-3</v>
      </c>
      <c r="BN117" s="1">
        <v>5.0000000000000001E-3</v>
      </c>
      <c r="BO117" s="1">
        <v>5.6000000000000001E-2</v>
      </c>
      <c r="BP117" s="1">
        <v>2E-3</v>
      </c>
      <c r="BQ117" s="1">
        <v>7.0000000000000001E-3</v>
      </c>
      <c r="BR117" s="1">
        <v>4.0000000000000001E-3</v>
      </c>
      <c r="BS117" s="1">
        <v>8.0000000000000002E-3</v>
      </c>
      <c r="BT117" s="1">
        <v>3.0000000000000001E-3</v>
      </c>
      <c r="BU117" s="1">
        <v>2.8000000000000001E-2</v>
      </c>
      <c r="BV117" s="1">
        <v>1.6E-2</v>
      </c>
      <c r="BW117" s="1">
        <v>5.0000000000000001E-3</v>
      </c>
      <c r="BX117" s="1">
        <v>0.223</v>
      </c>
      <c r="BY117" s="1">
        <v>0.01</v>
      </c>
      <c r="BZ117" s="1">
        <v>8.9999999999999993E-3</v>
      </c>
      <c r="CA117" s="1">
        <v>4.0000000000000001E-3</v>
      </c>
      <c r="CB117" s="1">
        <v>2E-3</v>
      </c>
      <c r="CC117" s="1">
        <v>4.0000000000000001E-3</v>
      </c>
      <c r="CD117" s="1">
        <v>0</v>
      </c>
      <c r="CE117" s="1">
        <v>3.0000000000000001E-3</v>
      </c>
      <c r="CF117" s="1">
        <v>3.0000000000000001E-3</v>
      </c>
      <c r="CG117" s="1">
        <v>5.0000000000000001E-3</v>
      </c>
      <c r="CH117" s="1">
        <v>7.0000000000000001E-3</v>
      </c>
      <c r="CI117" s="1">
        <v>6.0000000000000001E-3</v>
      </c>
      <c r="CJ117" s="1">
        <v>7.0000000000000001E-3</v>
      </c>
      <c r="CK117" s="1">
        <v>0.107</v>
      </c>
      <c r="CL117" s="1">
        <v>1.9E-2</v>
      </c>
      <c r="CM117" s="1">
        <v>-18.735306250000001</v>
      </c>
      <c r="CN117" s="83">
        <v>117.09322969999999</v>
      </c>
    </row>
    <row r="118" spans="1:92" s="3" customFormat="1" x14ac:dyDescent="0.25">
      <c r="A118" s="72">
        <v>115</v>
      </c>
      <c r="B118" s="81" t="s">
        <v>1486</v>
      </c>
      <c r="C118" s="1" t="s">
        <v>162</v>
      </c>
      <c r="D118" s="1" t="s">
        <v>73</v>
      </c>
      <c r="E118" s="1" t="s">
        <v>99</v>
      </c>
      <c r="F118" s="1" t="s">
        <v>128</v>
      </c>
      <c r="G118" s="1" t="s">
        <v>168</v>
      </c>
      <c r="H118" s="1" t="s">
        <v>534</v>
      </c>
      <c r="I118" s="1"/>
      <c r="J118" s="9" t="s">
        <v>506</v>
      </c>
      <c r="K118" s="10">
        <v>0.51278383333333399</v>
      </c>
      <c r="L118" s="1" t="s">
        <v>641</v>
      </c>
      <c r="M118" s="1" t="s">
        <v>76</v>
      </c>
      <c r="N118" s="1" t="s">
        <v>644</v>
      </c>
      <c r="O118" s="1" t="s">
        <v>55</v>
      </c>
      <c r="P118" s="82">
        <v>0.58499999999999996</v>
      </c>
      <c r="Q118" s="1" t="s">
        <v>76</v>
      </c>
      <c r="R118" s="81" t="s">
        <v>169</v>
      </c>
      <c r="S118" s="1">
        <v>3</v>
      </c>
      <c r="T118" s="1" t="s">
        <v>120</v>
      </c>
      <c r="U118" s="1" t="s">
        <v>658</v>
      </c>
      <c r="V118" s="1" t="s">
        <v>655</v>
      </c>
      <c r="W118" s="1">
        <v>49</v>
      </c>
      <c r="X118" s="1" t="s">
        <v>170</v>
      </c>
      <c r="Y118" s="1" t="s">
        <v>644</v>
      </c>
      <c r="Z118" s="1">
        <v>0</v>
      </c>
      <c r="AA118" s="1">
        <v>1E-3</v>
      </c>
      <c r="AB118" s="1">
        <v>0</v>
      </c>
      <c r="AC118" s="1">
        <v>2E-3</v>
      </c>
      <c r="AD118" s="1">
        <v>1E-3</v>
      </c>
      <c r="AE118" s="1">
        <v>1E-3</v>
      </c>
      <c r="AF118" s="1">
        <v>1E-3</v>
      </c>
      <c r="AG118" s="1">
        <v>0</v>
      </c>
      <c r="AH118" s="1">
        <v>1E-3</v>
      </c>
      <c r="AI118" s="1">
        <v>0</v>
      </c>
      <c r="AJ118" s="1">
        <v>1E-3</v>
      </c>
      <c r="AK118" s="1">
        <v>1E-3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1E-3</v>
      </c>
      <c r="AS118" s="1">
        <v>1E-3</v>
      </c>
      <c r="AT118" s="1">
        <v>1E-3</v>
      </c>
      <c r="AU118" s="1">
        <v>2E-3</v>
      </c>
      <c r="AV118" s="1">
        <v>0</v>
      </c>
      <c r="AW118" s="1">
        <v>1E-3</v>
      </c>
      <c r="AX118" s="1">
        <v>1E-3</v>
      </c>
      <c r="AY118" s="1">
        <v>1E-3</v>
      </c>
      <c r="AZ118" s="1">
        <v>1E-3</v>
      </c>
      <c r="BA118" s="1">
        <v>2E-3</v>
      </c>
      <c r="BB118" s="1">
        <v>2E-3</v>
      </c>
      <c r="BC118" s="1">
        <v>0</v>
      </c>
      <c r="BD118" s="1">
        <v>2E-3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1E-3</v>
      </c>
      <c r="BM118" s="1">
        <v>0</v>
      </c>
      <c r="BN118" s="1">
        <v>0</v>
      </c>
      <c r="BO118" s="1">
        <v>5.0000000000000001E-3</v>
      </c>
      <c r="BP118" s="1">
        <v>0</v>
      </c>
      <c r="BQ118" s="1">
        <v>1E-3</v>
      </c>
      <c r="BR118" s="1">
        <v>0</v>
      </c>
      <c r="BS118" s="1">
        <v>1E-3</v>
      </c>
      <c r="BT118" s="1">
        <v>0</v>
      </c>
      <c r="BU118" s="1">
        <v>0</v>
      </c>
      <c r="BV118" s="1">
        <v>1E-3</v>
      </c>
      <c r="BW118" s="1">
        <v>1E-3</v>
      </c>
      <c r="BX118" s="1">
        <v>0.58499999999999996</v>
      </c>
      <c r="BY118" s="1">
        <v>1E-3</v>
      </c>
      <c r="BZ118" s="1">
        <v>1E-3</v>
      </c>
      <c r="CA118" s="1">
        <v>1E-3</v>
      </c>
      <c r="CB118" s="1">
        <v>0</v>
      </c>
      <c r="CC118" s="1">
        <v>1E-3</v>
      </c>
      <c r="CD118" s="1">
        <v>0</v>
      </c>
      <c r="CE118" s="1">
        <v>0</v>
      </c>
      <c r="CF118" s="1">
        <v>0</v>
      </c>
      <c r="CG118" s="1">
        <v>1E-3</v>
      </c>
      <c r="CH118" s="1">
        <v>1E-3</v>
      </c>
      <c r="CI118" s="1">
        <v>1E-3</v>
      </c>
      <c r="CJ118" s="1">
        <v>1E-3</v>
      </c>
      <c r="CK118" s="1">
        <v>0.36799999999999999</v>
      </c>
      <c r="CL118" s="1">
        <v>1E-3</v>
      </c>
      <c r="CM118" s="1">
        <v>76.9301624</v>
      </c>
      <c r="CN118" s="83">
        <v>-30.254069619999999</v>
      </c>
    </row>
    <row r="119" spans="1:92" s="3" customFormat="1" x14ac:dyDescent="0.25">
      <c r="A119" s="72">
        <v>116</v>
      </c>
      <c r="B119" s="98" t="s">
        <v>1482</v>
      </c>
      <c r="C119" s="1" t="s">
        <v>162</v>
      </c>
      <c r="D119" s="1" t="s">
        <v>73</v>
      </c>
      <c r="E119" s="1" t="s">
        <v>74</v>
      </c>
      <c r="F119" s="1" t="s">
        <v>128</v>
      </c>
      <c r="G119" s="1" t="s">
        <v>172</v>
      </c>
      <c r="H119" s="1" t="s">
        <v>533</v>
      </c>
      <c r="I119" s="1"/>
      <c r="J119" s="9" t="s">
        <v>506</v>
      </c>
      <c r="K119" s="10">
        <v>0.57143049999999895</v>
      </c>
      <c r="L119" s="1" t="s">
        <v>597</v>
      </c>
      <c r="M119" s="1" t="s">
        <v>506</v>
      </c>
      <c r="N119" s="1" t="s">
        <v>647</v>
      </c>
      <c r="O119" s="1" t="s">
        <v>55</v>
      </c>
      <c r="P119" s="82">
        <v>0.98199999999999998</v>
      </c>
      <c r="Q119" s="1" t="s">
        <v>76</v>
      </c>
      <c r="R119" s="81" t="s">
        <v>77</v>
      </c>
      <c r="S119" s="1">
        <v>1</v>
      </c>
      <c r="T119" s="1" t="s">
        <v>78</v>
      </c>
      <c r="U119" s="1" t="s">
        <v>659</v>
      </c>
      <c r="V119" s="1" t="s">
        <v>655</v>
      </c>
      <c r="W119" s="1">
        <v>45</v>
      </c>
      <c r="X119" s="1" t="s">
        <v>167</v>
      </c>
      <c r="Y119" s="1" t="s">
        <v>647</v>
      </c>
      <c r="Z119" s="1">
        <v>0</v>
      </c>
      <c r="AA119" s="1">
        <v>0</v>
      </c>
      <c r="AB119" s="1">
        <v>0</v>
      </c>
      <c r="AC119" s="1">
        <v>1E-3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4.0000000000000001E-3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1E-3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0.98199999999999998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2E-3</v>
      </c>
      <c r="CL119" s="1">
        <v>0</v>
      </c>
      <c r="CM119" s="1">
        <v>47.401179659999997</v>
      </c>
      <c r="CN119" s="83">
        <v>45.332098119999998</v>
      </c>
    </row>
    <row r="120" spans="1:92" s="3" customFormat="1" x14ac:dyDescent="0.25">
      <c r="A120" s="72">
        <v>117</v>
      </c>
      <c r="B120" s="98" t="s">
        <v>1704</v>
      </c>
      <c r="C120" s="1" t="s">
        <v>162</v>
      </c>
      <c r="D120" s="1" t="s">
        <v>173</v>
      </c>
      <c r="E120" s="1" t="s">
        <v>99</v>
      </c>
      <c r="F120" s="1" t="s">
        <v>128</v>
      </c>
      <c r="G120" s="1" t="s">
        <v>163</v>
      </c>
      <c r="H120" s="1" t="s">
        <v>534</v>
      </c>
      <c r="I120" s="1"/>
      <c r="J120" s="9" t="s">
        <v>506</v>
      </c>
      <c r="K120" s="10">
        <v>0.31298550000000003</v>
      </c>
      <c r="L120" s="1" t="s">
        <v>641</v>
      </c>
      <c r="M120" s="1" t="s">
        <v>76</v>
      </c>
      <c r="N120" s="1" t="s">
        <v>644</v>
      </c>
      <c r="O120" s="1" t="s">
        <v>15</v>
      </c>
      <c r="P120" s="82">
        <v>0.65600000000000003</v>
      </c>
      <c r="Q120" s="1" t="s">
        <v>76</v>
      </c>
      <c r="R120" s="81" t="s">
        <v>174</v>
      </c>
      <c r="S120" s="1">
        <v>3</v>
      </c>
      <c r="T120" s="1" t="s">
        <v>120</v>
      </c>
      <c r="U120" s="1" t="s">
        <v>658</v>
      </c>
      <c r="V120" s="1" t="s">
        <v>655</v>
      </c>
      <c r="W120" s="1">
        <v>81</v>
      </c>
      <c r="X120" s="1" t="s">
        <v>170</v>
      </c>
      <c r="Y120" s="1" t="s">
        <v>644</v>
      </c>
      <c r="Z120" s="1">
        <v>2E-3</v>
      </c>
      <c r="AA120" s="1">
        <v>1E-3</v>
      </c>
      <c r="AB120" s="1">
        <v>1E-3</v>
      </c>
      <c r="AC120" s="1">
        <v>2E-3</v>
      </c>
      <c r="AD120" s="1">
        <v>2E-3</v>
      </c>
      <c r="AE120" s="1">
        <v>4.0000000000000001E-3</v>
      </c>
      <c r="AF120" s="1">
        <v>2E-3</v>
      </c>
      <c r="AG120" s="1">
        <v>0</v>
      </c>
      <c r="AH120" s="1">
        <v>4.0000000000000001E-3</v>
      </c>
      <c r="AI120" s="1">
        <v>0</v>
      </c>
      <c r="AJ120" s="1">
        <v>0.65600000000000003</v>
      </c>
      <c r="AK120" s="1">
        <v>1E-3</v>
      </c>
      <c r="AL120" s="1">
        <v>0</v>
      </c>
      <c r="AM120" s="1">
        <v>1E-3</v>
      </c>
      <c r="AN120" s="1">
        <v>7.0000000000000001E-3</v>
      </c>
      <c r="AO120" s="1">
        <v>1E-3</v>
      </c>
      <c r="AP120" s="1">
        <v>1E-3</v>
      </c>
      <c r="AQ120" s="1">
        <v>1E-3</v>
      </c>
      <c r="AR120" s="1">
        <v>7.0000000000000001E-3</v>
      </c>
      <c r="AS120" s="1">
        <v>3.0000000000000001E-3</v>
      </c>
      <c r="AT120" s="1">
        <v>1E-3</v>
      </c>
      <c r="AU120" s="1">
        <v>2E-3</v>
      </c>
      <c r="AV120" s="1">
        <v>1E-3</v>
      </c>
      <c r="AW120" s="1">
        <v>1E-3</v>
      </c>
      <c r="AX120" s="1">
        <v>2E-3</v>
      </c>
      <c r="AY120" s="1">
        <v>2E-3</v>
      </c>
      <c r="AZ120" s="1">
        <v>3.0000000000000001E-3</v>
      </c>
      <c r="BA120" s="1">
        <v>3.0000000000000001E-3</v>
      </c>
      <c r="BB120" s="1">
        <v>5.0000000000000001E-3</v>
      </c>
      <c r="BC120" s="1">
        <v>1E-3</v>
      </c>
      <c r="BD120" s="1">
        <v>5.0000000000000001E-3</v>
      </c>
      <c r="BE120" s="1">
        <v>1E-3</v>
      </c>
      <c r="BF120" s="1">
        <v>0</v>
      </c>
      <c r="BG120" s="1">
        <v>0</v>
      </c>
      <c r="BH120" s="1">
        <v>1E-3</v>
      </c>
      <c r="BI120" s="1">
        <v>1E-3</v>
      </c>
      <c r="BJ120" s="1">
        <v>1E-3</v>
      </c>
      <c r="BK120" s="1">
        <v>1E-3</v>
      </c>
      <c r="BL120" s="1">
        <v>1E-3</v>
      </c>
      <c r="BM120" s="1">
        <v>1E-3</v>
      </c>
      <c r="BN120" s="1">
        <v>1E-3</v>
      </c>
      <c r="BO120" s="1">
        <v>2.5999999999999999E-2</v>
      </c>
      <c r="BP120" s="1">
        <v>1E-3</v>
      </c>
      <c r="BQ120" s="1">
        <v>2E-3</v>
      </c>
      <c r="BR120" s="1">
        <v>1E-3</v>
      </c>
      <c r="BS120" s="1">
        <v>5.0000000000000001E-3</v>
      </c>
      <c r="BT120" s="1">
        <v>1E-3</v>
      </c>
      <c r="BU120" s="1">
        <v>5.0000000000000001E-3</v>
      </c>
      <c r="BV120" s="1">
        <v>0.03</v>
      </c>
      <c r="BW120" s="1">
        <v>1E-3</v>
      </c>
      <c r="BX120" s="1">
        <v>5.3999999999999999E-2</v>
      </c>
      <c r="BY120" s="1">
        <v>2E-3</v>
      </c>
      <c r="BZ120" s="1">
        <v>3.0000000000000001E-3</v>
      </c>
      <c r="CA120" s="1">
        <v>1E-3</v>
      </c>
      <c r="CB120" s="1">
        <v>1E-3</v>
      </c>
      <c r="CC120" s="1">
        <v>1E-3</v>
      </c>
      <c r="CD120" s="1">
        <v>0</v>
      </c>
      <c r="CE120" s="1">
        <v>1E-3</v>
      </c>
      <c r="CF120" s="1">
        <v>1E-3</v>
      </c>
      <c r="CG120" s="1">
        <v>2E-3</v>
      </c>
      <c r="CH120" s="1">
        <v>2E-3</v>
      </c>
      <c r="CI120" s="1">
        <v>1E-3</v>
      </c>
      <c r="CJ120" s="1">
        <v>1E-3</v>
      </c>
      <c r="CK120" s="1">
        <v>0.126</v>
      </c>
      <c r="CL120" s="1">
        <v>2E-3</v>
      </c>
      <c r="CM120" s="1">
        <v>6.7495073059999999</v>
      </c>
      <c r="CN120" s="83">
        <v>113.170512</v>
      </c>
    </row>
    <row r="121" spans="1:92" s="3" customFormat="1" x14ac:dyDescent="0.25">
      <c r="A121" s="72">
        <v>118</v>
      </c>
      <c r="B121" s="81" t="s">
        <v>1146</v>
      </c>
      <c r="C121" s="1" t="s">
        <v>162</v>
      </c>
      <c r="D121" s="1" t="s">
        <v>73</v>
      </c>
      <c r="E121" s="1" t="s">
        <v>74</v>
      </c>
      <c r="F121" s="1" t="s">
        <v>128</v>
      </c>
      <c r="G121" s="1" t="s">
        <v>166</v>
      </c>
      <c r="H121" s="1" t="s">
        <v>535</v>
      </c>
      <c r="I121" s="1"/>
      <c r="J121" s="9" t="s">
        <v>506</v>
      </c>
      <c r="K121" s="10">
        <v>0.38488333333333402</v>
      </c>
      <c r="L121" s="1" t="s">
        <v>641</v>
      </c>
      <c r="M121" s="1" t="s">
        <v>76</v>
      </c>
      <c r="N121" s="1" t="s">
        <v>644</v>
      </c>
      <c r="O121" s="1" t="s">
        <v>68</v>
      </c>
      <c r="P121" s="82">
        <v>0.71</v>
      </c>
      <c r="Q121" s="1" t="s">
        <v>76</v>
      </c>
      <c r="R121" s="81" t="s">
        <v>87</v>
      </c>
      <c r="S121" s="1">
        <v>3</v>
      </c>
      <c r="T121" s="1" t="s">
        <v>78</v>
      </c>
      <c r="U121" s="1" t="s">
        <v>658</v>
      </c>
      <c r="V121" s="1" t="s">
        <v>655</v>
      </c>
      <c r="W121" s="1">
        <v>24</v>
      </c>
      <c r="X121" s="1" t="s">
        <v>167</v>
      </c>
      <c r="Y121" s="1" t="s">
        <v>644</v>
      </c>
      <c r="Z121" s="1">
        <v>7.0000000000000001E-3</v>
      </c>
      <c r="AA121" s="1">
        <v>2E-3</v>
      </c>
      <c r="AB121" s="1">
        <v>1E-3</v>
      </c>
      <c r="AC121" s="1">
        <v>2E-3</v>
      </c>
      <c r="AD121" s="1">
        <v>2E-3</v>
      </c>
      <c r="AE121" s="1">
        <v>3.0000000000000001E-3</v>
      </c>
      <c r="AF121" s="1">
        <v>2E-3</v>
      </c>
      <c r="AG121" s="1">
        <v>0</v>
      </c>
      <c r="AH121" s="1">
        <v>5.0000000000000001E-3</v>
      </c>
      <c r="AI121" s="1">
        <v>0</v>
      </c>
      <c r="AJ121" s="1">
        <v>2.9000000000000001E-2</v>
      </c>
      <c r="AK121" s="1">
        <v>2E-3</v>
      </c>
      <c r="AL121" s="1">
        <v>0</v>
      </c>
      <c r="AM121" s="1">
        <v>2E-3</v>
      </c>
      <c r="AN121" s="1">
        <v>1.4E-2</v>
      </c>
      <c r="AO121" s="1">
        <v>1E-3</v>
      </c>
      <c r="AP121" s="1">
        <v>1E-3</v>
      </c>
      <c r="AQ121" s="1">
        <v>1E-3</v>
      </c>
      <c r="AR121" s="1">
        <v>2.1000000000000001E-2</v>
      </c>
      <c r="AS121" s="1">
        <v>3.0000000000000001E-3</v>
      </c>
      <c r="AT121" s="1">
        <v>1E-3</v>
      </c>
      <c r="AU121" s="1">
        <v>5.0000000000000001E-3</v>
      </c>
      <c r="AV121" s="1">
        <v>2E-3</v>
      </c>
      <c r="AW121" s="1">
        <v>1E-3</v>
      </c>
      <c r="AX121" s="1">
        <v>6.0000000000000001E-3</v>
      </c>
      <c r="AY121" s="1">
        <v>3.0000000000000001E-3</v>
      </c>
      <c r="AZ121" s="1">
        <v>5.0000000000000001E-3</v>
      </c>
      <c r="BA121" s="1">
        <v>4.0000000000000001E-3</v>
      </c>
      <c r="BB121" s="1">
        <v>5.0000000000000001E-3</v>
      </c>
      <c r="BC121" s="1">
        <v>1E-3</v>
      </c>
      <c r="BD121" s="1">
        <v>6.0000000000000001E-3</v>
      </c>
      <c r="BE121" s="1">
        <v>1E-3</v>
      </c>
      <c r="BF121" s="1">
        <v>1E-3</v>
      </c>
      <c r="BG121" s="1">
        <v>0</v>
      </c>
      <c r="BH121" s="1">
        <v>1E-3</v>
      </c>
      <c r="BI121" s="1">
        <v>1E-3</v>
      </c>
      <c r="BJ121" s="1">
        <v>2E-3</v>
      </c>
      <c r="BK121" s="1">
        <v>1E-3</v>
      </c>
      <c r="BL121" s="1">
        <v>1E-3</v>
      </c>
      <c r="BM121" s="1">
        <v>1E-3</v>
      </c>
      <c r="BN121" s="1">
        <v>1E-3</v>
      </c>
      <c r="BO121" s="1">
        <v>1.2999999999999999E-2</v>
      </c>
      <c r="BP121" s="1">
        <v>2E-3</v>
      </c>
      <c r="BQ121" s="1">
        <v>2E-3</v>
      </c>
      <c r="BR121" s="1">
        <v>1E-3</v>
      </c>
      <c r="BS121" s="1">
        <v>1.4E-2</v>
      </c>
      <c r="BT121" s="1">
        <v>1E-3</v>
      </c>
      <c r="BU121" s="1">
        <v>7.0000000000000001E-3</v>
      </c>
      <c r="BV121" s="1">
        <v>3.0000000000000001E-3</v>
      </c>
      <c r="BW121" s="1">
        <v>2E-3</v>
      </c>
      <c r="BX121" s="1">
        <v>2.5000000000000001E-2</v>
      </c>
      <c r="BY121" s="1">
        <v>3.0000000000000001E-3</v>
      </c>
      <c r="BZ121" s="1">
        <v>5.0000000000000001E-3</v>
      </c>
      <c r="CA121" s="1">
        <v>2E-3</v>
      </c>
      <c r="CB121" s="1">
        <v>1E-3</v>
      </c>
      <c r="CC121" s="1">
        <v>2E-3</v>
      </c>
      <c r="CD121" s="1">
        <v>0</v>
      </c>
      <c r="CE121" s="1">
        <v>1E-3</v>
      </c>
      <c r="CF121" s="1">
        <v>1E-3</v>
      </c>
      <c r="CG121" s="1">
        <v>2E-3</v>
      </c>
      <c r="CH121" s="1">
        <v>2E-3</v>
      </c>
      <c r="CI121" s="1">
        <v>1E-3</v>
      </c>
      <c r="CJ121" s="1">
        <v>2E-3</v>
      </c>
      <c r="CK121" s="1">
        <v>0.71</v>
      </c>
      <c r="CL121" s="1">
        <v>5.1999999999999998E-2</v>
      </c>
      <c r="CM121" s="1">
        <v>-2.367286172</v>
      </c>
      <c r="CN121" s="83">
        <v>108.7004467</v>
      </c>
    </row>
    <row r="122" spans="1:92" s="3" customFormat="1" x14ac:dyDescent="0.25">
      <c r="A122" s="72">
        <v>119</v>
      </c>
      <c r="B122" s="81" t="s">
        <v>1120</v>
      </c>
      <c r="C122" s="1" t="s">
        <v>162</v>
      </c>
      <c r="D122" s="1" t="s">
        <v>73</v>
      </c>
      <c r="E122" s="1" t="s">
        <v>74</v>
      </c>
      <c r="F122" s="1" t="s">
        <v>128</v>
      </c>
      <c r="G122" s="1" t="s">
        <v>175</v>
      </c>
      <c r="H122" s="1" t="s">
        <v>535</v>
      </c>
      <c r="I122" s="1"/>
      <c r="J122" s="9" t="s">
        <v>506</v>
      </c>
      <c r="K122" s="10">
        <v>0.58526566666666702</v>
      </c>
      <c r="L122" s="1" t="s">
        <v>641</v>
      </c>
      <c r="M122" s="1" t="s">
        <v>76</v>
      </c>
      <c r="N122" s="1" t="s">
        <v>644</v>
      </c>
      <c r="O122" s="1" t="s">
        <v>68</v>
      </c>
      <c r="P122" s="82">
        <v>8.5999999999999993E-2</v>
      </c>
      <c r="Q122" s="1" t="s">
        <v>76</v>
      </c>
      <c r="R122" s="81" t="s">
        <v>87</v>
      </c>
      <c r="S122" s="1">
        <v>1</v>
      </c>
      <c r="T122" s="1" t="s">
        <v>78</v>
      </c>
      <c r="U122" s="1" t="s">
        <v>658</v>
      </c>
      <c r="V122" s="1" t="s">
        <v>655</v>
      </c>
      <c r="W122" s="1">
        <v>60</v>
      </c>
      <c r="X122" s="1" t="s">
        <v>170</v>
      </c>
      <c r="Y122" s="1" t="s">
        <v>644</v>
      </c>
      <c r="Z122" s="1">
        <v>2E-3</v>
      </c>
      <c r="AA122" s="1">
        <v>8.0000000000000002E-3</v>
      </c>
      <c r="AB122" s="1">
        <v>6.0000000000000001E-3</v>
      </c>
      <c r="AC122" s="1">
        <v>4.1000000000000002E-2</v>
      </c>
      <c r="AD122" s="1">
        <v>5.0000000000000001E-3</v>
      </c>
      <c r="AE122" s="1">
        <v>5.0000000000000001E-3</v>
      </c>
      <c r="AF122" s="1">
        <v>0.01</v>
      </c>
      <c r="AG122" s="1">
        <v>2E-3</v>
      </c>
      <c r="AH122" s="1">
        <v>1.9E-2</v>
      </c>
      <c r="AI122" s="1">
        <v>2E-3</v>
      </c>
      <c r="AJ122" s="1">
        <v>3.0000000000000001E-3</v>
      </c>
      <c r="AK122" s="1">
        <v>2.4E-2</v>
      </c>
      <c r="AL122" s="1">
        <v>3.0000000000000001E-3</v>
      </c>
      <c r="AM122" s="1">
        <v>2E-3</v>
      </c>
      <c r="AN122" s="1">
        <v>4.0000000000000001E-3</v>
      </c>
      <c r="AO122" s="1">
        <v>1.9E-2</v>
      </c>
      <c r="AP122" s="1">
        <v>5.0000000000000001E-3</v>
      </c>
      <c r="AQ122" s="1">
        <v>4.0000000000000001E-3</v>
      </c>
      <c r="AR122" s="1">
        <v>3.0000000000000001E-3</v>
      </c>
      <c r="AS122" s="1">
        <v>4.9000000000000002E-2</v>
      </c>
      <c r="AT122" s="1">
        <v>0.02</v>
      </c>
      <c r="AU122" s="1">
        <v>1.4E-2</v>
      </c>
      <c r="AV122" s="1">
        <v>3.0000000000000001E-3</v>
      </c>
      <c r="AW122" s="1">
        <v>1.4E-2</v>
      </c>
      <c r="AX122" s="1">
        <v>5.0000000000000001E-3</v>
      </c>
      <c r="AY122" s="1">
        <v>3.6999999999999998E-2</v>
      </c>
      <c r="AZ122" s="1">
        <v>4.8000000000000001E-2</v>
      </c>
      <c r="BA122" s="1">
        <v>7.9000000000000001E-2</v>
      </c>
      <c r="BB122" s="1">
        <v>6.0000000000000001E-3</v>
      </c>
      <c r="BC122" s="1">
        <v>3.0000000000000001E-3</v>
      </c>
      <c r="BD122" s="1">
        <v>3.5999999999999997E-2</v>
      </c>
      <c r="BE122" s="1">
        <v>6.0000000000000001E-3</v>
      </c>
      <c r="BF122" s="1">
        <v>3.0000000000000001E-3</v>
      </c>
      <c r="BG122" s="1">
        <v>7.0000000000000001E-3</v>
      </c>
      <c r="BH122" s="1">
        <v>4.0000000000000001E-3</v>
      </c>
      <c r="BI122" s="1">
        <v>5.0000000000000001E-3</v>
      </c>
      <c r="BJ122" s="1">
        <v>2E-3</v>
      </c>
      <c r="BK122" s="1">
        <v>3.0000000000000001E-3</v>
      </c>
      <c r="BL122" s="1">
        <v>1.7999999999999999E-2</v>
      </c>
      <c r="BM122" s="1">
        <v>7.0000000000000001E-3</v>
      </c>
      <c r="BN122" s="1">
        <v>1.2E-2</v>
      </c>
      <c r="BO122" s="1">
        <v>4.0000000000000001E-3</v>
      </c>
      <c r="BP122" s="1">
        <v>2E-3</v>
      </c>
      <c r="BQ122" s="1">
        <v>4.1000000000000002E-2</v>
      </c>
      <c r="BR122" s="1">
        <v>7.0000000000000001E-3</v>
      </c>
      <c r="BS122" s="1">
        <v>4.0000000000000001E-3</v>
      </c>
      <c r="BT122" s="1">
        <v>4.0000000000000001E-3</v>
      </c>
      <c r="BU122" s="1">
        <v>3.0000000000000001E-3</v>
      </c>
      <c r="BV122" s="1">
        <v>7.0000000000000001E-3</v>
      </c>
      <c r="BW122" s="1">
        <v>7.1999999999999995E-2</v>
      </c>
      <c r="BX122" s="1">
        <v>1.9E-2</v>
      </c>
      <c r="BY122" s="1">
        <v>1.9E-2</v>
      </c>
      <c r="BZ122" s="1">
        <v>1.6E-2</v>
      </c>
      <c r="CA122" s="1">
        <v>6.0000000000000001E-3</v>
      </c>
      <c r="CB122" s="1">
        <v>4.0000000000000001E-3</v>
      </c>
      <c r="CC122" s="1">
        <v>0.01</v>
      </c>
      <c r="CD122" s="1">
        <v>2E-3</v>
      </c>
      <c r="CE122" s="1">
        <v>6.0000000000000001E-3</v>
      </c>
      <c r="CF122" s="1">
        <v>7.0000000000000001E-3</v>
      </c>
      <c r="CG122" s="1">
        <v>8.9999999999999993E-3</v>
      </c>
      <c r="CH122" s="1">
        <v>6.7000000000000004E-2</v>
      </c>
      <c r="CI122" s="1">
        <v>1.2E-2</v>
      </c>
      <c r="CJ122" s="1">
        <v>2.5000000000000001E-2</v>
      </c>
      <c r="CK122" s="1">
        <v>8.5999999999999993E-2</v>
      </c>
      <c r="CL122" s="1">
        <v>2.1999999999999999E-2</v>
      </c>
      <c r="CM122" s="1">
        <v>-41.681295730000002</v>
      </c>
      <c r="CN122" s="83">
        <v>28.440287359999999</v>
      </c>
    </row>
    <row r="123" spans="1:92" s="3" customFormat="1" x14ac:dyDescent="0.25">
      <c r="A123" s="72">
        <v>120</v>
      </c>
      <c r="B123" s="81" t="s">
        <v>1180</v>
      </c>
      <c r="C123" s="1" t="s">
        <v>162</v>
      </c>
      <c r="D123" s="1" t="s">
        <v>73</v>
      </c>
      <c r="E123" s="1" t="s">
        <v>74</v>
      </c>
      <c r="F123" s="1" t="s">
        <v>128</v>
      </c>
      <c r="G123" s="1" t="s">
        <v>166</v>
      </c>
      <c r="H123" s="1" t="s">
        <v>535</v>
      </c>
      <c r="I123" s="1"/>
      <c r="J123" s="9" t="s">
        <v>506</v>
      </c>
      <c r="K123" s="10">
        <v>0.49098350000000002</v>
      </c>
      <c r="L123" s="1" t="s">
        <v>614</v>
      </c>
      <c r="M123" s="1" t="s">
        <v>506</v>
      </c>
      <c r="N123" s="1" t="s">
        <v>647</v>
      </c>
      <c r="O123" s="1" t="s">
        <v>55</v>
      </c>
      <c r="P123" s="82">
        <v>0.99299999999999999</v>
      </c>
      <c r="Q123" s="1" t="s">
        <v>76</v>
      </c>
      <c r="R123" s="81" t="s">
        <v>77</v>
      </c>
      <c r="S123" s="1">
        <v>1</v>
      </c>
      <c r="T123" s="1" t="s">
        <v>78</v>
      </c>
      <c r="U123" s="1" t="s">
        <v>659</v>
      </c>
      <c r="V123" s="1" t="s">
        <v>655</v>
      </c>
      <c r="W123" s="1">
        <v>39</v>
      </c>
      <c r="X123" s="1" t="s">
        <v>167</v>
      </c>
      <c r="Y123" s="1" t="s">
        <v>647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0.99299999999999999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1E-3</v>
      </c>
      <c r="CL123" s="1">
        <v>0</v>
      </c>
      <c r="CM123" s="1">
        <v>43.953717050000002</v>
      </c>
      <c r="CN123" s="83">
        <v>47.132224110000003</v>
      </c>
    </row>
    <row r="124" spans="1:92" s="3" customFormat="1" x14ac:dyDescent="0.25">
      <c r="A124" s="72">
        <v>121</v>
      </c>
      <c r="B124" s="81" t="s">
        <v>1277</v>
      </c>
      <c r="C124" s="1" t="s">
        <v>162</v>
      </c>
      <c r="D124" s="1" t="s">
        <v>73</v>
      </c>
      <c r="E124" s="1" t="s">
        <v>74</v>
      </c>
      <c r="F124" s="1" t="s">
        <v>128</v>
      </c>
      <c r="G124" s="1" t="s">
        <v>166</v>
      </c>
      <c r="H124" s="1" t="s">
        <v>535</v>
      </c>
      <c r="I124" s="1"/>
      <c r="J124" s="9" t="s">
        <v>506</v>
      </c>
      <c r="K124" s="10">
        <v>0.49646416666666698</v>
      </c>
      <c r="L124" s="1" t="s">
        <v>641</v>
      </c>
      <c r="M124" s="1" t="s">
        <v>76</v>
      </c>
      <c r="N124" s="1" t="s">
        <v>644</v>
      </c>
      <c r="O124" s="1" t="s">
        <v>68</v>
      </c>
      <c r="P124" s="82">
        <v>0.60199999999999998</v>
      </c>
      <c r="Q124" s="1" t="s">
        <v>76</v>
      </c>
      <c r="R124" s="81" t="s">
        <v>87</v>
      </c>
      <c r="S124" s="1">
        <v>1</v>
      </c>
      <c r="T124" s="1" t="s">
        <v>78</v>
      </c>
      <c r="U124" s="1" t="s">
        <v>658</v>
      </c>
      <c r="V124" s="1" t="s">
        <v>655</v>
      </c>
      <c r="W124" s="1">
        <v>76</v>
      </c>
      <c r="X124" s="1" t="s">
        <v>167</v>
      </c>
      <c r="Y124" s="1" t="s">
        <v>644</v>
      </c>
      <c r="Z124" s="1">
        <v>3.0000000000000001E-3</v>
      </c>
      <c r="AA124" s="1">
        <v>2E-3</v>
      </c>
      <c r="AB124" s="1">
        <v>1E-3</v>
      </c>
      <c r="AC124" s="1">
        <v>3.0000000000000001E-3</v>
      </c>
      <c r="AD124" s="1">
        <v>3.0000000000000001E-3</v>
      </c>
      <c r="AE124" s="1">
        <v>2E-3</v>
      </c>
      <c r="AF124" s="1">
        <v>2E-3</v>
      </c>
      <c r="AG124" s="1">
        <v>0</v>
      </c>
      <c r="AH124" s="1">
        <v>4.0000000000000001E-3</v>
      </c>
      <c r="AI124" s="1">
        <v>0</v>
      </c>
      <c r="AJ124" s="1">
        <v>1.7000000000000001E-2</v>
      </c>
      <c r="AK124" s="1">
        <v>3.0000000000000001E-3</v>
      </c>
      <c r="AL124" s="1">
        <v>1E-3</v>
      </c>
      <c r="AM124" s="1">
        <v>1E-3</v>
      </c>
      <c r="AN124" s="1">
        <v>7.0000000000000001E-3</v>
      </c>
      <c r="AO124" s="1">
        <v>1E-3</v>
      </c>
      <c r="AP124" s="1">
        <v>1E-3</v>
      </c>
      <c r="AQ124" s="1">
        <v>1E-3</v>
      </c>
      <c r="AR124" s="1">
        <v>8.0000000000000002E-3</v>
      </c>
      <c r="AS124" s="1">
        <v>3.0000000000000001E-3</v>
      </c>
      <c r="AT124" s="1">
        <v>1E-3</v>
      </c>
      <c r="AU124" s="1">
        <v>4.0000000000000001E-3</v>
      </c>
      <c r="AV124" s="1">
        <v>2E-3</v>
      </c>
      <c r="AW124" s="1">
        <v>2E-3</v>
      </c>
      <c r="AX124" s="1">
        <v>4.0000000000000001E-3</v>
      </c>
      <c r="AY124" s="1">
        <v>2E-3</v>
      </c>
      <c r="AZ124" s="1">
        <v>3.0000000000000001E-3</v>
      </c>
      <c r="BA124" s="1">
        <v>5.0000000000000001E-3</v>
      </c>
      <c r="BB124" s="1">
        <v>6.0000000000000001E-3</v>
      </c>
      <c r="BC124" s="1">
        <v>1E-3</v>
      </c>
      <c r="BD124" s="1">
        <v>5.0000000000000001E-3</v>
      </c>
      <c r="BE124" s="1">
        <v>1E-3</v>
      </c>
      <c r="BF124" s="1">
        <v>1E-3</v>
      </c>
      <c r="BG124" s="1">
        <v>1E-3</v>
      </c>
      <c r="BH124" s="1">
        <v>1E-3</v>
      </c>
      <c r="BI124" s="1">
        <v>1E-3</v>
      </c>
      <c r="BJ124" s="1">
        <v>1E-3</v>
      </c>
      <c r="BK124" s="1">
        <v>1E-3</v>
      </c>
      <c r="BL124" s="1">
        <v>2E-3</v>
      </c>
      <c r="BM124" s="1">
        <v>1E-3</v>
      </c>
      <c r="BN124" s="1">
        <v>1E-3</v>
      </c>
      <c r="BO124" s="1">
        <v>5.0000000000000001E-3</v>
      </c>
      <c r="BP124" s="1">
        <v>1E-3</v>
      </c>
      <c r="BQ124" s="1">
        <v>2E-3</v>
      </c>
      <c r="BR124" s="1">
        <v>1E-3</v>
      </c>
      <c r="BS124" s="1">
        <v>0.01</v>
      </c>
      <c r="BT124" s="1">
        <v>1E-3</v>
      </c>
      <c r="BU124" s="1">
        <v>1E-3</v>
      </c>
      <c r="BV124" s="1">
        <v>3.0000000000000001E-3</v>
      </c>
      <c r="BW124" s="1">
        <v>1E-3</v>
      </c>
      <c r="BX124" s="1">
        <v>0.24099999999999999</v>
      </c>
      <c r="BY124" s="1">
        <v>3.0000000000000001E-3</v>
      </c>
      <c r="BZ124" s="1">
        <v>6.0000000000000001E-3</v>
      </c>
      <c r="CA124" s="1">
        <v>2E-3</v>
      </c>
      <c r="CB124" s="1">
        <v>1E-3</v>
      </c>
      <c r="CC124" s="1">
        <v>2E-3</v>
      </c>
      <c r="CD124" s="1">
        <v>0</v>
      </c>
      <c r="CE124" s="1">
        <v>1E-3</v>
      </c>
      <c r="CF124" s="1">
        <v>1E-3</v>
      </c>
      <c r="CG124" s="1">
        <v>2E-3</v>
      </c>
      <c r="CH124" s="1">
        <v>2E-3</v>
      </c>
      <c r="CI124" s="1">
        <v>1E-3</v>
      </c>
      <c r="CJ124" s="1">
        <v>2E-3</v>
      </c>
      <c r="CK124" s="1">
        <v>0.60199999999999998</v>
      </c>
      <c r="CL124" s="1">
        <v>5.0000000000000001E-3</v>
      </c>
      <c r="CM124" s="1">
        <v>44.249315420000002</v>
      </c>
      <c r="CN124" s="83">
        <v>46.426663159999997</v>
      </c>
    </row>
    <row r="125" spans="1:92" s="3" customFormat="1" x14ac:dyDescent="0.25">
      <c r="A125" s="72">
        <v>122</v>
      </c>
      <c r="B125" s="81" t="s">
        <v>1156</v>
      </c>
      <c r="C125" s="1" t="s">
        <v>162</v>
      </c>
      <c r="D125" s="1" t="s">
        <v>73</v>
      </c>
      <c r="E125" s="1" t="s">
        <v>74</v>
      </c>
      <c r="F125" s="1" t="s">
        <v>128</v>
      </c>
      <c r="G125" s="1" t="s">
        <v>168</v>
      </c>
      <c r="H125" s="1" t="s">
        <v>534</v>
      </c>
      <c r="I125" s="1"/>
      <c r="J125" s="9" t="s">
        <v>506</v>
      </c>
      <c r="K125" s="10">
        <v>0.27494550000000001</v>
      </c>
      <c r="L125" s="1" t="s">
        <v>641</v>
      </c>
      <c r="M125" s="1" t="s">
        <v>76</v>
      </c>
      <c r="N125" s="1" t="s">
        <v>644</v>
      </c>
      <c r="O125" s="1" t="s">
        <v>37</v>
      </c>
      <c r="P125" s="82">
        <v>0.89600000000000002</v>
      </c>
      <c r="Q125" s="1" t="s">
        <v>76</v>
      </c>
      <c r="R125" s="81" t="s">
        <v>169</v>
      </c>
      <c r="S125" s="1">
        <v>3</v>
      </c>
      <c r="T125" s="1" t="s">
        <v>120</v>
      </c>
      <c r="U125" s="1" t="s">
        <v>658</v>
      </c>
      <c r="V125" s="1" t="s">
        <v>655</v>
      </c>
      <c r="W125" s="1">
        <v>59</v>
      </c>
      <c r="X125" s="1" t="s">
        <v>170</v>
      </c>
      <c r="Y125" s="1" t="s">
        <v>644</v>
      </c>
      <c r="Z125" s="1">
        <v>2.1999999999999999E-2</v>
      </c>
      <c r="AA125" s="1">
        <v>0</v>
      </c>
      <c r="AB125" s="1">
        <v>0</v>
      </c>
      <c r="AC125" s="1">
        <v>1.4E-2</v>
      </c>
      <c r="AD125" s="1">
        <v>1E-3</v>
      </c>
      <c r="AE125" s="1">
        <v>1E-3</v>
      </c>
      <c r="AF125" s="1">
        <v>0</v>
      </c>
      <c r="AG125" s="1">
        <v>0</v>
      </c>
      <c r="AH125" s="1">
        <v>3.0000000000000001E-3</v>
      </c>
      <c r="AI125" s="1">
        <v>2E-3</v>
      </c>
      <c r="AJ125" s="1">
        <v>0</v>
      </c>
      <c r="AK125" s="1">
        <v>0</v>
      </c>
      <c r="AL125" s="1">
        <v>0</v>
      </c>
      <c r="AM125" s="1">
        <v>0</v>
      </c>
      <c r="AN125" s="1">
        <v>2.1000000000000001E-2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1E-3</v>
      </c>
      <c r="AW125" s="1">
        <v>0</v>
      </c>
      <c r="AX125" s="1">
        <v>0</v>
      </c>
      <c r="AY125" s="1">
        <v>1E-3</v>
      </c>
      <c r="AZ125" s="1">
        <v>0</v>
      </c>
      <c r="BA125" s="1">
        <v>1E-3</v>
      </c>
      <c r="BB125" s="1">
        <v>0</v>
      </c>
      <c r="BC125" s="1">
        <v>0</v>
      </c>
      <c r="BD125" s="1">
        <v>2E-3</v>
      </c>
      <c r="BE125" s="1">
        <v>0</v>
      </c>
      <c r="BF125" s="1">
        <v>0.89600000000000002</v>
      </c>
      <c r="BG125" s="1">
        <v>0</v>
      </c>
      <c r="BH125" s="1">
        <v>3.0000000000000001E-3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5.0000000000000001E-3</v>
      </c>
      <c r="BY125" s="1">
        <v>1E-3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1E-3</v>
      </c>
      <c r="CH125" s="1">
        <v>0</v>
      </c>
      <c r="CI125" s="1">
        <v>0</v>
      </c>
      <c r="CJ125" s="1">
        <v>1E-3</v>
      </c>
      <c r="CK125" s="1">
        <v>1.4E-2</v>
      </c>
      <c r="CL125" s="1">
        <v>2E-3</v>
      </c>
      <c r="CM125" s="1">
        <v>16.786257030000002</v>
      </c>
      <c r="CN125" s="83">
        <v>134.43496429999999</v>
      </c>
    </row>
    <row r="126" spans="1:92" s="3" customFormat="1" x14ac:dyDescent="0.25">
      <c r="A126" s="72">
        <v>123</v>
      </c>
      <c r="B126" s="81" t="s">
        <v>1313</v>
      </c>
      <c r="C126" s="1" t="s">
        <v>162</v>
      </c>
      <c r="D126" s="1" t="s">
        <v>73</v>
      </c>
      <c r="E126" s="1" t="s">
        <v>74</v>
      </c>
      <c r="F126" s="1" t="s">
        <v>128</v>
      </c>
      <c r="G126" s="1" t="s">
        <v>176</v>
      </c>
      <c r="H126" s="1" t="s">
        <v>535</v>
      </c>
      <c r="I126" s="1"/>
      <c r="J126" s="9" t="s">
        <v>506</v>
      </c>
      <c r="K126" s="10">
        <v>0.492213333333333</v>
      </c>
      <c r="L126" s="1" t="s">
        <v>618</v>
      </c>
      <c r="M126" s="1" t="s">
        <v>506</v>
      </c>
      <c r="N126" s="1" t="s">
        <v>648</v>
      </c>
      <c r="O126" s="1" t="s">
        <v>55</v>
      </c>
      <c r="P126" s="82">
        <v>0.999</v>
      </c>
      <c r="Q126" s="1" t="s">
        <v>76</v>
      </c>
      <c r="R126" s="81" t="s">
        <v>77</v>
      </c>
      <c r="S126" s="1">
        <v>1</v>
      </c>
      <c r="T126" s="1" t="s">
        <v>78</v>
      </c>
      <c r="U126" s="1" t="s">
        <v>658</v>
      </c>
      <c r="V126" s="1" t="s">
        <v>655</v>
      </c>
      <c r="W126" s="1">
        <v>20</v>
      </c>
      <c r="X126" s="1" t="s">
        <v>170</v>
      </c>
      <c r="Y126" s="1" t="s">
        <v>648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0.999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40.203743709999998</v>
      </c>
      <c r="CN126" s="83">
        <v>44.369436100000001</v>
      </c>
    </row>
    <row r="127" spans="1:92" s="3" customFormat="1" x14ac:dyDescent="0.25">
      <c r="A127" s="72">
        <v>124</v>
      </c>
      <c r="B127" s="81" t="s">
        <v>976</v>
      </c>
      <c r="C127" s="1" t="s">
        <v>162</v>
      </c>
      <c r="D127" s="1" t="s">
        <v>73</v>
      </c>
      <c r="E127" s="1" t="s">
        <v>74</v>
      </c>
      <c r="F127" s="1" t="s">
        <v>128</v>
      </c>
      <c r="G127" s="1" t="s">
        <v>168</v>
      </c>
      <c r="H127" s="1" t="s">
        <v>534</v>
      </c>
      <c r="I127" s="1"/>
      <c r="J127" s="9" t="s">
        <v>506</v>
      </c>
      <c r="K127" s="10">
        <v>0.55439433333333299</v>
      </c>
      <c r="L127" s="1" t="s">
        <v>602</v>
      </c>
      <c r="M127" s="1" t="s">
        <v>506</v>
      </c>
      <c r="N127" s="1" t="s">
        <v>648</v>
      </c>
      <c r="O127" s="1" t="s">
        <v>68</v>
      </c>
      <c r="P127" s="82">
        <v>0.98299999999999998</v>
      </c>
      <c r="Q127" s="1" t="s">
        <v>76</v>
      </c>
      <c r="R127" s="81" t="s">
        <v>169</v>
      </c>
      <c r="S127" s="1">
        <v>3</v>
      </c>
      <c r="T127" s="1" t="s">
        <v>120</v>
      </c>
      <c r="U127" s="1" t="s">
        <v>659</v>
      </c>
      <c r="V127" s="1" t="s">
        <v>655</v>
      </c>
      <c r="W127" s="1">
        <v>63</v>
      </c>
      <c r="X127" s="1" t="s">
        <v>170</v>
      </c>
      <c r="Y127" s="1" t="s">
        <v>648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1E-3</v>
      </c>
      <c r="AS127" s="1">
        <v>0</v>
      </c>
      <c r="AT127" s="1">
        <v>0</v>
      </c>
      <c r="AU127" s="1">
        <v>3.0000000000000001E-3</v>
      </c>
      <c r="AV127" s="1">
        <v>0</v>
      </c>
      <c r="AW127" s="1">
        <v>0</v>
      </c>
      <c r="AX127" s="1">
        <v>1E-3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1E-3</v>
      </c>
      <c r="BT127" s="1">
        <v>0</v>
      </c>
      <c r="BU127" s="1">
        <v>0</v>
      </c>
      <c r="BV127" s="1">
        <v>0</v>
      </c>
      <c r="BW127" s="1">
        <v>0</v>
      </c>
      <c r="BX127" s="1">
        <v>2E-3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0.98299999999999998</v>
      </c>
      <c r="CL127" s="1">
        <v>0</v>
      </c>
      <c r="CM127" s="1">
        <v>73.630589290000003</v>
      </c>
      <c r="CN127" s="83">
        <v>-31.510025630000001</v>
      </c>
    </row>
    <row r="128" spans="1:92" s="3" customFormat="1" x14ac:dyDescent="0.25">
      <c r="A128" s="72">
        <v>125</v>
      </c>
      <c r="B128" s="81" t="s">
        <v>1315</v>
      </c>
      <c r="C128" s="1" t="s">
        <v>162</v>
      </c>
      <c r="D128" s="1" t="s">
        <v>73</v>
      </c>
      <c r="E128" s="1" t="s">
        <v>74</v>
      </c>
      <c r="F128" s="1" t="s">
        <v>128</v>
      </c>
      <c r="G128" s="1" t="s">
        <v>166</v>
      </c>
      <c r="H128" s="1" t="s">
        <v>535</v>
      </c>
      <c r="I128" s="1"/>
      <c r="J128" s="9" t="s">
        <v>506</v>
      </c>
      <c r="K128" s="10">
        <v>0.45641616666666701</v>
      </c>
      <c r="L128" s="1" t="s">
        <v>641</v>
      </c>
      <c r="M128" s="1" t="s">
        <v>76</v>
      </c>
      <c r="N128" s="1" t="s">
        <v>644</v>
      </c>
      <c r="O128" s="1" t="s">
        <v>68</v>
      </c>
      <c r="P128" s="82">
        <v>0.17799999999999999</v>
      </c>
      <c r="Q128" s="1" t="s">
        <v>76</v>
      </c>
      <c r="R128" s="81" t="s">
        <v>87</v>
      </c>
      <c r="S128" s="1">
        <v>1</v>
      </c>
      <c r="T128" s="1" t="s">
        <v>78</v>
      </c>
      <c r="U128" s="1" t="s">
        <v>658</v>
      </c>
      <c r="V128" s="1" t="s">
        <v>655</v>
      </c>
      <c r="W128" s="1">
        <v>19</v>
      </c>
      <c r="X128" s="1" t="s">
        <v>167</v>
      </c>
      <c r="Y128" s="1" t="s">
        <v>644</v>
      </c>
      <c r="Z128" s="1">
        <v>4.0000000000000001E-3</v>
      </c>
      <c r="AA128" s="1">
        <v>6.0000000000000001E-3</v>
      </c>
      <c r="AB128" s="1">
        <v>5.0000000000000001E-3</v>
      </c>
      <c r="AC128" s="1">
        <v>1.0999999999999999E-2</v>
      </c>
      <c r="AD128" s="1">
        <v>5.0000000000000001E-3</v>
      </c>
      <c r="AE128" s="1">
        <v>8.9999999999999993E-3</v>
      </c>
      <c r="AF128" s="1">
        <v>8.9999999999999993E-3</v>
      </c>
      <c r="AG128" s="1">
        <v>1E-3</v>
      </c>
      <c r="AH128" s="1">
        <v>1.7999999999999999E-2</v>
      </c>
      <c r="AI128" s="1">
        <v>2E-3</v>
      </c>
      <c r="AJ128" s="1">
        <v>2.5000000000000001E-2</v>
      </c>
      <c r="AK128" s="1">
        <v>3.2000000000000001E-2</v>
      </c>
      <c r="AL128" s="1">
        <v>1E-3</v>
      </c>
      <c r="AM128" s="1">
        <v>7.0000000000000001E-3</v>
      </c>
      <c r="AN128" s="1">
        <v>2.8000000000000001E-2</v>
      </c>
      <c r="AO128" s="1">
        <v>4.0000000000000001E-3</v>
      </c>
      <c r="AP128" s="1">
        <v>3.0000000000000001E-3</v>
      </c>
      <c r="AQ128" s="1">
        <v>3.0000000000000001E-3</v>
      </c>
      <c r="AR128" s="1">
        <v>1.2999999999999999E-2</v>
      </c>
      <c r="AS128" s="1">
        <v>1.2999999999999999E-2</v>
      </c>
      <c r="AT128" s="1">
        <v>6.0000000000000001E-3</v>
      </c>
      <c r="AU128" s="1">
        <v>2.3E-2</v>
      </c>
      <c r="AV128" s="1">
        <v>4.0000000000000001E-3</v>
      </c>
      <c r="AW128" s="1">
        <v>6.0000000000000001E-3</v>
      </c>
      <c r="AX128" s="1">
        <v>6.0000000000000001E-3</v>
      </c>
      <c r="AY128" s="1">
        <v>8.9999999999999993E-3</v>
      </c>
      <c r="AZ128" s="1">
        <v>1.4999999999999999E-2</v>
      </c>
      <c r="BA128" s="1">
        <v>2.4E-2</v>
      </c>
      <c r="BB128" s="1">
        <v>5.8000000000000003E-2</v>
      </c>
      <c r="BC128" s="1">
        <v>3.0000000000000001E-3</v>
      </c>
      <c r="BD128" s="1">
        <v>2.5000000000000001E-2</v>
      </c>
      <c r="BE128" s="1">
        <v>3.0000000000000001E-3</v>
      </c>
      <c r="BF128" s="1">
        <v>2E-3</v>
      </c>
      <c r="BG128" s="1">
        <v>3.0000000000000001E-3</v>
      </c>
      <c r="BH128" s="1">
        <v>3.0000000000000001E-3</v>
      </c>
      <c r="BI128" s="1">
        <v>3.0000000000000001E-3</v>
      </c>
      <c r="BJ128" s="1">
        <v>2E-3</v>
      </c>
      <c r="BK128" s="1">
        <v>2E-3</v>
      </c>
      <c r="BL128" s="1">
        <v>7.0000000000000001E-3</v>
      </c>
      <c r="BM128" s="1">
        <v>3.0000000000000001E-3</v>
      </c>
      <c r="BN128" s="1">
        <v>5.0000000000000001E-3</v>
      </c>
      <c r="BO128" s="1">
        <v>3.3000000000000002E-2</v>
      </c>
      <c r="BP128" s="1">
        <v>2E-3</v>
      </c>
      <c r="BQ128" s="1">
        <v>0.01</v>
      </c>
      <c r="BR128" s="1">
        <v>5.0000000000000001E-3</v>
      </c>
      <c r="BS128" s="1">
        <v>0.01</v>
      </c>
      <c r="BT128" s="1">
        <v>4.0000000000000001E-3</v>
      </c>
      <c r="BU128" s="1">
        <v>0.16400000000000001</v>
      </c>
      <c r="BV128" s="1">
        <v>1.2E-2</v>
      </c>
      <c r="BW128" s="1">
        <v>6.0000000000000001E-3</v>
      </c>
      <c r="BX128" s="1">
        <v>0.05</v>
      </c>
      <c r="BY128" s="1">
        <v>1.2999999999999999E-2</v>
      </c>
      <c r="BZ128" s="1">
        <v>1.0999999999999999E-2</v>
      </c>
      <c r="CA128" s="1">
        <v>6.0000000000000001E-3</v>
      </c>
      <c r="CB128" s="1">
        <v>2E-3</v>
      </c>
      <c r="CC128" s="1">
        <v>5.0000000000000001E-3</v>
      </c>
      <c r="CD128" s="1">
        <v>1E-3</v>
      </c>
      <c r="CE128" s="1">
        <v>4.0000000000000001E-3</v>
      </c>
      <c r="CF128" s="1">
        <v>3.0000000000000001E-3</v>
      </c>
      <c r="CG128" s="1">
        <v>6.0000000000000001E-3</v>
      </c>
      <c r="CH128" s="1">
        <v>8.0000000000000002E-3</v>
      </c>
      <c r="CI128" s="1">
        <v>8.0000000000000002E-3</v>
      </c>
      <c r="CJ128" s="1">
        <v>0.01</v>
      </c>
      <c r="CK128" s="1">
        <v>0.17799999999999999</v>
      </c>
      <c r="CL128" s="1">
        <v>3.9E-2</v>
      </c>
      <c r="CM128" s="1">
        <v>-5.3282350090000001</v>
      </c>
      <c r="CN128" s="83">
        <v>109.446755</v>
      </c>
    </row>
    <row r="129" spans="1:92" s="3" customFormat="1" x14ac:dyDescent="0.25">
      <c r="A129" s="72">
        <v>126</v>
      </c>
      <c r="B129" s="81" t="s">
        <v>1491</v>
      </c>
      <c r="C129" s="1" t="s">
        <v>162</v>
      </c>
      <c r="D129" s="1" t="s">
        <v>79</v>
      </c>
      <c r="E129" s="1" t="s">
        <v>74</v>
      </c>
      <c r="F129" s="1" t="s">
        <v>155</v>
      </c>
      <c r="G129" s="1" t="s">
        <v>76</v>
      </c>
      <c r="H129" s="1" t="s">
        <v>156</v>
      </c>
      <c r="I129" s="1"/>
      <c r="J129" s="9" t="s">
        <v>506</v>
      </c>
      <c r="K129" s="10">
        <v>0.48848883333333398</v>
      </c>
      <c r="L129" s="1" t="s">
        <v>641</v>
      </c>
      <c r="M129" s="1" t="s">
        <v>76</v>
      </c>
      <c r="N129" s="1" t="s">
        <v>644</v>
      </c>
      <c r="O129" s="1" t="s">
        <v>55</v>
      </c>
      <c r="P129" s="82">
        <v>0.18099999999999999</v>
      </c>
      <c r="Q129" s="1" t="s">
        <v>76</v>
      </c>
      <c r="R129" s="81" t="s">
        <v>177</v>
      </c>
      <c r="S129" s="1">
        <v>1</v>
      </c>
      <c r="T129" s="1" t="s">
        <v>120</v>
      </c>
      <c r="U129" s="1" t="s">
        <v>658</v>
      </c>
      <c r="V129" s="1" t="s">
        <v>655</v>
      </c>
      <c r="W129" s="1">
        <v>64</v>
      </c>
      <c r="X129" s="1" t="s">
        <v>76</v>
      </c>
      <c r="Y129" s="1" t="s">
        <v>644</v>
      </c>
      <c r="Z129" s="1">
        <v>3.0000000000000001E-3</v>
      </c>
      <c r="AA129" s="1">
        <v>7.0000000000000001E-3</v>
      </c>
      <c r="AB129" s="1">
        <v>8.9999999999999993E-3</v>
      </c>
      <c r="AC129" s="1">
        <v>3.7999999999999999E-2</v>
      </c>
      <c r="AD129" s="1">
        <v>8.0000000000000002E-3</v>
      </c>
      <c r="AE129" s="1">
        <v>1.9E-2</v>
      </c>
      <c r="AF129" s="1">
        <v>7.0000000000000001E-3</v>
      </c>
      <c r="AG129" s="1">
        <v>1E-3</v>
      </c>
      <c r="AH129" s="1">
        <v>0.03</v>
      </c>
      <c r="AI129" s="1">
        <v>5.0000000000000001E-3</v>
      </c>
      <c r="AJ129" s="1">
        <v>1.2999999999999999E-2</v>
      </c>
      <c r="AK129" s="1">
        <v>3.7999999999999999E-2</v>
      </c>
      <c r="AL129" s="1">
        <v>3.0000000000000001E-3</v>
      </c>
      <c r="AM129" s="1">
        <v>5.0000000000000001E-3</v>
      </c>
      <c r="AN129" s="1">
        <v>0.01</v>
      </c>
      <c r="AO129" s="1">
        <v>8.9999999999999993E-3</v>
      </c>
      <c r="AP129" s="1">
        <v>5.0000000000000001E-3</v>
      </c>
      <c r="AQ129" s="1">
        <v>4.0000000000000001E-3</v>
      </c>
      <c r="AR129" s="1">
        <v>6.0000000000000001E-3</v>
      </c>
      <c r="AS129" s="1">
        <v>5.1999999999999998E-2</v>
      </c>
      <c r="AT129" s="1">
        <v>1.2999999999999999E-2</v>
      </c>
      <c r="AU129" s="1">
        <v>1.2E-2</v>
      </c>
      <c r="AV129" s="1">
        <v>5.0000000000000001E-3</v>
      </c>
      <c r="AW129" s="1">
        <v>1.4E-2</v>
      </c>
      <c r="AX129" s="1">
        <v>8.0000000000000002E-3</v>
      </c>
      <c r="AY129" s="1">
        <v>1.7000000000000001E-2</v>
      </c>
      <c r="AZ129" s="1">
        <v>1.4E-2</v>
      </c>
      <c r="BA129" s="1">
        <v>2.4E-2</v>
      </c>
      <c r="BB129" s="1">
        <v>2.1000000000000001E-2</v>
      </c>
      <c r="BC129" s="1">
        <v>4.0000000000000001E-3</v>
      </c>
      <c r="BD129" s="1">
        <v>3.5999999999999997E-2</v>
      </c>
      <c r="BE129" s="1">
        <v>7.0000000000000001E-3</v>
      </c>
      <c r="BF129" s="1">
        <v>2E-3</v>
      </c>
      <c r="BG129" s="1">
        <v>1.2E-2</v>
      </c>
      <c r="BH129" s="1">
        <v>6.0000000000000001E-3</v>
      </c>
      <c r="BI129" s="1">
        <v>4.0000000000000001E-3</v>
      </c>
      <c r="BJ129" s="1">
        <v>2E-3</v>
      </c>
      <c r="BK129" s="1">
        <v>3.0000000000000001E-3</v>
      </c>
      <c r="BL129" s="1">
        <v>0.02</v>
      </c>
      <c r="BM129" s="1">
        <v>0.01</v>
      </c>
      <c r="BN129" s="1">
        <v>1.0999999999999999E-2</v>
      </c>
      <c r="BO129" s="1">
        <v>7.0000000000000001E-3</v>
      </c>
      <c r="BP129" s="1">
        <v>2E-3</v>
      </c>
      <c r="BQ129" s="1">
        <v>1.4999999999999999E-2</v>
      </c>
      <c r="BR129" s="1">
        <v>7.0000000000000001E-3</v>
      </c>
      <c r="BS129" s="1">
        <v>6.0000000000000001E-3</v>
      </c>
      <c r="BT129" s="1">
        <v>3.0000000000000001E-3</v>
      </c>
      <c r="BU129" s="1">
        <v>4.0000000000000001E-3</v>
      </c>
      <c r="BV129" s="1">
        <v>1.2999999999999999E-2</v>
      </c>
      <c r="BW129" s="1">
        <v>8.0000000000000002E-3</v>
      </c>
      <c r="BX129" s="1">
        <v>0.18099999999999999</v>
      </c>
      <c r="BY129" s="1">
        <v>1.7000000000000001E-2</v>
      </c>
      <c r="BZ129" s="1">
        <v>1.4E-2</v>
      </c>
      <c r="CA129" s="1">
        <v>0.01</v>
      </c>
      <c r="CB129" s="1">
        <v>4.0000000000000001E-3</v>
      </c>
      <c r="CC129" s="1">
        <v>8.9999999999999993E-3</v>
      </c>
      <c r="CD129" s="1">
        <v>1E-3</v>
      </c>
      <c r="CE129" s="1">
        <v>6.0000000000000001E-3</v>
      </c>
      <c r="CF129" s="1">
        <v>6.0000000000000001E-3</v>
      </c>
      <c r="CG129" s="1">
        <v>1.4E-2</v>
      </c>
      <c r="CH129" s="1">
        <v>1.4E-2</v>
      </c>
      <c r="CI129" s="1">
        <v>0.01</v>
      </c>
      <c r="CJ129" s="1">
        <v>0.02</v>
      </c>
      <c r="CK129" s="1">
        <v>9.7000000000000003E-2</v>
      </c>
      <c r="CL129" s="1">
        <v>1.6E-2</v>
      </c>
      <c r="CM129" s="1">
        <v>80.940233430000006</v>
      </c>
      <c r="CN129" s="83">
        <v>-33.878229099999999</v>
      </c>
    </row>
    <row r="130" spans="1:92" s="3" customFormat="1" x14ac:dyDescent="0.25">
      <c r="A130" s="72">
        <v>127</v>
      </c>
      <c r="B130" s="81" t="s">
        <v>1317</v>
      </c>
      <c r="C130" s="1" t="s">
        <v>162</v>
      </c>
      <c r="D130" s="1" t="s">
        <v>73</v>
      </c>
      <c r="E130" s="1" t="s">
        <v>74</v>
      </c>
      <c r="F130" s="1" t="s">
        <v>128</v>
      </c>
      <c r="G130" s="1" t="s">
        <v>166</v>
      </c>
      <c r="H130" s="1" t="s">
        <v>535</v>
      </c>
      <c r="I130" s="1"/>
      <c r="J130" s="9" t="s">
        <v>506</v>
      </c>
      <c r="K130" s="10">
        <v>0.446544833333333</v>
      </c>
      <c r="L130" s="1" t="s">
        <v>641</v>
      </c>
      <c r="M130" s="1" t="s">
        <v>76</v>
      </c>
      <c r="N130" s="1" t="s">
        <v>644</v>
      </c>
      <c r="O130" s="1" t="s">
        <v>33</v>
      </c>
      <c r="P130" s="82">
        <v>0.67800000000000005</v>
      </c>
      <c r="Q130" s="1" t="s">
        <v>76</v>
      </c>
      <c r="R130" s="81" t="s">
        <v>87</v>
      </c>
      <c r="S130" s="1">
        <v>1</v>
      </c>
      <c r="T130" s="1" t="s">
        <v>78</v>
      </c>
      <c r="U130" s="1" t="s">
        <v>658</v>
      </c>
      <c r="V130" s="1" t="s">
        <v>655</v>
      </c>
      <c r="W130" s="1">
        <v>40</v>
      </c>
      <c r="X130" s="1" t="s">
        <v>167</v>
      </c>
      <c r="Y130" s="1" t="s">
        <v>644</v>
      </c>
      <c r="Z130" s="1">
        <v>2E-3</v>
      </c>
      <c r="AA130" s="1">
        <v>3.0000000000000001E-3</v>
      </c>
      <c r="AB130" s="1">
        <v>2E-3</v>
      </c>
      <c r="AC130" s="1">
        <v>7.0000000000000001E-3</v>
      </c>
      <c r="AD130" s="1">
        <v>2E-3</v>
      </c>
      <c r="AE130" s="1">
        <v>5.0000000000000001E-3</v>
      </c>
      <c r="AF130" s="1">
        <v>2E-3</v>
      </c>
      <c r="AG130" s="1">
        <v>0</v>
      </c>
      <c r="AH130" s="1">
        <v>8.0000000000000002E-3</v>
      </c>
      <c r="AI130" s="1">
        <v>1E-3</v>
      </c>
      <c r="AJ130" s="1">
        <v>0.01</v>
      </c>
      <c r="AK130" s="1">
        <v>1.4999999999999999E-2</v>
      </c>
      <c r="AL130" s="1">
        <v>0</v>
      </c>
      <c r="AM130" s="1">
        <v>2E-3</v>
      </c>
      <c r="AN130" s="1">
        <v>8.0000000000000002E-3</v>
      </c>
      <c r="AO130" s="1">
        <v>2E-3</v>
      </c>
      <c r="AP130" s="1">
        <v>1E-3</v>
      </c>
      <c r="AQ130" s="1">
        <v>1E-3</v>
      </c>
      <c r="AR130" s="1">
        <v>4.0000000000000001E-3</v>
      </c>
      <c r="AS130" s="1">
        <v>6.0000000000000001E-3</v>
      </c>
      <c r="AT130" s="1">
        <v>3.0000000000000001E-3</v>
      </c>
      <c r="AU130" s="1">
        <v>5.0000000000000001E-3</v>
      </c>
      <c r="AV130" s="1">
        <v>2E-3</v>
      </c>
      <c r="AW130" s="1">
        <v>3.0000000000000001E-3</v>
      </c>
      <c r="AX130" s="1">
        <v>2E-3</v>
      </c>
      <c r="AY130" s="1">
        <v>3.0000000000000001E-3</v>
      </c>
      <c r="AZ130" s="1">
        <v>4.0000000000000001E-3</v>
      </c>
      <c r="BA130" s="1">
        <v>7.0000000000000001E-3</v>
      </c>
      <c r="BB130" s="1">
        <v>0.67800000000000005</v>
      </c>
      <c r="BC130" s="1">
        <v>1E-3</v>
      </c>
      <c r="BD130" s="1">
        <v>8.9999999999999993E-3</v>
      </c>
      <c r="BE130" s="1">
        <v>1E-3</v>
      </c>
      <c r="BF130" s="1">
        <v>1E-3</v>
      </c>
      <c r="BG130" s="1">
        <v>2E-3</v>
      </c>
      <c r="BH130" s="1">
        <v>1E-3</v>
      </c>
      <c r="BI130" s="1">
        <v>1E-3</v>
      </c>
      <c r="BJ130" s="1">
        <v>1E-3</v>
      </c>
      <c r="BK130" s="1">
        <v>1E-3</v>
      </c>
      <c r="BL130" s="1">
        <v>3.0000000000000001E-3</v>
      </c>
      <c r="BM130" s="1">
        <v>2E-3</v>
      </c>
      <c r="BN130" s="1">
        <v>3.0000000000000001E-3</v>
      </c>
      <c r="BO130" s="1">
        <v>6.0000000000000001E-3</v>
      </c>
      <c r="BP130" s="1">
        <v>1E-3</v>
      </c>
      <c r="BQ130" s="1">
        <v>4.0000000000000001E-3</v>
      </c>
      <c r="BR130" s="1">
        <v>2E-3</v>
      </c>
      <c r="BS130" s="1">
        <v>4.0000000000000001E-3</v>
      </c>
      <c r="BT130" s="1">
        <v>1E-3</v>
      </c>
      <c r="BU130" s="1">
        <v>2E-3</v>
      </c>
      <c r="BV130" s="1">
        <v>7.0000000000000001E-3</v>
      </c>
      <c r="BW130" s="1">
        <v>3.0000000000000001E-3</v>
      </c>
      <c r="BX130" s="1">
        <v>4.4999999999999998E-2</v>
      </c>
      <c r="BY130" s="1">
        <v>5.0000000000000001E-3</v>
      </c>
      <c r="BZ130" s="1">
        <v>4.0000000000000001E-3</v>
      </c>
      <c r="CA130" s="1">
        <v>2E-3</v>
      </c>
      <c r="CB130" s="1">
        <v>1E-3</v>
      </c>
      <c r="CC130" s="1">
        <v>2E-3</v>
      </c>
      <c r="CD130" s="1">
        <v>0</v>
      </c>
      <c r="CE130" s="1">
        <v>2E-3</v>
      </c>
      <c r="CF130" s="1">
        <v>2E-3</v>
      </c>
      <c r="CG130" s="1">
        <v>3.0000000000000001E-3</v>
      </c>
      <c r="CH130" s="1">
        <v>4.0000000000000001E-3</v>
      </c>
      <c r="CI130" s="1">
        <v>3.0000000000000001E-3</v>
      </c>
      <c r="CJ130" s="1">
        <v>4.0000000000000001E-3</v>
      </c>
      <c r="CK130" s="1">
        <v>6.6000000000000003E-2</v>
      </c>
      <c r="CL130" s="1">
        <v>1.7000000000000001E-2</v>
      </c>
      <c r="CM130" s="1">
        <v>-19.916502260000001</v>
      </c>
      <c r="CN130" s="83">
        <v>119.8330017</v>
      </c>
    </row>
    <row r="131" spans="1:92" s="3" customFormat="1" x14ac:dyDescent="0.25">
      <c r="A131" s="72">
        <v>128</v>
      </c>
      <c r="B131" s="81" t="s">
        <v>962</v>
      </c>
      <c r="C131" s="1" t="s">
        <v>162</v>
      </c>
      <c r="D131" s="1" t="s">
        <v>79</v>
      </c>
      <c r="E131" s="1" t="s">
        <v>99</v>
      </c>
      <c r="F131" s="1" t="s">
        <v>128</v>
      </c>
      <c r="G131" s="1" t="s">
        <v>168</v>
      </c>
      <c r="H131" s="1" t="s">
        <v>534</v>
      </c>
      <c r="I131" s="1"/>
      <c r="J131" s="9" t="s">
        <v>506</v>
      </c>
      <c r="K131" s="10">
        <v>0.53922899999999996</v>
      </c>
      <c r="L131" s="1" t="s">
        <v>641</v>
      </c>
      <c r="M131" s="1" t="s">
        <v>76</v>
      </c>
      <c r="N131" s="1" t="s">
        <v>644</v>
      </c>
      <c r="O131" s="1" t="s">
        <v>68</v>
      </c>
      <c r="P131" s="82">
        <v>0.436</v>
      </c>
      <c r="Q131" s="1" t="s">
        <v>76</v>
      </c>
      <c r="R131" s="81" t="s">
        <v>178</v>
      </c>
      <c r="S131" s="1">
        <v>3</v>
      </c>
      <c r="T131" s="1" t="s">
        <v>120</v>
      </c>
      <c r="U131" s="1" t="s">
        <v>658</v>
      </c>
      <c r="V131" s="1" t="s">
        <v>655</v>
      </c>
      <c r="W131" s="1">
        <v>87</v>
      </c>
      <c r="X131" s="1" t="s">
        <v>170</v>
      </c>
      <c r="Y131" s="1" t="s">
        <v>644</v>
      </c>
      <c r="Z131" s="1">
        <v>3.0000000000000001E-3</v>
      </c>
      <c r="AA131" s="1">
        <v>6.0000000000000001E-3</v>
      </c>
      <c r="AB131" s="1">
        <v>3.0000000000000001E-3</v>
      </c>
      <c r="AC131" s="1">
        <v>1.4999999999999999E-2</v>
      </c>
      <c r="AD131" s="1">
        <v>4.0000000000000001E-3</v>
      </c>
      <c r="AE131" s="1">
        <v>4.0000000000000001E-3</v>
      </c>
      <c r="AF131" s="1">
        <v>6.0000000000000001E-3</v>
      </c>
      <c r="AG131" s="1">
        <v>1E-3</v>
      </c>
      <c r="AH131" s="1">
        <v>8.9999999999999993E-3</v>
      </c>
      <c r="AI131" s="1">
        <v>1E-3</v>
      </c>
      <c r="AJ131" s="1">
        <v>2E-3</v>
      </c>
      <c r="AK131" s="1">
        <v>1.0999999999999999E-2</v>
      </c>
      <c r="AL131" s="1">
        <v>1E-3</v>
      </c>
      <c r="AM131" s="1">
        <v>2E-3</v>
      </c>
      <c r="AN131" s="1">
        <v>2E-3</v>
      </c>
      <c r="AO131" s="1">
        <v>4.0000000000000001E-3</v>
      </c>
      <c r="AP131" s="1">
        <v>3.0000000000000001E-3</v>
      </c>
      <c r="AQ131" s="1">
        <v>3.0000000000000001E-3</v>
      </c>
      <c r="AR131" s="1">
        <v>8.0000000000000002E-3</v>
      </c>
      <c r="AS131" s="1">
        <v>0.01</v>
      </c>
      <c r="AT131" s="1">
        <v>6.0000000000000001E-3</v>
      </c>
      <c r="AU131" s="1">
        <v>0.186</v>
      </c>
      <c r="AV131" s="1">
        <v>2E-3</v>
      </c>
      <c r="AW131" s="1">
        <v>8.0000000000000002E-3</v>
      </c>
      <c r="AX131" s="1">
        <v>7.0000000000000001E-3</v>
      </c>
      <c r="AY131" s="1">
        <v>0.01</v>
      </c>
      <c r="AZ131" s="1">
        <v>8.0000000000000002E-3</v>
      </c>
      <c r="BA131" s="1">
        <v>1.6E-2</v>
      </c>
      <c r="BB131" s="1">
        <v>5.0000000000000001E-3</v>
      </c>
      <c r="BC131" s="1">
        <v>2E-3</v>
      </c>
      <c r="BD131" s="1">
        <v>1.4E-2</v>
      </c>
      <c r="BE131" s="1">
        <v>3.0000000000000001E-3</v>
      </c>
      <c r="BF131" s="1">
        <v>2E-3</v>
      </c>
      <c r="BG131" s="1">
        <v>4.0000000000000001E-3</v>
      </c>
      <c r="BH131" s="1">
        <v>2E-3</v>
      </c>
      <c r="BI131" s="1">
        <v>2E-3</v>
      </c>
      <c r="BJ131" s="1">
        <v>1E-3</v>
      </c>
      <c r="BK131" s="1">
        <v>2E-3</v>
      </c>
      <c r="BL131" s="1">
        <v>1.7999999999999999E-2</v>
      </c>
      <c r="BM131" s="1">
        <v>3.0000000000000001E-3</v>
      </c>
      <c r="BN131" s="1">
        <v>5.0000000000000001E-3</v>
      </c>
      <c r="BO131" s="1">
        <v>5.0000000000000001E-3</v>
      </c>
      <c r="BP131" s="1">
        <v>2E-3</v>
      </c>
      <c r="BQ131" s="1">
        <v>8.9999999999999993E-3</v>
      </c>
      <c r="BR131" s="1">
        <v>4.0000000000000001E-3</v>
      </c>
      <c r="BS131" s="1">
        <v>0.01</v>
      </c>
      <c r="BT131" s="1">
        <v>2E-3</v>
      </c>
      <c r="BU131" s="1">
        <v>2E-3</v>
      </c>
      <c r="BV131" s="1">
        <v>4.0000000000000001E-3</v>
      </c>
      <c r="BW131" s="1">
        <v>5.0000000000000001E-3</v>
      </c>
      <c r="BX131" s="1">
        <v>2.5999999999999999E-2</v>
      </c>
      <c r="BY131" s="1">
        <v>1.2E-2</v>
      </c>
      <c r="BZ131" s="1">
        <v>8.9999999999999993E-3</v>
      </c>
      <c r="CA131" s="1">
        <v>7.0000000000000001E-3</v>
      </c>
      <c r="CB131" s="1">
        <v>2E-3</v>
      </c>
      <c r="CC131" s="1">
        <v>8.0000000000000002E-3</v>
      </c>
      <c r="CD131" s="1">
        <v>0</v>
      </c>
      <c r="CE131" s="1">
        <v>3.0000000000000001E-3</v>
      </c>
      <c r="CF131" s="1">
        <v>3.0000000000000001E-3</v>
      </c>
      <c r="CG131" s="1">
        <v>5.0000000000000001E-3</v>
      </c>
      <c r="CH131" s="1">
        <v>8.0000000000000002E-3</v>
      </c>
      <c r="CI131" s="1">
        <v>5.0000000000000001E-3</v>
      </c>
      <c r="CJ131" s="1">
        <v>1.0999999999999999E-2</v>
      </c>
      <c r="CK131" s="1">
        <v>0.436</v>
      </c>
      <c r="CL131" s="1">
        <v>1.4E-2</v>
      </c>
      <c r="CM131" s="1">
        <v>75.153033930000007</v>
      </c>
      <c r="CN131" s="83">
        <v>-30.237599800000002</v>
      </c>
    </row>
    <row r="132" spans="1:92" s="3" customFormat="1" x14ac:dyDescent="0.25">
      <c r="A132" s="72">
        <v>129</v>
      </c>
      <c r="B132" s="81" t="s">
        <v>1321</v>
      </c>
      <c r="C132" s="1" t="s">
        <v>162</v>
      </c>
      <c r="D132" s="1" t="s">
        <v>73</v>
      </c>
      <c r="E132" s="1" t="s">
        <v>99</v>
      </c>
      <c r="F132" s="1" t="s">
        <v>128</v>
      </c>
      <c r="G132" s="1" t="s">
        <v>172</v>
      </c>
      <c r="H132" s="1" t="s">
        <v>533</v>
      </c>
      <c r="I132" s="1"/>
      <c r="J132" s="9" t="s">
        <v>506</v>
      </c>
      <c r="K132" s="10">
        <v>0.45509616666666702</v>
      </c>
      <c r="L132" s="1" t="s">
        <v>641</v>
      </c>
      <c r="M132" s="1" t="s">
        <v>76</v>
      </c>
      <c r="N132" s="1" t="s">
        <v>644</v>
      </c>
      <c r="O132" s="1" t="s">
        <v>16</v>
      </c>
      <c r="P132" s="82">
        <v>0.309</v>
      </c>
      <c r="Q132" s="1" t="s">
        <v>76</v>
      </c>
      <c r="R132" s="81" t="s">
        <v>91</v>
      </c>
      <c r="S132" s="1">
        <v>3</v>
      </c>
      <c r="T132" s="1" t="s">
        <v>78</v>
      </c>
      <c r="U132" s="1" t="s">
        <v>658</v>
      </c>
      <c r="V132" s="1" t="s">
        <v>655</v>
      </c>
      <c r="W132" s="1">
        <v>13</v>
      </c>
      <c r="X132" s="1" t="s">
        <v>170</v>
      </c>
      <c r="Y132" s="1" t="s">
        <v>644</v>
      </c>
      <c r="Z132" s="1">
        <v>2E-3</v>
      </c>
      <c r="AA132" s="1">
        <v>6.0000000000000001E-3</v>
      </c>
      <c r="AB132" s="1">
        <v>6.0000000000000001E-3</v>
      </c>
      <c r="AC132" s="1">
        <v>1.6E-2</v>
      </c>
      <c r="AD132" s="1">
        <v>5.0000000000000001E-3</v>
      </c>
      <c r="AE132" s="1">
        <v>1.7999999999999999E-2</v>
      </c>
      <c r="AF132" s="1">
        <v>7.0000000000000001E-3</v>
      </c>
      <c r="AG132" s="1">
        <v>1E-3</v>
      </c>
      <c r="AH132" s="1">
        <v>2.1999999999999999E-2</v>
      </c>
      <c r="AI132" s="1">
        <v>2E-3</v>
      </c>
      <c r="AJ132" s="1">
        <v>0.01</v>
      </c>
      <c r="AK132" s="1">
        <v>0.309</v>
      </c>
      <c r="AL132" s="1">
        <v>6.0000000000000001E-3</v>
      </c>
      <c r="AM132" s="1">
        <v>8.9999999999999993E-3</v>
      </c>
      <c r="AN132" s="1">
        <v>1.2999999999999999E-2</v>
      </c>
      <c r="AO132" s="1">
        <v>5.0000000000000001E-3</v>
      </c>
      <c r="AP132" s="1">
        <v>4.0000000000000001E-3</v>
      </c>
      <c r="AQ132" s="1">
        <v>3.0000000000000001E-3</v>
      </c>
      <c r="AR132" s="1">
        <v>1.2999999999999999E-2</v>
      </c>
      <c r="AS132" s="1">
        <v>1.7999999999999999E-2</v>
      </c>
      <c r="AT132" s="1">
        <v>8.9999999999999993E-3</v>
      </c>
      <c r="AU132" s="1">
        <v>1.2E-2</v>
      </c>
      <c r="AV132" s="1">
        <v>4.0000000000000001E-3</v>
      </c>
      <c r="AW132" s="1">
        <v>1.7000000000000001E-2</v>
      </c>
      <c r="AX132" s="1">
        <v>5.0000000000000001E-3</v>
      </c>
      <c r="AY132" s="1">
        <v>8.0000000000000002E-3</v>
      </c>
      <c r="AZ132" s="1">
        <v>1.2999999999999999E-2</v>
      </c>
      <c r="BA132" s="1">
        <v>2.1999999999999999E-2</v>
      </c>
      <c r="BB132" s="1">
        <v>2.8000000000000001E-2</v>
      </c>
      <c r="BC132" s="1">
        <v>3.0000000000000001E-3</v>
      </c>
      <c r="BD132" s="1">
        <v>2.7E-2</v>
      </c>
      <c r="BE132" s="1">
        <v>5.0000000000000001E-3</v>
      </c>
      <c r="BF132" s="1">
        <v>2E-3</v>
      </c>
      <c r="BG132" s="1">
        <v>5.0000000000000001E-3</v>
      </c>
      <c r="BH132" s="1">
        <v>3.0000000000000001E-3</v>
      </c>
      <c r="BI132" s="1">
        <v>3.0000000000000001E-3</v>
      </c>
      <c r="BJ132" s="1">
        <v>2E-3</v>
      </c>
      <c r="BK132" s="1">
        <v>3.0000000000000001E-3</v>
      </c>
      <c r="BL132" s="1">
        <v>8.0000000000000002E-3</v>
      </c>
      <c r="BM132" s="1">
        <v>4.0000000000000001E-3</v>
      </c>
      <c r="BN132" s="1">
        <v>7.0000000000000001E-3</v>
      </c>
      <c r="BO132" s="1">
        <v>1.7000000000000001E-2</v>
      </c>
      <c r="BP132" s="1">
        <v>2E-3</v>
      </c>
      <c r="BQ132" s="1">
        <v>1.2999999999999999E-2</v>
      </c>
      <c r="BR132" s="1">
        <v>4.0000000000000001E-3</v>
      </c>
      <c r="BS132" s="1">
        <v>6.0000000000000001E-3</v>
      </c>
      <c r="BT132" s="1">
        <v>3.0000000000000001E-3</v>
      </c>
      <c r="BU132" s="1">
        <v>7.0000000000000001E-3</v>
      </c>
      <c r="BV132" s="1">
        <v>8.9999999999999993E-3</v>
      </c>
      <c r="BW132" s="1">
        <v>8.0000000000000002E-3</v>
      </c>
      <c r="BX132" s="1">
        <v>0.02</v>
      </c>
      <c r="BY132" s="1">
        <v>1.0999999999999999E-2</v>
      </c>
      <c r="BZ132" s="1">
        <v>0.01</v>
      </c>
      <c r="CA132" s="1">
        <v>5.0000000000000001E-3</v>
      </c>
      <c r="CB132" s="1">
        <v>3.0000000000000001E-3</v>
      </c>
      <c r="CC132" s="1">
        <v>8.0000000000000002E-3</v>
      </c>
      <c r="CD132" s="1">
        <v>1E-3</v>
      </c>
      <c r="CE132" s="1">
        <v>4.0000000000000001E-3</v>
      </c>
      <c r="CF132" s="1">
        <v>4.0000000000000001E-3</v>
      </c>
      <c r="CG132" s="1">
        <v>8.9999999999999993E-3</v>
      </c>
      <c r="CH132" s="1">
        <v>2.7E-2</v>
      </c>
      <c r="CI132" s="1">
        <v>8.0000000000000002E-3</v>
      </c>
      <c r="CJ132" s="1">
        <v>1.4999999999999999E-2</v>
      </c>
      <c r="CK132" s="1">
        <v>0.114</v>
      </c>
      <c r="CL132" s="1">
        <v>2.9000000000000001E-2</v>
      </c>
      <c r="CM132" s="1">
        <v>-11.304439110000001</v>
      </c>
      <c r="CN132" s="83">
        <v>137.87880580000001</v>
      </c>
    </row>
    <row r="133" spans="1:92" s="3" customFormat="1" x14ac:dyDescent="0.25">
      <c r="A133" s="72">
        <v>130</v>
      </c>
      <c r="B133" s="81" t="s">
        <v>1002</v>
      </c>
      <c r="C133" s="1" t="s">
        <v>162</v>
      </c>
      <c r="D133" s="1" t="s">
        <v>73</v>
      </c>
      <c r="E133" s="1" t="s">
        <v>99</v>
      </c>
      <c r="F133" s="1" t="s">
        <v>128</v>
      </c>
      <c r="G133" s="1" t="s">
        <v>168</v>
      </c>
      <c r="H133" s="1" t="s">
        <v>534</v>
      </c>
      <c r="I133" s="1"/>
      <c r="J133" s="9" t="s">
        <v>506</v>
      </c>
      <c r="K133" s="10">
        <v>0.49809816666666701</v>
      </c>
      <c r="L133" s="1" t="s">
        <v>602</v>
      </c>
      <c r="M133" s="1" t="s">
        <v>506</v>
      </c>
      <c r="N133" s="1" t="s">
        <v>648</v>
      </c>
      <c r="O133" s="1" t="s">
        <v>68</v>
      </c>
      <c r="P133" s="82">
        <v>0.997</v>
      </c>
      <c r="Q133" s="1" t="s">
        <v>76</v>
      </c>
      <c r="R133" s="81" t="s">
        <v>179</v>
      </c>
      <c r="S133" s="1">
        <v>3</v>
      </c>
      <c r="T133" s="1" t="s">
        <v>120</v>
      </c>
      <c r="U133" s="1" t="s">
        <v>659</v>
      </c>
      <c r="V133" s="1" t="s">
        <v>655</v>
      </c>
      <c r="W133" s="1">
        <v>64</v>
      </c>
      <c r="X133" s="1" t="s">
        <v>170</v>
      </c>
      <c r="Y133" s="1" t="s">
        <v>648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0.997</v>
      </c>
      <c r="CL133" s="1">
        <v>0</v>
      </c>
      <c r="CM133" s="1">
        <v>78.748175869999997</v>
      </c>
      <c r="CN133" s="83">
        <v>-30.43371016</v>
      </c>
    </row>
    <row r="134" spans="1:92" s="3" customFormat="1" x14ac:dyDescent="0.25">
      <c r="A134" s="72">
        <v>131</v>
      </c>
      <c r="B134" s="81" t="s">
        <v>1379</v>
      </c>
      <c r="C134" s="1" t="s">
        <v>162</v>
      </c>
      <c r="D134" s="1" t="s">
        <v>92</v>
      </c>
      <c r="E134" s="1" t="s">
        <v>99</v>
      </c>
      <c r="F134" s="1" t="s">
        <v>128</v>
      </c>
      <c r="G134" s="1" t="s">
        <v>172</v>
      </c>
      <c r="H134" s="1" t="s">
        <v>533</v>
      </c>
      <c r="I134" s="1"/>
      <c r="J134" s="9" t="s">
        <v>506</v>
      </c>
      <c r="K134" s="10">
        <v>0.47757650000000001</v>
      </c>
      <c r="L134" s="1" t="s">
        <v>641</v>
      </c>
      <c r="M134" s="1" t="s">
        <v>76</v>
      </c>
      <c r="N134" s="1" t="s">
        <v>644</v>
      </c>
      <c r="O134" s="1" t="s">
        <v>33</v>
      </c>
      <c r="P134" s="82">
        <v>0.151</v>
      </c>
      <c r="Q134" s="1" t="s">
        <v>76</v>
      </c>
      <c r="R134" s="81" t="s">
        <v>81</v>
      </c>
      <c r="S134" s="1">
        <v>1</v>
      </c>
      <c r="T134" s="1" t="s">
        <v>78</v>
      </c>
      <c r="U134" s="1" t="s">
        <v>658</v>
      </c>
      <c r="V134" s="1" t="s">
        <v>655</v>
      </c>
      <c r="W134" s="1">
        <v>10</v>
      </c>
      <c r="X134" s="1" t="s">
        <v>167</v>
      </c>
      <c r="Y134" s="1" t="s">
        <v>644</v>
      </c>
      <c r="Z134" s="1">
        <v>3.0000000000000001E-3</v>
      </c>
      <c r="AA134" s="1">
        <v>7.0000000000000001E-3</v>
      </c>
      <c r="AB134" s="1">
        <v>6.0000000000000001E-3</v>
      </c>
      <c r="AC134" s="1">
        <v>2.1999999999999999E-2</v>
      </c>
      <c r="AD134" s="1">
        <v>6.0000000000000001E-3</v>
      </c>
      <c r="AE134" s="1">
        <v>8.9999999999999993E-3</v>
      </c>
      <c r="AF134" s="1">
        <v>7.0000000000000001E-3</v>
      </c>
      <c r="AG134" s="1">
        <v>1E-3</v>
      </c>
      <c r="AH134" s="1">
        <v>2.1000000000000001E-2</v>
      </c>
      <c r="AI134" s="1">
        <v>2E-3</v>
      </c>
      <c r="AJ134" s="1">
        <v>1.9E-2</v>
      </c>
      <c r="AK134" s="1">
        <v>4.2000000000000003E-2</v>
      </c>
      <c r="AL134" s="1">
        <v>2E-3</v>
      </c>
      <c r="AM134" s="1">
        <v>8.0000000000000002E-3</v>
      </c>
      <c r="AN134" s="1">
        <v>1.7999999999999999E-2</v>
      </c>
      <c r="AO134" s="1">
        <v>1.4999999999999999E-2</v>
      </c>
      <c r="AP134" s="1">
        <v>4.0000000000000001E-3</v>
      </c>
      <c r="AQ134" s="1">
        <v>5.0000000000000001E-3</v>
      </c>
      <c r="AR134" s="1">
        <v>8.0000000000000002E-3</v>
      </c>
      <c r="AS134" s="1">
        <v>1.6E-2</v>
      </c>
      <c r="AT134" s="1">
        <v>0.01</v>
      </c>
      <c r="AU134" s="1">
        <v>1.9E-2</v>
      </c>
      <c r="AV134" s="1">
        <v>4.0000000000000001E-3</v>
      </c>
      <c r="AW134" s="1">
        <v>8.0000000000000002E-3</v>
      </c>
      <c r="AX134" s="1">
        <v>6.0000000000000001E-3</v>
      </c>
      <c r="AY134" s="1">
        <v>1.2E-2</v>
      </c>
      <c r="AZ134" s="1">
        <v>1.2E-2</v>
      </c>
      <c r="BA134" s="1">
        <v>2.4E-2</v>
      </c>
      <c r="BB134" s="1">
        <v>0.151</v>
      </c>
      <c r="BC134" s="1">
        <v>4.0000000000000001E-3</v>
      </c>
      <c r="BD134" s="1">
        <v>2.9000000000000001E-2</v>
      </c>
      <c r="BE134" s="1">
        <v>3.0000000000000001E-3</v>
      </c>
      <c r="BF134" s="1">
        <v>2E-3</v>
      </c>
      <c r="BG134" s="1">
        <v>5.0000000000000001E-3</v>
      </c>
      <c r="BH134" s="1">
        <v>4.0000000000000001E-3</v>
      </c>
      <c r="BI134" s="1">
        <v>4.0000000000000001E-3</v>
      </c>
      <c r="BJ134" s="1">
        <v>3.0000000000000001E-3</v>
      </c>
      <c r="BK134" s="1">
        <v>3.0000000000000001E-3</v>
      </c>
      <c r="BL134" s="1">
        <v>0.01</v>
      </c>
      <c r="BM134" s="1">
        <v>5.0000000000000001E-3</v>
      </c>
      <c r="BN134" s="1">
        <v>7.0000000000000001E-3</v>
      </c>
      <c r="BO134" s="1">
        <v>2.3E-2</v>
      </c>
      <c r="BP134" s="1">
        <v>2E-3</v>
      </c>
      <c r="BQ134" s="1">
        <v>1.2E-2</v>
      </c>
      <c r="BR134" s="1">
        <v>6.0000000000000001E-3</v>
      </c>
      <c r="BS134" s="1">
        <v>7.0000000000000001E-3</v>
      </c>
      <c r="BT134" s="1">
        <v>4.0000000000000001E-3</v>
      </c>
      <c r="BU134" s="1">
        <v>0.01</v>
      </c>
      <c r="BV134" s="1">
        <v>1.4999999999999999E-2</v>
      </c>
      <c r="BW134" s="1">
        <v>8.9999999999999993E-3</v>
      </c>
      <c r="BX134" s="1">
        <v>0.14299999999999999</v>
      </c>
      <c r="BY134" s="1">
        <v>1.4E-2</v>
      </c>
      <c r="BZ134" s="1">
        <v>1.2E-2</v>
      </c>
      <c r="CA134" s="1">
        <v>7.0000000000000001E-3</v>
      </c>
      <c r="CB134" s="1">
        <v>2E-3</v>
      </c>
      <c r="CC134" s="1">
        <v>7.0000000000000001E-3</v>
      </c>
      <c r="CD134" s="1">
        <v>1E-3</v>
      </c>
      <c r="CE134" s="1">
        <v>5.0000000000000001E-3</v>
      </c>
      <c r="CF134" s="1">
        <v>4.0000000000000001E-3</v>
      </c>
      <c r="CG134" s="1">
        <v>0.01</v>
      </c>
      <c r="CH134" s="1">
        <v>1.0999999999999999E-2</v>
      </c>
      <c r="CI134" s="1">
        <v>8.9999999999999993E-3</v>
      </c>
      <c r="CJ134" s="1">
        <v>1.2999999999999999E-2</v>
      </c>
      <c r="CK134" s="1">
        <v>0.10299999999999999</v>
      </c>
      <c r="CL134" s="1">
        <v>2.7E-2</v>
      </c>
      <c r="CM134" s="1">
        <v>-4.7823224780000002</v>
      </c>
      <c r="CN134" s="83">
        <v>109.1711299</v>
      </c>
    </row>
    <row r="135" spans="1:92" s="94" customFormat="1" x14ac:dyDescent="0.25">
      <c r="A135" s="72">
        <v>132</v>
      </c>
      <c r="B135" s="81" t="s">
        <v>1472</v>
      </c>
      <c r="C135" s="1" t="s">
        <v>162</v>
      </c>
      <c r="D135" s="1" t="s">
        <v>79</v>
      </c>
      <c r="E135" s="1" t="s">
        <v>74</v>
      </c>
      <c r="F135" s="1" t="s">
        <v>128</v>
      </c>
      <c r="G135" s="1" t="s">
        <v>172</v>
      </c>
      <c r="H135" s="1" t="s">
        <v>533</v>
      </c>
      <c r="I135" s="1"/>
      <c r="J135" s="9" t="s">
        <v>506</v>
      </c>
      <c r="K135" s="10">
        <v>0.46299533333333398</v>
      </c>
      <c r="L135" s="1" t="s">
        <v>630</v>
      </c>
      <c r="M135" s="1" t="s">
        <v>506</v>
      </c>
      <c r="N135" s="1" t="s">
        <v>647</v>
      </c>
      <c r="O135" s="1" t="s">
        <v>33</v>
      </c>
      <c r="P135" s="82">
        <v>0.98499999999999999</v>
      </c>
      <c r="Q135" s="1" t="s">
        <v>76</v>
      </c>
      <c r="R135" s="81" t="s">
        <v>81</v>
      </c>
      <c r="S135" s="1">
        <v>1</v>
      </c>
      <c r="T135" s="1" t="s">
        <v>78</v>
      </c>
      <c r="U135" s="1" t="s">
        <v>658</v>
      </c>
      <c r="V135" s="1" t="s">
        <v>655</v>
      </c>
      <c r="W135" s="1">
        <v>16</v>
      </c>
      <c r="X135" s="1" t="s">
        <v>170</v>
      </c>
      <c r="Y135" s="1" t="s">
        <v>647</v>
      </c>
      <c r="Z135" s="1">
        <v>0</v>
      </c>
      <c r="AA135" s="1">
        <v>0</v>
      </c>
      <c r="AB135" s="1">
        <v>0</v>
      </c>
      <c r="AC135" s="1">
        <v>1E-3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1E-3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0.98499999999999999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2E-3</v>
      </c>
      <c r="BW135" s="1">
        <v>0</v>
      </c>
      <c r="BX135" s="1">
        <v>3.0000000000000001E-3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2E-3</v>
      </c>
      <c r="CL135" s="1">
        <v>0</v>
      </c>
      <c r="CM135" s="1">
        <v>-16.194929460000001</v>
      </c>
      <c r="CN135" s="83">
        <v>127.5301513</v>
      </c>
    </row>
    <row r="136" spans="1:92" s="3" customFormat="1" x14ac:dyDescent="0.25">
      <c r="A136" s="72">
        <v>133</v>
      </c>
      <c r="B136" s="81" t="s">
        <v>1669</v>
      </c>
      <c r="C136" s="1" t="s">
        <v>162</v>
      </c>
      <c r="D136" s="1" t="s">
        <v>73</v>
      </c>
      <c r="E136" s="1" t="s">
        <v>99</v>
      </c>
      <c r="F136" s="1" t="s">
        <v>128</v>
      </c>
      <c r="G136" s="1" t="s">
        <v>180</v>
      </c>
      <c r="H136" s="1" t="s">
        <v>570</v>
      </c>
      <c r="I136" s="1"/>
      <c r="J136" s="9" t="s">
        <v>544</v>
      </c>
      <c r="K136" s="10">
        <v>0.58529783333333396</v>
      </c>
      <c r="L136" s="1" t="s">
        <v>76</v>
      </c>
      <c r="M136" s="1" t="s">
        <v>506</v>
      </c>
      <c r="N136" s="1" t="s">
        <v>645</v>
      </c>
      <c r="O136" s="1" t="s">
        <v>55</v>
      </c>
      <c r="P136" s="82">
        <v>1</v>
      </c>
      <c r="Q136" s="1" t="s">
        <v>76</v>
      </c>
      <c r="R136" s="81" t="s">
        <v>1787</v>
      </c>
      <c r="S136" s="1">
        <v>3</v>
      </c>
      <c r="T136" s="1" t="s">
        <v>78</v>
      </c>
      <c r="U136" s="1" t="s">
        <v>658</v>
      </c>
      <c r="V136" s="1" t="s">
        <v>655</v>
      </c>
      <c r="W136" s="1" t="s">
        <v>424</v>
      </c>
      <c r="X136" s="1" t="s">
        <v>434</v>
      </c>
      <c r="Y136" s="1" t="s">
        <v>645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1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43.200493809999998</v>
      </c>
      <c r="CN136" s="83">
        <v>37.350412179999999</v>
      </c>
    </row>
    <row r="137" spans="1:92" s="3" customFormat="1" x14ac:dyDescent="0.25">
      <c r="A137" s="72">
        <v>134</v>
      </c>
      <c r="B137" s="81" t="s">
        <v>1326</v>
      </c>
      <c r="C137" s="1" t="s">
        <v>162</v>
      </c>
      <c r="D137" s="1" t="s">
        <v>92</v>
      </c>
      <c r="E137" s="1" t="s">
        <v>74</v>
      </c>
      <c r="F137" s="1" t="s">
        <v>128</v>
      </c>
      <c r="G137" s="1" t="s">
        <v>182</v>
      </c>
      <c r="H137" s="1" t="s">
        <v>570</v>
      </c>
      <c r="I137" s="1"/>
      <c r="J137" s="9" t="s">
        <v>544</v>
      </c>
      <c r="K137" s="10">
        <v>0.57933733333333304</v>
      </c>
      <c r="L137" s="1" t="s">
        <v>641</v>
      </c>
      <c r="M137" s="1" t="s">
        <v>76</v>
      </c>
      <c r="N137" s="1" t="s">
        <v>649</v>
      </c>
      <c r="O137" s="1" t="s">
        <v>55</v>
      </c>
      <c r="P137" s="82">
        <v>0.86399999999999999</v>
      </c>
      <c r="Q137" s="1" t="s">
        <v>76</v>
      </c>
      <c r="R137" s="81" t="s">
        <v>183</v>
      </c>
      <c r="S137" s="1">
        <v>3</v>
      </c>
      <c r="T137" s="1" t="s">
        <v>78</v>
      </c>
      <c r="U137" s="1" t="s">
        <v>659</v>
      </c>
      <c r="V137" s="1" t="s">
        <v>655</v>
      </c>
      <c r="W137" s="1">
        <v>31</v>
      </c>
      <c r="X137" s="1" t="s">
        <v>167</v>
      </c>
      <c r="Y137" s="1" t="s">
        <v>645</v>
      </c>
      <c r="Z137" s="1">
        <v>0</v>
      </c>
      <c r="AA137" s="1">
        <v>1E-3</v>
      </c>
      <c r="AB137" s="1">
        <v>1E-3</v>
      </c>
      <c r="AC137" s="1">
        <v>8.0000000000000002E-3</v>
      </c>
      <c r="AD137" s="1">
        <v>1E-3</v>
      </c>
      <c r="AE137" s="1">
        <v>2E-3</v>
      </c>
      <c r="AF137" s="1">
        <v>1E-3</v>
      </c>
      <c r="AG137" s="1">
        <v>0</v>
      </c>
      <c r="AH137" s="1">
        <v>3.0000000000000001E-3</v>
      </c>
      <c r="AI137" s="1">
        <v>0</v>
      </c>
      <c r="AJ137" s="1">
        <v>1E-3</v>
      </c>
      <c r="AK137" s="1">
        <v>4.0000000000000001E-3</v>
      </c>
      <c r="AL137" s="1">
        <v>0</v>
      </c>
      <c r="AM137" s="1">
        <v>1E-3</v>
      </c>
      <c r="AN137" s="1">
        <v>1E-3</v>
      </c>
      <c r="AO137" s="1">
        <v>3.0000000000000001E-3</v>
      </c>
      <c r="AP137" s="1">
        <v>1E-3</v>
      </c>
      <c r="AQ137" s="1">
        <v>1E-3</v>
      </c>
      <c r="AR137" s="1">
        <v>1E-3</v>
      </c>
      <c r="AS137" s="1">
        <v>3.0000000000000001E-3</v>
      </c>
      <c r="AT137" s="1">
        <v>2E-3</v>
      </c>
      <c r="AU137" s="1">
        <v>2E-3</v>
      </c>
      <c r="AV137" s="1">
        <v>1E-3</v>
      </c>
      <c r="AW137" s="1">
        <v>2E-3</v>
      </c>
      <c r="AX137" s="1">
        <v>1E-3</v>
      </c>
      <c r="AY137" s="1">
        <v>2E-3</v>
      </c>
      <c r="AZ137" s="1">
        <v>2E-3</v>
      </c>
      <c r="BA137" s="1">
        <v>4.0000000000000001E-3</v>
      </c>
      <c r="BB137" s="1">
        <v>2.9000000000000001E-2</v>
      </c>
      <c r="BC137" s="1">
        <v>1E-3</v>
      </c>
      <c r="BD137" s="1">
        <v>4.0000000000000001E-3</v>
      </c>
      <c r="BE137" s="1">
        <v>1E-3</v>
      </c>
      <c r="BF137" s="1">
        <v>0</v>
      </c>
      <c r="BG137" s="1">
        <v>1E-3</v>
      </c>
      <c r="BH137" s="1">
        <v>1E-3</v>
      </c>
      <c r="BI137" s="1">
        <v>1E-3</v>
      </c>
      <c r="BJ137" s="1">
        <v>0</v>
      </c>
      <c r="BK137" s="1">
        <v>1E-3</v>
      </c>
      <c r="BL137" s="1">
        <v>3.0000000000000001E-3</v>
      </c>
      <c r="BM137" s="1">
        <v>1E-3</v>
      </c>
      <c r="BN137" s="1">
        <v>2E-3</v>
      </c>
      <c r="BO137" s="1">
        <v>1E-3</v>
      </c>
      <c r="BP137" s="1">
        <v>0</v>
      </c>
      <c r="BQ137" s="1">
        <v>3.0000000000000001E-3</v>
      </c>
      <c r="BR137" s="1">
        <v>2E-3</v>
      </c>
      <c r="BS137" s="1">
        <v>1E-3</v>
      </c>
      <c r="BT137" s="1">
        <v>1E-3</v>
      </c>
      <c r="BU137" s="1">
        <v>0</v>
      </c>
      <c r="BV137" s="1">
        <v>2E-3</v>
      </c>
      <c r="BW137" s="1">
        <v>2E-3</v>
      </c>
      <c r="BX137" s="1">
        <v>0.86399999999999999</v>
      </c>
      <c r="BY137" s="1">
        <v>4.0000000000000001E-3</v>
      </c>
      <c r="BZ137" s="1">
        <v>2E-3</v>
      </c>
      <c r="CA137" s="1">
        <v>1E-3</v>
      </c>
      <c r="CB137" s="1">
        <v>0</v>
      </c>
      <c r="CC137" s="1">
        <v>2E-3</v>
      </c>
      <c r="CD137" s="1">
        <v>0</v>
      </c>
      <c r="CE137" s="1">
        <v>1E-3</v>
      </c>
      <c r="CF137" s="1">
        <v>1E-3</v>
      </c>
      <c r="CG137" s="1">
        <v>2E-3</v>
      </c>
      <c r="CH137" s="1">
        <v>2E-3</v>
      </c>
      <c r="CI137" s="1">
        <v>2E-3</v>
      </c>
      <c r="CJ137" s="1">
        <v>4.0000000000000001E-3</v>
      </c>
      <c r="CK137" s="1">
        <v>7.0000000000000001E-3</v>
      </c>
      <c r="CL137" s="1">
        <v>2E-3</v>
      </c>
      <c r="CM137" s="1">
        <v>46.257867500000003</v>
      </c>
      <c r="CN137" s="83">
        <v>43.747746650000003</v>
      </c>
    </row>
    <row r="138" spans="1:92" s="3" customFormat="1" x14ac:dyDescent="0.25">
      <c r="A138" s="72">
        <v>135</v>
      </c>
      <c r="B138" s="81" t="s">
        <v>951</v>
      </c>
      <c r="C138" s="1" t="s">
        <v>162</v>
      </c>
      <c r="D138" s="1" t="s">
        <v>73</v>
      </c>
      <c r="E138" s="1" t="s">
        <v>74</v>
      </c>
      <c r="F138" s="1" t="s">
        <v>128</v>
      </c>
      <c r="G138" s="1" t="s">
        <v>166</v>
      </c>
      <c r="H138" s="1" t="s">
        <v>535</v>
      </c>
      <c r="I138" s="1"/>
      <c r="J138" s="9" t="s">
        <v>506</v>
      </c>
      <c r="K138" s="10">
        <v>0.386448666666667</v>
      </c>
      <c r="L138" s="1" t="s">
        <v>641</v>
      </c>
      <c r="M138" s="1" t="s">
        <v>76</v>
      </c>
      <c r="N138" s="1" t="s">
        <v>644</v>
      </c>
      <c r="O138" s="1" t="s">
        <v>68</v>
      </c>
      <c r="P138" s="82">
        <v>0.53300000000000003</v>
      </c>
      <c r="Q138" s="1" t="s">
        <v>76</v>
      </c>
      <c r="R138" s="81" t="s">
        <v>87</v>
      </c>
      <c r="S138" s="1" t="s">
        <v>184</v>
      </c>
      <c r="T138" s="1" t="s">
        <v>78</v>
      </c>
      <c r="U138" s="1" t="s">
        <v>658</v>
      </c>
      <c r="V138" s="1" t="s">
        <v>655</v>
      </c>
      <c r="W138" s="1">
        <v>33</v>
      </c>
      <c r="X138" s="1" t="s">
        <v>170</v>
      </c>
      <c r="Y138" s="1" t="s">
        <v>644</v>
      </c>
      <c r="Z138" s="1">
        <v>8.0000000000000002E-3</v>
      </c>
      <c r="AA138" s="1">
        <v>3.0000000000000001E-3</v>
      </c>
      <c r="AB138" s="1">
        <v>2E-3</v>
      </c>
      <c r="AC138" s="1">
        <v>2E-3</v>
      </c>
      <c r="AD138" s="1">
        <v>4.0000000000000001E-3</v>
      </c>
      <c r="AE138" s="1">
        <v>4.0000000000000001E-3</v>
      </c>
      <c r="AF138" s="1">
        <v>3.0000000000000001E-3</v>
      </c>
      <c r="AG138" s="1">
        <v>0</v>
      </c>
      <c r="AH138" s="1">
        <v>6.0000000000000001E-3</v>
      </c>
      <c r="AI138" s="1">
        <v>1E-3</v>
      </c>
      <c r="AJ138" s="1">
        <v>1.4999999999999999E-2</v>
      </c>
      <c r="AK138" s="1">
        <v>4.0000000000000001E-3</v>
      </c>
      <c r="AL138" s="1">
        <v>0</v>
      </c>
      <c r="AM138" s="1">
        <v>2E-3</v>
      </c>
      <c r="AN138" s="1">
        <v>8.9999999999999993E-3</v>
      </c>
      <c r="AO138" s="1">
        <v>1E-3</v>
      </c>
      <c r="AP138" s="1">
        <v>1E-3</v>
      </c>
      <c r="AQ138" s="1">
        <v>1E-3</v>
      </c>
      <c r="AR138" s="1">
        <v>5.8999999999999997E-2</v>
      </c>
      <c r="AS138" s="1">
        <v>4.0000000000000001E-3</v>
      </c>
      <c r="AT138" s="1">
        <v>2E-3</v>
      </c>
      <c r="AU138" s="1">
        <v>8.9999999999999993E-3</v>
      </c>
      <c r="AV138" s="1">
        <v>2E-3</v>
      </c>
      <c r="AW138" s="1">
        <v>2E-3</v>
      </c>
      <c r="AX138" s="1">
        <v>1.0999999999999999E-2</v>
      </c>
      <c r="AY138" s="1">
        <v>4.0000000000000001E-3</v>
      </c>
      <c r="AZ138" s="1">
        <v>6.0000000000000001E-3</v>
      </c>
      <c r="BA138" s="1">
        <v>0.01</v>
      </c>
      <c r="BB138" s="1">
        <v>8.0000000000000002E-3</v>
      </c>
      <c r="BC138" s="1">
        <v>1E-3</v>
      </c>
      <c r="BD138" s="1">
        <v>8.0000000000000002E-3</v>
      </c>
      <c r="BE138" s="1">
        <v>1E-3</v>
      </c>
      <c r="BF138" s="1">
        <v>2E-3</v>
      </c>
      <c r="BG138" s="1">
        <v>1E-3</v>
      </c>
      <c r="BH138" s="1">
        <v>1E-3</v>
      </c>
      <c r="BI138" s="1">
        <v>1E-3</v>
      </c>
      <c r="BJ138" s="1">
        <v>3.0000000000000001E-3</v>
      </c>
      <c r="BK138" s="1">
        <v>1E-3</v>
      </c>
      <c r="BL138" s="1">
        <v>2E-3</v>
      </c>
      <c r="BM138" s="1">
        <v>1E-3</v>
      </c>
      <c r="BN138" s="1">
        <v>2E-3</v>
      </c>
      <c r="BO138" s="1">
        <v>3.6999999999999998E-2</v>
      </c>
      <c r="BP138" s="1">
        <v>8.0000000000000002E-3</v>
      </c>
      <c r="BQ138" s="1">
        <v>3.0000000000000001E-3</v>
      </c>
      <c r="BR138" s="1">
        <v>2E-3</v>
      </c>
      <c r="BS138" s="1">
        <v>0.03</v>
      </c>
      <c r="BT138" s="1">
        <v>1E-3</v>
      </c>
      <c r="BU138" s="1">
        <v>4.0000000000000001E-3</v>
      </c>
      <c r="BV138" s="1">
        <v>4.0000000000000001E-3</v>
      </c>
      <c r="BW138" s="1">
        <v>2E-3</v>
      </c>
      <c r="BX138" s="1">
        <v>2.7E-2</v>
      </c>
      <c r="BY138" s="1">
        <v>4.0000000000000001E-3</v>
      </c>
      <c r="BZ138" s="1">
        <v>7.0000000000000001E-3</v>
      </c>
      <c r="CA138" s="1">
        <v>2E-3</v>
      </c>
      <c r="CB138" s="1">
        <v>1E-3</v>
      </c>
      <c r="CC138" s="1">
        <v>3.0000000000000001E-3</v>
      </c>
      <c r="CD138" s="1">
        <v>0</v>
      </c>
      <c r="CE138" s="1">
        <v>2E-3</v>
      </c>
      <c r="CF138" s="1">
        <v>2E-3</v>
      </c>
      <c r="CG138" s="1">
        <v>2E-3</v>
      </c>
      <c r="CH138" s="1">
        <v>3.0000000000000001E-3</v>
      </c>
      <c r="CI138" s="1">
        <v>2E-3</v>
      </c>
      <c r="CJ138" s="1">
        <v>3.0000000000000001E-3</v>
      </c>
      <c r="CK138" s="1">
        <v>0.53300000000000003</v>
      </c>
      <c r="CL138" s="1">
        <v>0.109</v>
      </c>
      <c r="CM138" s="1">
        <v>-19.50017652</v>
      </c>
      <c r="CN138" s="83">
        <v>114.9369695</v>
      </c>
    </row>
    <row r="139" spans="1:92" s="3" customFormat="1" x14ac:dyDescent="0.25">
      <c r="A139" s="72">
        <v>136</v>
      </c>
      <c r="B139" s="81" t="s">
        <v>1075</v>
      </c>
      <c r="C139" s="1" t="s">
        <v>162</v>
      </c>
      <c r="D139" s="1" t="s">
        <v>73</v>
      </c>
      <c r="E139" s="1" t="s">
        <v>74</v>
      </c>
      <c r="F139" s="1" t="s">
        <v>128</v>
      </c>
      <c r="G139" s="1" t="s">
        <v>185</v>
      </c>
      <c r="H139" s="1" t="s">
        <v>570</v>
      </c>
      <c r="I139" s="1"/>
      <c r="J139" s="9" t="s">
        <v>544</v>
      </c>
      <c r="K139" s="10">
        <v>0.27386199999999999</v>
      </c>
      <c r="L139" s="1" t="s">
        <v>641</v>
      </c>
      <c r="M139" s="1" t="s">
        <v>76</v>
      </c>
      <c r="N139" s="1" t="s">
        <v>644</v>
      </c>
      <c r="O139" s="1" t="s">
        <v>39</v>
      </c>
      <c r="P139" s="82">
        <v>0.75600000000000001</v>
      </c>
      <c r="Q139" s="1" t="s">
        <v>76</v>
      </c>
      <c r="R139" s="81" t="s">
        <v>183</v>
      </c>
      <c r="S139" s="1">
        <v>3</v>
      </c>
      <c r="T139" s="1" t="s">
        <v>78</v>
      </c>
      <c r="U139" s="1" t="s">
        <v>658</v>
      </c>
      <c r="V139" s="1" t="s">
        <v>655</v>
      </c>
      <c r="W139" s="1">
        <v>26</v>
      </c>
      <c r="X139" s="1" t="s">
        <v>76</v>
      </c>
      <c r="Y139" s="1" t="s">
        <v>644</v>
      </c>
      <c r="Z139" s="1">
        <v>2E-3</v>
      </c>
      <c r="AA139" s="1">
        <v>2E-3</v>
      </c>
      <c r="AB139" s="1">
        <v>1E-3</v>
      </c>
      <c r="AC139" s="1">
        <v>4.3999999999999997E-2</v>
      </c>
      <c r="AD139" s="1">
        <v>2E-3</v>
      </c>
      <c r="AE139" s="1">
        <v>3.0000000000000001E-3</v>
      </c>
      <c r="AF139" s="1">
        <v>1E-3</v>
      </c>
      <c r="AG139" s="1">
        <v>0</v>
      </c>
      <c r="AH139" s="1">
        <v>8.9999999999999993E-3</v>
      </c>
      <c r="AI139" s="1">
        <v>5.0000000000000001E-3</v>
      </c>
      <c r="AJ139" s="1">
        <v>1E-3</v>
      </c>
      <c r="AK139" s="1">
        <v>3.0000000000000001E-3</v>
      </c>
      <c r="AL139" s="1">
        <v>0</v>
      </c>
      <c r="AM139" s="1">
        <v>1E-3</v>
      </c>
      <c r="AN139" s="1">
        <v>1.2E-2</v>
      </c>
      <c r="AO139" s="1">
        <v>3.0000000000000001E-3</v>
      </c>
      <c r="AP139" s="1">
        <v>6.0000000000000001E-3</v>
      </c>
      <c r="AQ139" s="1">
        <v>1E-3</v>
      </c>
      <c r="AR139" s="1">
        <v>1E-3</v>
      </c>
      <c r="AS139" s="1">
        <v>4.0000000000000001E-3</v>
      </c>
      <c r="AT139" s="1">
        <v>3.0000000000000001E-3</v>
      </c>
      <c r="AU139" s="1">
        <v>1E-3</v>
      </c>
      <c r="AV139" s="1">
        <v>1E-3</v>
      </c>
      <c r="AW139" s="1">
        <v>2E-3</v>
      </c>
      <c r="AX139" s="1">
        <v>1E-3</v>
      </c>
      <c r="AY139" s="1">
        <v>3.0000000000000001E-3</v>
      </c>
      <c r="AZ139" s="1">
        <v>2E-3</v>
      </c>
      <c r="BA139" s="1">
        <v>7.0000000000000001E-3</v>
      </c>
      <c r="BB139" s="1">
        <v>2E-3</v>
      </c>
      <c r="BC139" s="1">
        <v>1E-3</v>
      </c>
      <c r="BD139" s="1">
        <v>8.9999999999999993E-3</v>
      </c>
      <c r="BE139" s="1">
        <v>2E-3</v>
      </c>
      <c r="BF139" s="1">
        <v>3.5999999999999997E-2</v>
      </c>
      <c r="BG139" s="1">
        <v>1E-3</v>
      </c>
      <c r="BH139" s="1">
        <v>0.75600000000000001</v>
      </c>
      <c r="BI139" s="1">
        <v>1E-3</v>
      </c>
      <c r="BJ139" s="1">
        <v>0</v>
      </c>
      <c r="BK139" s="1">
        <v>1E-3</v>
      </c>
      <c r="BL139" s="1">
        <v>2E-3</v>
      </c>
      <c r="BM139" s="1">
        <v>2E-3</v>
      </c>
      <c r="BN139" s="1">
        <v>2E-3</v>
      </c>
      <c r="BO139" s="1">
        <v>1E-3</v>
      </c>
      <c r="BP139" s="1">
        <v>0</v>
      </c>
      <c r="BQ139" s="1">
        <v>3.0000000000000001E-3</v>
      </c>
      <c r="BR139" s="1">
        <v>2E-3</v>
      </c>
      <c r="BS139" s="1">
        <v>1E-3</v>
      </c>
      <c r="BT139" s="1">
        <v>1E-3</v>
      </c>
      <c r="BU139" s="1">
        <v>1E-3</v>
      </c>
      <c r="BV139" s="1">
        <v>1E-3</v>
      </c>
      <c r="BW139" s="1">
        <v>1E-3</v>
      </c>
      <c r="BX139" s="1">
        <v>1.0999999999999999E-2</v>
      </c>
      <c r="BY139" s="1">
        <v>5.0000000000000001E-3</v>
      </c>
      <c r="BZ139" s="1">
        <v>2E-3</v>
      </c>
      <c r="CA139" s="1">
        <v>2E-3</v>
      </c>
      <c r="CB139" s="1">
        <v>0</v>
      </c>
      <c r="CC139" s="1">
        <v>1E-3</v>
      </c>
      <c r="CD139" s="1">
        <v>0</v>
      </c>
      <c r="CE139" s="1">
        <v>2E-3</v>
      </c>
      <c r="CF139" s="1">
        <v>2E-3</v>
      </c>
      <c r="CG139" s="1">
        <v>3.0000000000000001E-3</v>
      </c>
      <c r="CH139" s="1">
        <v>3.0000000000000001E-3</v>
      </c>
      <c r="CI139" s="1">
        <v>3.0000000000000001E-3</v>
      </c>
      <c r="CJ139" s="1">
        <v>4.0000000000000001E-3</v>
      </c>
      <c r="CK139" s="1">
        <v>1.0999999999999999E-2</v>
      </c>
      <c r="CL139" s="1">
        <v>3.0000000000000001E-3</v>
      </c>
      <c r="CM139" s="1">
        <v>-40.757265339999996</v>
      </c>
      <c r="CN139" s="83">
        <v>-67.40596008</v>
      </c>
    </row>
    <row r="140" spans="1:92" s="3" customFormat="1" x14ac:dyDescent="0.25">
      <c r="A140" s="72">
        <v>137</v>
      </c>
      <c r="B140" s="81" t="s">
        <v>1083</v>
      </c>
      <c r="C140" s="1" t="s">
        <v>162</v>
      </c>
      <c r="D140" s="1" t="s">
        <v>73</v>
      </c>
      <c r="E140" s="1" t="s">
        <v>74</v>
      </c>
      <c r="F140" s="1" t="s">
        <v>128</v>
      </c>
      <c r="G140" s="1" t="s">
        <v>186</v>
      </c>
      <c r="H140" s="1" t="s">
        <v>570</v>
      </c>
      <c r="I140" s="1"/>
      <c r="J140" s="9" t="s">
        <v>544</v>
      </c>
      <c r="K140" s="10">
        <v>0.50299900000000097</v>
      </c>
      <c r="L140" s="1" t="s">
        <v>76</v>
      </c>
      <c r="M140" s="1" t="s">
        <v>506</v>
      </c>
      <c r="N140" s="1" t="s">
        <v>645</v>
      </c>
      <c r="O140" s="1" t="s">
        <v>55</v>
      </c>
      <c r="P140" s="82">
        <v>0.99399999999999999</v>
      </c>
      <c r="Q140" s="1" t="s">
        <v>76</v>
      </c>
      <c r="R140" s="81" t="s">
        <v>187</v>
      </c>
      <c r="S140" s="1">
        <v>3</v>
      </c>
      <c r="T140" s="1" t="s">
        <v>78</v>
      </c>
      <c r="U140" s="1" t="s">
        <v>658</v>
      </c>
      <c r="V140" s="1" t="s">
        <v>655</v>
      </c>
      <c r="W140" s="1">
        <v>69</v>
      </c>
      <c r="X140" s="1" t="s">
        <v>76</v>
      </c>
      <c r="Y140" s="1" t="s">
        <v>645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0.99399999999999999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1E-3</v>
      </c>
      <c r="CL140" s="1">
        <v>0</v>
      </c>
      <c r="CM140" s="1">
        <v>77.379019310000004</v>
      </c>
      <c r="CN140" s="83">
        <v>-26.833723890000002</v>
      </c>
    </row>
    <row r="141" spans="1:92" s="3" customFormat="1" x14ac:dyDescent="0.25">
      <c r="A141" s="72">
        <v>138</v>
      </c>
      <c r="B141" s="81" t="s">
        <v>978</v>
      </c>
      <c r="C141" s="1" t="s">
        <v>162</v>
      </c>
      <c r="D141" s="1" t="s">
        <v>73</v>
      </c>
      <c r="E141" s="1" t="s">
        <v>99</v>
      </c>
      <c r="F141" s="1" t="s">
        <v>128</v>
      </c>
      <c r="G141" s="1" t="s">
        <v>188</v>
      </c>
      <c r="H141" s="1" t="s">
        <v>570</v>
      </c>
      <c r="I141" s="1"/>
      <c r="J141" s="9" t="s">
        <v>544</v>
      </c>
      <c r="K141" s="10">
        <v>0.63322366666666596</v>
      </c>
      <c r="L141" s="1" t="s">
        <v>641</v>
      </c>
      <c r="M141" s="1" t="s">
        <v>76</v>
      </c>
      <c r="N141" s="1" t="s">
        <v>649</v>
      </c>
      <c r="O141" s="1" t="s">
        <v>55</v>
      </c>
      <c r="P141" s="82">
        <v>0.80500000000000005</v>
      </c>
      <c r="Q141" s="1" t="s">
        <v>76</v>
      </c>
      <c r="R141" s="81" t="s">
        <v>87</v>
      </c>
      <c r="S141" s="1">
        <v>3</v>
      </c>
      <c r="T141" s="1" t="s">
        <v>78</v>
      </c>
      <c r="U141" s="1" t="s">
        <v>658</v>
      </c>
      <c r="V141" s="1" t="s">
        <v>655</v>
      </c>
      <c r="W141" s="1">
        <v>34</v>
      </c>
      <c r="X141" s="1" t="s">
        <v>76</v>
      </c>
      <c r="Y141" s="1" t="s">
        <v>649</v>
      </c>
      <c r="Z141" s="1">
        <v>0</v>
      </c>
      <c r="AA141" s="1">
        <v>2E-3</v>
      </c>
      <c r="AB141" s="1">
        <v>1E-3</v>
      </c>
      <c r="AC141" s="1">
        <v>1.2999999999999999E-2</v>
      </c>
      <c r="AD141" s="1">
        <v>1E-3</v>
      </c>
      <c r="AE141" s="1">
        <v>2E-3</v>
      </c>
      <c r="AF141" s="1">
        <v>2E-3</v>
      </c>
      <c r="AG141" s="1">
        <v>0</v>
      </c>
      <c r="AH141" s="1">
        <v>4.0000000000000001E-3</v>
      </c>
      <c r="AI141" s="1">
        <v>0</v>
      </c>
      <c r="AJ141" s="1">
        <v>1E-3</v>
      </c>
      <c r="AK141" s="1">
        <v>0.01</v>
      </c>
      <c r="AL141" s="1">
        <v>0</v>
      </c>
      <c r="AM141" s="1">
        <v>1E-3</v>
      </c>
      <c r="AN141" s="1">
        <v>1E-3</v>
      </c>
      <c r="AO141" s="1">
        <v>8.9999999999999993E-3</v>
      </c>
      <c r="AP141" s="1">
        <v>1E-3</v>
      </c>
      <c r="AQ141" s="1">
        <v>1E-3</v>
      </c>
      <c r="AR141" s="1">
        <v>1E-3</v>
      </c>
      <c r="AS141" s="1">
        <v>6.0000000000000001E-3</v>
      </c>
      <c r="AT141" s="1">
        <v>5.0000000000000001E-3</v>
      </c>
      <c r="AU141" s="1">
        <v>1E-3</v>
      </c>
      <c r="AV141" s="1">
        <v>1E-3</v>
      </c>
      <c r="AW141" s="1">
        <v>4.0000000000000001E-3</v>
      </c>
      <c r="AX141" s="1">
        <v>1E-3</v>
      </c>
      <c r="AY141" s="1">
        <v>2E-3</v>
      </c>
      <c r="AZ141" s="1">
        <v>2E-3</v>
      </c>
      <c r="BA141" s="1">
        <v>6.0000000000000001E-3</v>
      </c>
      <c r="BB141" s="1">
        <v>1.2999999999999999E-2</v>
      </c>
      <c r="BC141" s="1">
        <v>1E-3</v>
      </c>
      <c r="BD141" s="1">
        <v>6.0000000000000001E-3</v>
      </c>
      <c r="BE141" s="1">
        <v>1E-3</v>
      </c>
      <c r="BF141" s="1">
        <v>0</v>
      </c>
      <c r="BG141" s="1">
        <v>2E-3</v>
      </c>
      <c r="BH141" s="1">
        <v>1E-3</v>
      </c>
      <c r="BI141" s="1">
        <v>1E-3</v>
      </c>
      <c r="BJ141" s="1">
        <v>0</v>
      </c>
      <c r="BK141" s="1">
        <v>1E-3</v>
      </c>
      <c r="BL141" s="1">
        <v>3.0000000000000001E-3</v>
      </c>
      <c r="BM141" s="1">
        <v>1E-3</v>
      </c>
      <c r="BN141" s="1">
        <v>3.0000000000000001E-3</v>
      </c>
      <c r="BO141" s="1">
        <v>1E-3</v>
      </c>
      <c r="BP141" s="1">
        <v>0</v>
      </c>
      <c r="BQ141" s="1">
        <v>7.0000000000000001E-3</v>
      </c>
      <c r="BR141" s="1">
        <v>1E-3</v>
      </c>
      <c r="BS141" s="1">
        <v>1E-3</v>
      </c>
      <c r="BT141" s="1">
        <v>1E-3</v>
      </c>
      <c r="BU141" s="1">
        <v>1E-3</v>
      </c>
      <c r="BV141" s="1">
        <v>1.4E-2</v>
      </c>
      <c r="BW141" s="1">
        <v>3.0000000000000001E-3</v>
      </c>
      <c r="BX141" s="1">
        <v>0.80500000000000005</v>
      </c>
      <c r="BY141" s="1">
        <v>5.0000000000000001E-3</v>
      </c>
      <c r="BZ141" s="1">
        <v>3.0000000000000001E-3</v>
      </c>
      <c r="CA141" s="1">
        <v>3.0000000000000001E-3</v>
      </c>
      <c r="CB141" s="1">
        <v>1E-3</v>
      </c>
      <c r="CC141" s="1">
        <v>2E-3</v>
      </c>
      <c r="CD141" s="1">
        <v>0</v>
      </c>
      <c r="CE141" s="1">
        <v>1E-3</v>
      </c>
      <c r="CF141" s="1">
        <v>1E-3</v>
      </c>
      <c r="CG141" s="1">
        <v>4.0000000000000001E-3</v>
      </c>
      <c r="CH141" s="1">
        <v>4.0000000000000001E-3</v>
      </c>
      <c r="CI141" s="1">
        <v>3.0000000000000001E-3</v>
      </c>
      <c r="CJ141" s="1">
        <v>8.9999999999999993E-3</v>
      </c>
      <c r="CK141" s="1">
        <v>1.4999999999999999E-2</v>
      </c>
      <c r="CL141" s="1">
        <v>4.0000000000000001E-3</v>
      </c>
      <c r="CM141" s="1">
        <v>47.008680640000001</v>
      </c>
      <c r="CN141" s="83">
        <v>41.645729449999997</v>
      </c>
    </row>
    <row r="142" spans="1:92" s="3" customFormat="1" x14ac:dyDescent="0.25">
      <c r="A142" s="72">
        <v>372</v>
      </c>
      <c r="B142" s="81" t="s">
        <v>1303</v>
      </c>
      <c r="C142" s="1" t="s">
        <v>83</v>
      </c>
      <c r="D142" s="1" t="s">
        <v>79</v>
      </c>
      <c r="E142" s="1" t="s">
        <v>74</v>
      </c>
      <c r="F142" s="1" t="s">
        <v>84</v>
      </c>
      <c r="G142" s="1" t="s">
        <v>1717</v>
      </c>
      <c r="H142" s="1" t="s">
        <v>85</v>
      </c>
      <c r="I142" s="1"/>
      <c r="J142" s="9" t="s">
        <v>544</v>
      </c>
      <c r="K142" s="10">
        <v>0.33725566666666701</v>
      </c>
      <c r="L142" s="1" t="s">
        <v>617</v>
      </c>
      <c r="M142" s="1" t="s">
        <v>506</v>
      </c>
      <c r="N142" s="96" t="s">
        <v>647</v>
      </c>
      <c r="O142" s="1" t="s">
        <v>47</v>
      </c>
      <c r="P142" s="82">
        <v>0.93799999999999994</v>
      </c>
      <c r="Q142" s="1" t="s">
        <v>76</v>
      </c>
      <c r="R142" s="81" t="s">
        <v>129</v>
      </c>
      <c r="S142" s="1">
        <v>2</v>
      </c>
      <c r="T142" s="1" t="s">
        <v>120</v>
      </c>
      <c r="U142" s="1" t="s">
        <v>659</v>
      </c>
      <c r="V142" s="1" t="s">
        <v>655</v>
      </c>
      <c r="W142" s="1">
        <v>31</v>
      </c>
      <c r="X142" s="1" t="s">
        <v>288</v>
      </c>
      <c r="Y142" s="1" t="s">
        <v>647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1E-3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5.0000000000000001E-3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0.93799999999999994</v>
      </c>
      <c r="BQ142" s="1">
        <v>0</v>
      </c>
      <c r="BR142" s="1">
        <v>0</v>
      </c>
      <c r="BS142" s="1">
        <v>1E-3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5.3999999999999999E-2</v>
      </c>
      <c r="CL142" s="1">
        <v>1E-3</v>
      </c>
      <c r="CM142" s="1">
        <v>-51.330117919999999</v>
      </c>
      <c r="CN142" s="83">
        <v>-14.65268968</v>
      </c>
    </row>
    <row r="143" spans="1:92" s="3" customFormat="1" x14ac:dyDescent="0.25">
      <c r="A143" s="72">
        <v>140</v>
      </c>
      <c r="B143" s="81" t="s">
        <v>1484</v>
      </c>
      <c r="C143" s="1" t="s">
        <v>162</v>
      </c>
      <c r="D143" s="1" t="s">
        <v>73</v>
      </c>
      <c r="E143" s="1" t="s">
        <v>74</v>
      </c>
      <c r="F143" s="1" t="s">
        <v>128</v>
      </c>
      <c r="G143" s="1" t="s">
        <v>188</v>
      </c>
      <c r="H143" s="1" t="s">
        <v>570</v>
      </c>
      <c r="I143" s="1"/>
      <c r="J143" s="9" t="s">
        <v>544</v>
      </c>
      <c r="K143" s="10">
        <v>0.59889316666666603</v>
      </c>
      <c r="L143" s="1" t="s">
        <v>76</v>
      </c>
      <c r="M143" s="1" t="s">
        <v>506</v>
      </c>
      <c r="N143" s="1" t="s">
        <v>645</v>
      </c>
      <c r="O143" s="1" t="s">
        <v>55</v>
      </c>
      <c r="P143" s="82">
        <v>0.99</v>
      </c>
      <c r="Q143" s="1" t="s">
        <v>76</v>
      </c>
      <c r="R143" s="81" t="s">
        <v>189</v>
      </c>
      <c r="S143" s="1">
        <v>3</v>
      </c>
      <c r="T143" s="1" t="s">
        <v>78</v>
      </c>
      <c r="U143" s="1" t="s">
        <v>658</v>
      </c>
      <c r="V143" s="1" t="s">
        <v>655</v>
      </c>
      <c r="W143" s="1">
        <v>68</v>
      </c>
      <c r="X143" s="1" t="s">
        <v>76</v>
      </c>
      <c r="Y143" s="1" t="s">
        <v>645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8.0000000000000002E-3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0.99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33.664239289999998</v>
      </c>
      <c r="CN143" s="83">
        <v>43.866287440000001</v>
      </c>
    </row>
    <row r="144" spans="1:92" s="3" customFormat="1" x14ac:dyDescent="0.25">
      <c r="A144" s="72">
        <v>141</v>
      </c>
      <c r="B144" s="81" t="s">
        <v>1224</v>
      </c>
      <c r="C144" s="1" t="s">
        <v>162</v>
      </c>
      <c r="D144" s="1" t="s">
        <v>73</v>
      </c>
      <c r="E144" s="1" t="s">
        <v>74</v>
      </c>
      <c r="F144" s="1" t="s">
        <v>128</v>
      </c>
      <c r="G144" s="1" t="s">
        <v>180</v>
      </c>
      <c r="H144" s="1" t="s">
        <v>570</v>
      </c>
      <c r="I144" s="1"/>
      <c r="J144" s="9" t="s">
        <v>544</v>
      </c>
      <c r="K144" s="10">
        <v>0.43388616666666702</v>
      </c>
      <c r="L144" s="1" t="s">
        <v>641</v>
      </c>
      <c r="M144" s="1" t="s">
        <v>76</v>
      </c>
      <c r="N144" s="1" t="s">
        <v>649</v>
      </c>
      <c r="O144" s="1" t="s">
        <v>55</v>
      </c>
      <c r="P144" s="82">
        <v>0.751</v>
      </c>
      <c r="Q144" s="1" t="s">
        <v>76</v>
      </c>
      <c r="R144" s="81" t="s">
        <v>81</v>
      </c>
      <c r="S144" s="1">
        <v>3</v>
      </c>
      <c r="T144" s="1" t="s">
        <v>78</v>
      </c>
      <c r="U144" s="1" t="s">
        <v>658</v>
      </c>
      <c r="V144" s="1" t="s">
        <v>655</v>
      </c>
      <c r="W144" s="1">
        <v>70</v>
      </c>
      <c r="X144" s="1" t="s">
        <v>190</v>
      </c>
      <c r="Y144" s="1" t="s">
        <v>649</v>
      </c>
      <c r="Z144" s="1">
        <v>1E-3</v>
      </c>
      <c r="AA144" s="1">
        <v>2E-3</v>
      </c>
      <c r="AB144" s="1">
        <v>1E-3</v>
      </c>
      <c r="AC144" s="1">
        <v>7.0000000000000001E-3</v>
      </c>
      <c r="AD144" s="1">
        <v>2E-3</v>
      </c>
      <c r="AE144" s="1">
        <v>1E-3</v>
      </c>
      <c r="AF144" s="1">
        <v>1E-3</v>
      </c>
      <c r="AG144" s="1">
        <v>0</v>
      </c>
      <c r="AH144" s="1">
        <v>4.0000000000000001E-3</v>
      </c>
      <c r="AI144" s="1">
        <v>1E-3</v>
      </c>
      <c r="AJ144" s="1">
        <v>1E-3</v>
      </c>
      <c r="AK144" s="1">
        <v>1E-3</v>
      </c>
      <c r="AL144" s="1">
        <v>0</v>
      </c>
      <c r="AM144" s="1">
        <v>0</v>
      </c>
      <c r="AN144" s="1">
        <v>1E-3</v>
      </c>
      <c r="AO144" s="1">
        <v>1E-3</v>
      </c>
      <c r="AP144" s="1">
        <v>1E-3</v>
      </c>
      <c r="AQ144" s="1">
        <v>0</v>
      </c>
      <c r="AR144" s="1">
        <v>2E-3</v>
      </c>
      <c r="AS144" s="1">
        <v>2E-3</v>
      </c>
      <c r="AT144" s="1">
        <v>1E-3</v>
      </c>
      <c r="AU144" s="1">
        <v>3.0000000000000001E-3</v>
      </c>
      <c r="AV144" s="1">
        <v>1E-3</v>
      </c>
      <c r="AW144" s="1">
        <v>1E-3</v>
      </c>
      <c r="AX144" s="1">
        <v>3.0000000000000001E-3</v>
      </c>
      <c r="AY144" s="1">
        <v>1E-3</v>
      </c>
      <c r="AZ144" s="1">
        <v>2E-3</v>
      </c>
      <c r="BA144" s="1">
        <v>3.0000000000000001E-3</v>
      </c>
      <c r="BB144" s="1">
        <v>1E-3</v>
      </c>
      <c r="BC144" s="1">
        <v>0</v>
      </c>
      <c r="BD144" s="1">
        <v>4.0000000000000001E-3</v>
      </c>
      <c r="BE144" s="1">
        <v>1E-3</v>
      </c>
      <c r="BF144" s="1">
        <v>1E-3</v>
      </c>
      <c r="BG144" s="1">
        <v>1E-3</v>
      </c>
      <c r="BH144" s="1">
        <v>1E-3</v>
      </c>
      <c r="BI144" s="1">
        <v>0</v>
      </c>
      <c r="BJ144" s="1">
        <v>0</v>
      </c>
      <c r="BK144" s="1">
        <v>0</v>
      </c>
      <c r="BL144" s="1">
        <v>1E-3</v>
      </c>
      <c r="BM144" s="1">
        <v>1E-3</v>
      </c>
      <c r="BN144" s="1">
        <v>2E-3</v>
      </c>
      <c r="BO144" s="1">
        <v>1E-3</v>
      </c>
      <c r="BP144" s="1">
        <v>1E-3</v>
      </c>
      <c r="BQ144" s="1">
        <v>2E-3</v>
      </c>
      <c r="BR144" s="1">
        <v>1E-3</v>
      </c>
      <c r="BS144" s="1">
        <v>2E-3</v>
      </c>
      <c r="BT144" s="1">
        <v>0</v>
      </c>
      <c r="BU144" s="1">
        <v>1E-3</v>
      </c>
      <c r="BV144" s="1">
        <v>1E-3</v>
      </c>
      <c r="BW144" s="1">
        <v>1E-3</v>
      </c>
      <c r="BX144" s="1">
        <v>0.751</v>
      </c>
      <c r="BY144" s="1">
        <v>3.0000000000000001E-3</v>
      </c>
      <c r="BZ144" s="1">
        <v>3.0000000000000001E-3</v>
      </c>
      <c r="CA144" s="1">
        <v>3.0000000000000001E-3</v>
      </c>
      <c r="CB144" s="1">
        <v>1E-3</v>
      </c>
      <c r="CC144" s="1">
        <v>2E-3</v>
      </c>
      <c r="CD144" s="1">
        <v>0</v>
      </c>
      <c r="CE144" s="1">
        <v>1E-3</v>
      </c>
      <c r="CF144" s="1">
        <v>1E-3</v>
      </c>
      <c r="CG144" s="1">
        <v>2E-3</v>
      </c>
      <c r="CH144" s="1">
        <v>2E-3</v>
      </c>
      <c r="CI144" s="1">
        <v>1E-3</v>
      </c>
      <c r="CJ144" s="1">
        <v>2E-3</v>
      </c>
      <c r="CK144" s="1">
        <v>0.161</v>
      </c>
      <c r="CL144" s="1">
        <v>2E-3</v>
      </c>
      <c r="CM144" s="1">
        <v>81.866207450000005</v>
      </c>
      <c r="CN144" s="83">
        <v>-25.557522710000001</v>
      </c>
    </row>
    <row r="145" spans="1:92" s="3" customFormat="1" x14ac:dyDescent="0.25">
      <c r="A145" s="72">
        <v>142</v>
      </c>
      <c r="B145" s="81" t="s">
        <v>1048</v>
      </c>
      <c r="C145" s="1" t="s">
        <v>162</v>
      </c>
      <c r="D145" s="1" t="s">
        <v>73</v>
      </c>
      <c r="E145" s="1" t="s">
        <v>74</v>
      </c>
      <c r="F145" s="1" t="s">
        <v>128</v>
      </c>
      <c r="G145" s="1" t="s">
        <v>182</v>
      </c>
      <c r="H145" s="1" t="s">
        <v>570</v>
      </c>
      <c r="I145" s="1"/>
      <c r="J145" s="9" t="s">
        <v>544</v>
      </c>
      <c r="K145" s="10">
        <v>0.62649199999999905</v>
      </c>
      <c r="L145" s="1" t="s">
        <v>76</v>
      </c>
      <c r="M145" s="1" t="s">
        <v>506</v>
      </c>
      <c r="N145" s="1" t="s">
        <v>645</v>
      </c>
      <c r="O145" s="1" t="s">
        <v>55</v>
      </c>
      <c r="P145" s="82">
        <v>0.98799999999999999</v>
      </c>
      <c r="Q145" s="1" t="s">
        <v>76</v>
      </c>
      <c r="R145" s="81" t="s">
        <v>142</v>
      </c>
      <c r="S145" s="1">
        <v>3</v>
      </c>
      <c r="T145" s="1" t="s">
        <v>78</v>
      </c>
      <c r="U145" s="1" t="s">
        <v>658</v>
      </c>
      <c r="V145" s="1" t="s">
        <v>655</v>
      </c>
      <c r="W145" s="1">
        <v>63</v>
      </c>
      <c r="X145" s="1" t="s">
        <v>76</v>
      </c>
      <c r="Y145" s="1" t="s">
        <v>645</v>
      </c>
      <c r="Z145" s="1">
        <v>0</v>
      </c>
      <c r="AA145" s="1">
        <v>0</v>
      </c>
      <c r="AB145" s="1">
        <v>0</v>
      </c>
      <c r="AC145" s="1">
        <v>1E-3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1E-3</v>
      </c>
      <c r="BB145" s="1">
        <v>1E-3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1E-3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0.98799999999999999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1E-3</v>
      </c>
      <c r="CL145" s="1">
        <v>0</v>
      </c>
      <c r="CM145" s="1">
        <v>38.736268080000002</v>
      </c>
      <c r="CN145" s="83">
        <v>42.539511869999998</v>
      </c>
    </row>
    <row r="146" spans="1:92" s="3" customFormat="1" x14ac:dyDescent="0.25">
      <c r="A146" s="72">
        <v>143</v>
      </c>
      <c r="B146" s="81" t="s">
        <v>1372</v>
      </c>
      <c r="C146" s="1" t="s">
        <v>83</v>
      </c>
      <c r="D146" s="1" t="s">
        <v>73</v>
      </c>
      <c r="E146" s="1" t="s">
        <v>99</v>
      </c>
      <c r="F146" s="1" t="s">
        <v>669</v>
      </c>
      <c r="G146" s="1" t="s">
        <v>76</v>
      </c>
      <c r="H146" s="1" t="s">
        <v>68</v>
      </c>
      <c r="I146" s="1"/>
      <c r="J146" s="9" t="s">
        <v>544</v>
      </c>
      <c r="K146" s="10">
        <v>0.410198333333333</v>
      </c>
      <c r="L146" s="1" t="s">
        <v>641</v>
      </c>
      <c r="M146" s="1" t="s">
        <v>76</v>
      </c>
      <c r="N146" s="1" t="s">
        <v>649</v>
      </c>
      <c r="O146" s="1" t="s">
        <v>68</v>
      </c>
      <c r="P146" s="82">
        <v>0.86099999999999999</v>
      </c>
      <c r="Q146" s="1" t="s">
        <v>76</v>
      </c>
      <c r="R146" s="81" t="s">
        <v>169</v>
      </c>
      <c r="S146" s="1">
        <v>3</v>
      </c>
      <c r="T146" s="1" t="s">
        <v>120</v>
      </c>
      <c r="U146" s="1" t="s">
        <v>658</v>
      </c>
      <c r="V146" s="1" t="s">
        <v>655</v>
      </c>
      <c r="W146" s="1">
        <v>86</v>
      </c>
      <c r="X146" s="1" t="s">
        <v>76</v>
      </c>
      <c r="Y146" s="1" t="s">
        <v>645</v>
      </c>
      <c r="Z146" s="1">
        <v>3.0000000000000001E-3</v>
      </c>
      <c r="AA146" s="1">
        <v>2E-3</v>
      </c>
      <c r="AB146" s="1">
        <v>2E-3</v>
      </c>
      <c r="AC146" s="1">
        <v>1.4999999999999999E-2</v>
      </c>
      <c r="AD146" s="1">
        <v>4.0000000000000001E-3</v>
      </c>
      <c r="AE146" s="1">
        <v>2E-3</v>
      </c>
      <c r="AF146" s="1">
        <v>2E-3</v>
      </c>
      <c r="AG146" s="1">
        <v>0</v>
      </c>
      <c r="AH146" s="1">
        <v>3.0000000000000001E-3</v>
      </c>
      <c r="AI146" s="1">
        <v>1E-3</v>
      </c>
      <c r="AJ146" s="1">
        <v>1E-3</v>
      </c>
      <c r="AK146" s="1">
        <v>2E-3</v>
      </c>
      <c r="AL146" s="1">
        <v>0</v>
      </c>
      <c r="AM146" s="1">
        <v>1E-3</v>
      </c>
      <c r="AN146" s="1">
        <v>1E-3</v>
      </c>
      <c r="AO146" s="1">
        <v>1E-3</v>
      </c>
      <c r="AP146" s="1">
        <v>1E-3</v>
      </c>
      <c r="AQ146" s="1">
        <v>1E-3</v>
      </c>
      <c r="AR146" s="1">
        <v>3.0000000000000001E-3</v>
      </c>
      <c r="AS146" s="1">
        <v>3.0000000000000001E-3</v>
      </c>
      <c r="AT146" s="1">
        <v>2E-3</v>
      </c>
      <c r="AU146" s="1">
        <v>2E-3</v>
      </c>
      <c r="AV146" s="1">
        <v>1E-3</v>
      </c>
      <c r="AW146" s="1">
        <v>1E-3</v>
      </c>
      <c r="AX146" s="1">
        <v>3.0000000000000001E-3</v>
      </c>
      <c r="AY146" s="1">
        <v>2E-3</v>
      </c>
      <c r="AZ146" s="1">
        <v>2E-3</v>
      </c>
      <c r="BA146" s="1">
        <v>5.0000000000000001E-3</v>
      </c>
      <c r="BB146" s="1">
        <v>1E-3</v>
      </c>
      <c r="BC146" s="1">
        <v>1E-3</v>
      </c>
      <c r="BD146" s="1">
        <v>6.0000000000000001E-3</v>
      </c>
      <c r="BE146" s="1">
        <v>2E-3</v>
      </c>
      <c r="BF146" s="1">
        <v>2E-3</v>
      </c>
      <c r="BG146" s="1">
        <v>1E-3</v>
      </c>
      <c r="BH146" s="1">
        <v>2E-3</v>
      </c>
      <c r="BI146" s="1">
        <v>1E-3</v>
      </c>
      <c r="BJ146" s="1">
        <v>0</v>
      </c>
      <c r="BK146" s="1">
        <v>1E-3</v>
      </c>
      <c r="BL146" s="1">
        <v>2E-3</v>
      </c>
      <c r="BM146" s="1">
        <v>1E-3</v>
      </c>
      <c r="BN146" s="1">
        <v>2E-3</v>
      </c>
      <c r="BO146" s="1">
        <v>1E-3</v>
      </c>
      <c r="BP146" s="1">
        <v>1E-3</v>
      </c>
      <c r="BQ146" s="1">
        <v>2E-3</v>
      </c>
      <c r="BR146" s="1">
        <v>1E-3</v>
      </c>
      <c r="BS146" s="1">
        <v>4.0000000000000001E-3</v>
      </c>
      <c r="BT146" s="1">
        <v>1E-3</v>
      </c>
      <c r="BU146" s="1">
        <v>1E-3</v>
      </c>
      <c r="BV146" s="1">
        <v>1E-3</v>
      </c>
      <c r="BW146" s="1">
        <v>1E-3</v>
      </c>
      <c r="BX146" s="1">
        <v>1.2E-2</v>
      </c>
      <c r="BY146" s="1">
        <v>3.0000000000000001E-3</v>
      </c>
      <c r="BZ146" s="1">
        <v>3.0000000000000001E-3</v>
      </c>
      <c r="CA146" s="1">
        <v>2E-3</v>
      </c>
      <c r="CB146" s="1">
        <v>1E-3</v>
      </c>
      <c r="CC146" s="1">
        <v>2E-3</v>
      </c>
      <c r="CD146" s="1">
        <v>0</v>
      </c>
      <c r="CE146" s="1">
        <v>1E-3</v>
      </c>
      <c r="CF146" s="1">
        <v>1E-3</v>
      </c>
      <c r="CG146" s="1">
        <v>3.0000000000000001E-3</v>
      </c>
      <c r="CH146" s="1">
        <v>2E-3</v>
      </c>
      <c r="CI146" s="1">
        <v>1E-3</v>
      </c>
      <c r="CJ146" s="1">
        <v>3.0000000000000001E-3</v>
      </c>
      <c r="CK146" s="1">
        <v>0.86099999999999999</v>
      </c>
      <c r="CL146" s="1">
        <v>5.0000000000000001E-3</v>
      </c>
      <c r="CM146" s="1">
        <v>49.26601668</v>
      </c>
      <c r="CN146" s="83">
        <v>-59.990063169999999</v>
      </c>
    </row>
    <row r="147" spans="1:92" s="3" customFormat="1" x14ac:dyDescent="0.25">
      <c r="A147" s="72">
        <v>144</v>
      </c>
      <c r="B147" s="81" t="s">
        <v>1027</v>
      </c>
      <c r="C147" s="1" t="s">
        <v>83</v>
      </c>
      <c r="D147" s="1" t="s">
        <v>73</v>
      </c>
      <c r="E147" s="1" t="s">
        <v>74</v>
      </c>
      <c r="F147" s="1" t="s">
        <v>665</v>
      </c>
      <c r="G147" s="1" t="s">
        <v>98</v>
      </c>
      <c r="H147" s="1" t="s">
        <v>48</v>
      </c>
      <c r="I147" s="1"/>
      <c r="J147" s="9" t="s">
        <v>544</v>
      </c>
      <c r="K147" s="10">
        <v>0.66583766666666599</v>
      </c>
      <c r="L147" s="1" t="s">
        <v>76</v>
      </c>
      <c r="M147" s="1" t="s">
        <v>506</v>
      </c>
      <c r="N147" s="1" t="s">
        <v>645</v>
      </c>
      <c r="O147" s="1" t="s">
        <v>48</v>
      </c>
      <c r="P147" s="82">
        <v>0.999</v>
      </c>
      <c r="Q147" s="1" t="s">
        <v>76</v>
      </c>
      <c r="R147" s="81" t="s">
        <v>191</v>
      </c>
      <c r="S147" s="1">
        <v>3</v>
      </c>
      <c r="T147" s="1" t="s">
        <v>120</v>
      </c>
      <c r="U147" s="1" t="s">
        <v>659</v>
      </c>
      <c r="V147" s="1" t="s">
        <v>655</v>
      </c>
      <c r="W147" s="1">
        <v>76</v>
      </c>
      <c r="X147" s="1" t="s">
        <v>192</v>
      </c>
      <c r="Y147" s="1" t="s">
        <v>645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0.999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-63.185934639999999</v>
      </c>
      <c r="CN147" s="83">
        <v>45.44088575</v>
      </c>
    </row>
    <row r="148" spans="1:92" s="3" customFormat="1" x14ac:dyDescent="0.25">
      <c r="A148" s="72">
        <v>145</v>
      </c>
      <c r="B148" s="81" t="s">
        <v>1239</v>
      </c>
      <c r="C148" s="1" t="s">
        <v>83</v>
      </c>
      <c r="D148" s="1" t="s">
        <v>73</v>
      </c>
      <c r="E148" s="1" t="s">
        <v>74</v>
      </c>
      <c r="F148" s="1" t="s">
        <v>669</v>
      </c>
      <c r="G148" s="1" t="s">
        <v>76</v>
      </c>
      <c r="H148" s="1" t="s">
        <v>68</v>
      </c>
      <c r="I148" s="1"/>
      <c r="J148" s="9" t="s">
        <v>544</v>
      </c>
      <c r="K148" s="10">
        <v>0.49993099999999902</v>
      </c>
      <c r="L148" s="1" t="s">
        <v>76</v>
      </c>
      <c r="M148" s="1" t="s">
        <v>506</v>
      </c>
      <c r="N148" s="1" t="s">
        <v>645</v>
      </c>
      <c r="O148" s="1" t="s">
        <v>68</v>
      </c>
      <c r="P148" s="82">
        <v>1</v>
      </c>
      <c r="Q148" s="1" t="s">
        <v>76</v>
      </c>
      <c r="R148" s="81" t="s">
        <v>193</v>
      </c>
      <c r="S148" s="1">
        <v>3</v>
      </c>
      <c r="T148" s="1" t="s">
        <v>120</v>
      </c>
      <c r="U148" s="1" t="s">
        <v>658</v>
      </c>
      <c r="V148" s="1" t="s">
        <v>655</v>
      </c>
      <c r="W148" s="1">
        <v>57</v>
      </c>
      <c r="X148" s="1" t="s">
        <v>76</v>
      </c>
      <c r="Y148" s="1" t="s">
        <v>645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1</v>
      </c>
      <c r="CL148" s="1">
        <v>0</v>
      </c>
      <c r="CM148" s="1">
        <v>52.284155339999998</v>
      </c>
      <c r="CN148" s="83">
        <v>-43.654552369999998</v>
      </c>
    </row>
    <row r="149" spans="1:92" s="3" customFormat="1" x14ac:dyDescent="0.25">
      <c r="A149" s="72">
        <v>146</v>
      </c>
      <c r="B149" s="81" t="s">
        <v>1199</v>
      </c>
      <c r="C149" s="1" t="s">
        <v>83</v>
      </c>
      <c r="D149" s="1" t="s">
        <v>73</v>
      </c>
      <c r="E149" s="1" t="s">
        <v>74</v>
      </c>
      <c r="F149" s="1" t="s">
        <v>669</v>
      </c>
      <c r="G149" s="1" t="s">
        <v>76</v>
      </c>
      <c r="H149" s="1" t="s">
        <v>68</v>
      </c>
      <c r="I149" s="1"/>
      <c r="J149" s="9" t="s">
        <v>544</v>
      </c>
      <c r="K149" s="10">
        <v>0.34820400000000001</v>
      </c>
      <c r="L149" s="1" t="s">
        <v>641</v>
      </c>
      <c r="M149" s="1" t="s">
        <v>76</v>
      </c>
      <c r="N149" s="1" t="s">
        <v>644</v>
      </c>
      <c r="O149" s="1" t="s">
        <v>37</v>
      </c>
      <c r="P149" s="82">
        <v>0.71599999999999997</v>
      </c>
      <c r="Q149" s="1" t="s">
        <v>76</v>
      </c>
      <c r="R149" s="81" t="s">
        <v>194</v>
      </c>
      <c r="S149" s="1">
        <v>3</v>
      </c>
      <c r="T149" s="1" t="s">
        <v>120</v>
      </c>
      <c r="U149" s="1" t="s">
        <v>658</v>
      </c>
      <c r="V149" s="1" t="s">
        <v>655</v>
      </c>
      <c r="W149" s="1">
        <v>84</v>
      </c>
      <c r="X149" s="1" t="s">
        <v>76</v>
      </c>
      <c r="Y149" s="1" t="s">
        <v>644</v>
      </c>
      <c r="Z149" s="1">
        <v>2E-3</v>
      </c>
      <c r="AA149" s="1">
        <v>1E-3</v>
      </c>
      <c r="AB149" s="1">
        <v>1E-3</v>
      </c>
      <c r="AC149" s="1">
        <v>2.8000000000000001E-2</v>
      </c>
      <c r="AD149" s="1">
        <v>2E-3</v>
      </c>
      <c r="AE149" s="1">
        <v>2E-3</v>
      </c>
      <c r="AF149" s="1">
        <v>1E-3</v>
      </c>
      <c r="AG149" s="1">
        <v>0</v>
      </c>
      <c r="AH149" s="1">
        <v>6.0000000000000001E-3</v>
      </c>
      <c r="AI149" s="1">
        <v>8.0000000000000002E-3</v>
      </c>
      <c r="AJ149" s="1">
        <v>1E-3</v>
      </c>
      <c r="AK149" s="1">
        <v>2E-3</v>
      </c>
      <c r="AL149" s="1">
        <v>0</v>
      </c>
      <c r="AM149" s="1">
        <v>1E-3</v>
      </c>
      <c r="AN149" s="1">
        <v>3.5000000000000003E-2</v>
      </c>
      <c r="AO149" s="1">
        <v>1E-3</v>
      </c>
      <c r="AP149" s="1">
        <v>4.0000000000000001E-3</v>
      </c>
      <c r="AQ149" s="1">
        <v>1E-3</v>
      </c>
      <c r="AR149" s="1">
        <v>1E-3</v>
      </c>
      <c r="AS149" s="1">
        <v>2E-3</v>
      </c>
      <c r="AT149" s="1">
        <v>2E-3</v>
      </c>
      <c r="AU149" s="1">
        <v>1E-3</v>
      </c>
      <c r="AV149" s="1">
        <v>1E-3</v>
      </c>
      <c r="AW149" s="1">
        <v>2E-3</v>
      </c>
      <c r="AX149" s="1">
        <v>1E-3</v>
      </c>
      <c r="AY149" s="1">
        <v>2E-3</v>
      </c>
      <c r="AZ149" s="1">
        <v>2E-3</v>
      </c>
      <c r="BA149" s="1">
        <v>4.0000000000000001E-3</v>
      </c>
      <c r="BB149" s="1">
        <v>1E-3</v>
      </c>
      <c r="BC149" s="1">
        <v>1E-3</v>
      </c>
      <c r="BD149" s="1">
        <v>8.0000000000000002E-3</v>
      </c>
      <c r="BE149" s="1">
        <v>1E-3</v>
      </c>
      <c r="BF149" s="1">
        <v>0.71599999999999997</v>
      </c>
      <c r="BG149" s="1">
        <v>0</v>
      </c>
      <c r="BH149" s="1">
        <v>8.5999999999999993E-2</v>
      </c>
      <c r="BI149" s="1">
        <v>1E-3</v>
      </c>
      <c r="BJ149" s="1">
        <v>0</v>
      </c>
      <c r="BK149" s="1">
        <v>1E-3</v>
      </c>
      <c r="BL149" s="1">
        <v>2E-3</v>
      </c>
      <c r="BM149" s="1">
        <v>1E-3</v>
      </c>
      <c r="BN149" s="1">
        <v>1E-3</v>
      </c>
      <c r="BO149" s="1">
        <v>1E-3</v>
      </c>
      <c r="BP149" s="1">
        <v>0</v>
      </c>
      <c r="BQ149" s="1">
        <v>2E-3</v>
      </c>
      <c r="BR149" s="1">
        <v>2E-3</v>
      </c>
      <c r="BS149" s="1">
        <v>1E-3</v>
      </c>
      <c r="BT149" s="1">
        <v>1E-3</v>
      </c>
      <c r="BU149" s="1">
        <v>1E-3</v>
      </c>
      <c r="BV149" s="1">
        <v>1E-3</v>
      </c>
      <c r="BW149" s="1">
        <v>1E-3</v>
      </c>
      <c r="BX149" s="1">
        <v>1.2999999999999999E-2</v>
      </c>
      <c r="BY149" s="1">
        <v>3.0000000000000001E-3</v>
      </c>
      <c r="BZ149" s="1">
        <v>2E-3</v>
      </c>
      <c r="CA149" s="1">
        <v>2E-3</v>
      </c>
      <c r="CB149" s="1">
        <v>0</v>
      </c>
      <c r="CC149" s="1">
        <v>1E-3</v>
      </c>
      <c r="CD149" s="1">
        <v>0</v>
      </c>
      <c r="CE149" s="1">
        <v>1E-3</v>
      </c>
      <c r="CF149" s="1">
        <v>2E-3</v>
      </c>
      <c r="CG149" s="1">
        <v>2E-3</v>
      </c>
      <c r="CH149" s="1">
        <v>2E-3</v>
      </c>
      <c r="CI149" s="1">
        <v>2E-3</v>
      </c>
      <c r="CJ149" s="1">
        <v>3.0000000000000001E-3</v>
      </c>
      <c r="CK149" s="1">
        <v>2.1000000000000001E-2</v>
      </c>
      <c r="CL149" s="1">
        <v>4.0000000000000001E-3</v>
      </c>
      <c r="CM149" s="1">
        <v>-1.024536465</v>
      </c>
      <c r="CN149" s="83">
        <v>-48.8114396</v>
      </c>
    </row>
    <row r="150" spans="1:92" s="3" customFormat="1" x14ac:dyDescent="0.25">
      <c r="A150" s="72">
        <v>147</v>
      </c>
      <c r="B150" s="81" t="s">
        <v>1253</v>
      </c>
      <c r="C150" s="1" t="s">
        <v>83</v>
      </c>
      <c r="D150" s="1" t="s">
        <v>73</v>
      </c>
      <c r="E150" s="1" t="s">
        <v>99</v>
      </c>
      <c r="F150" s="1" t="s">
        <v>669</v>
      </c>
      <c r="G150" s="1" t="s">
        <v>76</v>
      </c>
      <c r="H150" s="1" t="s">
        <v>68</v>
      </c>
      <c r="I150" s="1"/>
      <c r="J150" s="9" t="s">
        <v>544</v>
      </c>
      <c r="K150" s="10">
        <v>0.29554283333333298</v>
      </c>
      <c r="L150" s="1" t="s">
        <v>641</v>
      </c>
      <c r="M150" s="1" t="s">
        <v>76</v>
      </c>
      <c r="N150" s="1" t="s">
        <v>644</v>
      </c>
      <c r="O150" s="1" t="s">
        <v>37</v>
      </c>
      <c r="P150" s="82">
        <v>0.57299999999999995</v>
      </c>
      <c r="Q150" s="1" t="s">
        <v>76</v>
      </c>
      <c r="R150" s="81" t="s">
        <v>193</v>
      </c>
      <c r="S150" s="1">
        <v>3</v>
      </c>
      <c r="T150" s="1" t="s">
        <v>120</v>
      </c>
      <c r="U150" s="1" t="s">
        <v>658</v>
      </c>
      <c r="V150" s="1" t="s">
        <v>655</v>
      </c>
      <c r="W150" s="1">
        <v>55</v>
      </c>
      <c r="X150" s="1" t="s">
        <v>76</v>
      </c>
      <c r="Y150" s="1" t="s">
        <v>644</v>
      </c>
      <c r="Z150" s="1">
        <v>8.9999999999999993E-3</v>
      </c>
      <c r="AA150" s="1">
        <v>1E-3</v>
      </c>
      <c r="AB150" s="1">
        <v>0</v>
      </c>
      <c r="AC150" s="1">
        <v>4.0000000000000001E-3</v>
      </c>
      <c r="AD150" s="1">
        <v>1E-3</v>
      </c>
      <c r="AE150" s="1">
        <v>1E-3</v>
      </c>
      <c r="AF150" s="1">
        <v>1E-3</v>
      </c>
      <c r="AG150" s="1">
        <v>0</v>
      </c>
      <c r="AH150" s="1">
        <v>2E-3</v>
      </c>
      <c r="AI150" s="1">
        <v>2E-3</v>
      </c>
      <c r="AJ150" s="1">
        <v>0</v>
      </c>
      <c r="AK150" s="1">
        <v>0</v>
      </c>
      <c r="AL150" s="1">
        <v>0</v>
      </c>
      <c r="AM150" s="1">
        <v>0</v>
      </c>
      <c r="AN150" s="1">
        <v>1.4E-2</v>
      </c>
      <c r="AO150" s="1">
        <v>0</v>
      </c>
      <c r="AP150" s="1">
        <v>0</v>
      </c>
      <c r="AQ150" s="1">
        <v>0</v>
      </c>
      <c r="AR150" s="1">
        <v>1E-3</v>
      </c>
      <c r="AS150" s="1">
        <v>1E-3</v>
      </c>
      <c r="AT150" s="1">
        <v>0</v>
      </c>
      <c r="AU150" s="1">
        <v>1E-3</v>
      </c>
      <c r="AV150" s="1">
        <v>1E-3</v>
      </c>
      <c r="AW150" s="1">
        <v>1E-3</v>
      </c>
      <c r="AX150" s="1">
        <v>1E-3</v>
      </c>
      <c r="AY150" s="1">
        <v>1E-3</v>
      </c>
      <c r="AZ150" s="1">
        <v>1E-3</v>
      </c>
      <c r="BA150" s="1">
        <v>2E-3</v>
      </c>
      <c r="BB150" s="1">
        <v>0</v>
      </c>
      <c r="BC150" s="1">
        <v>0</v>
      </c>
      <c r="BD150" s="1">
        <v>3.0000000000000001E-3</v>
      </c>
      <c r="BE150" s="1">
        <v>0</v>
      </c>
      <c r="BF150" s="1">
        <v>0.57299999999999995</v>
      </c>
      <c r="BG150" s="1">
        <v>0</v>
      </c>
      <c r="BH150" s="1">
        <v>2E-3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2E-3</v>
      </c>
      <c r="BT150" s="1">
        <v>0</v>
      </c>
      <c r="BU150" s="1">
        <v>8.0000000000000002E-3</v>
      </c>
      <c r="BV150" s="1">
        <v>0</v>
      </c>
      <c r="BW150" s="1">
        <v>0</v>
      </c>
      <c r="BX150" s="1">
        <v>5.0000000000000001E-3</v>
      </c>
      <c r="BY150" s="1">
        <v>1E-3</v>
      </c>
      <c r="BZ150" s="1">
        <v>1E-3</v>
      </c>
      <c r="CA150" s="1">
        <v>1E-3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1E-3</v>
      </c>
      <c r="CH150" s="1">
        <v>1E-3</v>
      </c>
      <c r="CI150" s="1">
        <v>1E-3</v>
      </c>
      <c r="CJ150" s="1">
        <v>1E-3</v>
      </c>
      <c r="CK150" s="1">
        <v>0.33900000000000002</v>
      </c>
      <c r="CL150" s="1">
        <v>0.01</v>
      </c>
      <c r="CM150" s="1">
        <v>-9.6337809239999999</v>
      </c>
      <c r="CN150" s="83">
        <v>-54.297457919999999</v>
      </c>
    </row>
    <row r="151" spans="1:92" s="3" customFormat="1" x14ac:dyDescent="0.25">
      <c r="A151" s="72">
        <v>148</v>
      </c>
      <c r="B151" s="81" t="s">
        <v>1249</v>
      </c>
      <c r="C151" s="1" t="s">
        <v>83</v>
      </c>
      <c r="D151" s="1" t="s">
        <v>73</v>
      </c>
      <c r="E151" s="1" t="s">
        <v>99</v>
      </c>
      <c r="F151" s="1" t="s">
        <v>128</v>
      </c>
      <c r="G151" s="1" t="s">
        <v>168</v>
      </c>
      <c r="H151" s="1" t="s">
        <v>534</v>
      </c>
      <c r="I151" s="1"/>
      <c r="J151" s="9" t="s">
        <v>506</v>
      </c>
      <c r="K151" s="10">
        <v>0.49343516666666698</v>
      </c>
      <c r="L151" s="1" t="s">
        <v>602</v>
      </c>
      <c r="M151" s="1" t="s">
        <v>506</v>
      </c>
      <c r="N151" s="1" t="s">
        <v>648</v>
      </c>
      <c r="O151" s="1" t="s">
        <v>68</v>
      </c>
      <c r="P151" s="82">
        <v>0.96099999999999997</v>
      </c>
      <c r="Q151" s="1" t="s">
        <v>76</v>
      </c>
      <c r="R151" s="81" t="s">
        <v>193</v>
      </c>
      <c r="S151" s="1">
        <v>3</v>
      </c>
      <c r="T151" s="1" t="s">
        <v>120</v>
      </c>
      <c r="U151" s="1" t="s">
        <v>658</v>
      </c>
      <c r="V151" s="1" t="s">
        <v>655</v>
      </c>
      <c r="W151" s="1">
        <v>81</v>
      </c>
      <c r="X151" s="1" t="s">
        <v>76</v>
      </c>
      <c r="Y151" s="1" t="s">
        <v>648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1E-3</v>
      </c>
      <c r="BT151" s="1">
        <v>0</v>
      </c>
      <c r="BU151" s="1">
        <v>0</v>
      </c>
      <c r="BV151" s="1">
        <v>0</v>
      </c>
      <c r="BW151" s="1">
        <v>0</v>
      </c>
      <c r="BX151" s="1">
        <v>3.2000000000000001E-2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0.96099999999999997</v>
      </c>
      <c r="CL151" s="1">
        <v>0</v>
      </c>
      <c r="CM151" s="1">
        <v>56.86691527</v>
      </c>
      <c r="CN151" s="83">
        <v>-54.551096110000003</v>
      </c>
    </row>
    <row r="152" spans="1:92" s="3" customFormat="1" x14ac:dyDescent="0.25">
      <c r="A152" s="72">
        <v>149</v>
      </c>
      <c r="B152" s="81" t="s">
        <v>1162</v>
      </c>
      <c r="C152" s="1" t="s">
        <v>83</v>
      </c>
      <c r="D152" s="1" t="s">
        <v>73</v>
      </c>
      <c r="E152" s="1" t="s">
        <v>74</v>
      </c>
      <c r="F152" s="1" t="s">
        <v>669</v>
      </c>
      <c r="G152" s="1" t="s">
        <v>76</v>
      </c>
      <c r="H152" s="1" t="s">
        <v>68</v>
      </c>
      <c r="I152" s="1"/>
      <c r="J152" s="9" t="s">
        <v>544</v>
      </c>
      <c r="K152" s="10">
        <v>0.52264650000000001</v>
      </c>
      <c r="L152" s="1" t="s">
        <v>76</v>
      </c>
      <c r="M152" s="1" t="s">
        <v>506</v>
      </c>
      <c r="N152" s="1" t="s">
        <v>645</v>
      </c>
      <c r="O152" s="1" t="s">
        <v>68</v>
      </c>
      <c r="P152" s="82">
        <v>1</v>
      </c>
      <c r="Q152" s="1" t="s">
        <v>76</v>
      </c>
      <c r="R152" s="81" t="s">
        <v>171</v>
      </c>
      <c r="S152" s="1">
        <v>3</v>
      </c>
      <c r="T152" s="1" t="s">
        <v>120</v>
      </c>
      <c r="U152" s="1" t="s">
        <v>658</v>
      </c>
      <c r="V152" s="1" t="s">
        <v>655</v>
      </c>
      <c r="W152" s="1">
        <v>58</v>
      </c>
      <c r="X152" s="1" t="s">
        <v>76</v>
      </c>
      <c r="Y152" s="1" t="s">
        <v>645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1</v>
      </c>
      <c r="CL152" s="1">
        <v>0</v>
      </c>
      <c r="CM152" s="1">
        <v>54.4378381</v>
      </c>
      <c r="CN152" s="83">
        <v>-49.34794754</v>
      </c>
    </row>
    <row r="153" spans="1:92" s="3" customFormat="1" x14ac:dyDescent="0.25">
      <c r="A153" s="72">
        <v>150</v>
      </c>
      <c r="B153" s="81" t="s">
        <v>1384</v>
      </c>
      <c r="C153" s="1" t="s">
        <v>83</v>
      </c>
      <c r="D153" s="1" t="s">
        <v>73</v>
      </c>
      <c r="E153" s="1" t="s">
        <v>99</v>
      </c>
      <c r="F153" s="1" t="s">
        <v>669</v>
      </c>
      <c r="G153" s="1" t="s">
        <v>76</v>
      </c>
      <c r="H153" s="1" t="s">
        <v>68</v>
      </c>
      <c r="I153" s="1"/>
      <c r="J153" s="9" t="s">
        <v>544</v>
      </c>
      <c r="K153" s="10">
        <v>0.42694266666666703</v>
      </c>
      <c r="L153" s="1" t="s">
        <v>76</v>
      </c>
      <c r="M153" s="1" t="s">
        <v>506</v>
      </c>
      <c r="N153" s="1" t="s">
        <v>645</v>
      </c>
      <c r="O153" s="1" t="s">
        <v>68</v>
      </c>
      <c r="P153" s="82">
        <v>0.997</v>
      </c>
      <c r="Q153" s="1" t="s">
        <v>76</v>
      </c>
      <c r="R153" s="81" t="s">
        <v>193</v>
      </c>
      <c r="S153" s="1">
        <v>3</v>
      </c>
      <c r="T153" s="1" t="s">
        <v>120</v>
      </c>
      <c r="U153" s="1" t="s">
        <v>658</v>
      </c>
      <c r="V153" s="1" t="s">
        <v>655</v>
      </c>
      <c r="W153" s="1">
        <v>71</v>
      </c>
      <c r="X153" s="1" t="s">
        <v>76</v>
      </c>
      <c r="Y153" s="1" t="s">
        <v>645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1E-3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0.997</v>
      </c>
      <c r="CL153" s="1">
        <v>0</v>
      </c>
      <c r="CM153" s="1">
        <v>35.557131869999999</v>
      </c>
      <c r="CN153" s="83">
        <v>-55.184681220000002</v>
      </c>
    </row>
    <row r="154" spans="1:92" s="3" customFormat="1" x14ac:dyDescent="0.25">
      <c r="A154" s="72">
        <v>151</v>
      </c>
      <c r="B154" s="81" t="s">
        <v>847</v>
      </c>
      <c r="C154" s="1" t="s">
        <v>83</v>
      </c>
      <c r="D154" s="1" t="s">
        <v>79</v>
      </c>
      <c r="E154" s="1" t="s">
        <v>195</v>
      </c>
      <c r="F154" s="1" t="s">
        <v>665</v>
      </c>
      <c r="G154" s="1" t="s">
        <v>98</v>
      </c>
      <c r="H154" s="1" t="s">
        <v>48</v>
      </c>
      <c r="I154" s="1"/>
      <c r="J154" s="9" t="s">
        <v>544</v>
      </c>
      <c r="K154" s="10">
        <v>0.59820649999999898</v>
      </c>
      <c r="L154" s="1" t="s">
        <v>76</v>
      </c>
      <c r="M154" s="1" t="s">
        <v>506</v>
      </c>
      <c r="N154" s="1" t="s">
        <v>645</v>
      </c>
      <c r="O154" s="1" t="s">
        <v>48</v>
      </c>
      <c r="P154" s="82">
        <v>0.99299999999999999</v>
      </c>
      <c r="Q154" s="1" t="s">
        <v>76</v>
      </c>
      <c r="R154" s="81" t="s">
        <v>193</v>
      </c>
      <c r="S154" s="1">
        <v>3</v>
      </c>
      <c r="T154" s="1" t="s">
        <v>120</v>
      </c>
      <c r="U154" s="1" t="s">
        <v>658</v>
      </c>
      <c r="V154" s="1" t="s">
        <v>655</v>
      </c>
      <c r="W154" s="1">
        <v>34</v>
      </c>
      <c r="X154" s="1" t="s">
        <v>76</v>
      </c>
      <c r="Y154" s="1" t="s">
        <v>645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0.99299999999999999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1E-3</v>
      </c>
      <c r="CM154" s="1">
        <v>-63.820370509999997</v>
      </c>
      <c r="CN154" s="83">
        <v>47.406590420000001</v>
      </c>
    </row>
    <row r="155" spans="1:92" s="3" customFormat="1" x14ac:dyDescent="0.25">
      <c r="A155" s="72">
        <v>152</v>
      </c>
      <c r="B155" s="81" t="s">
        <v>1399</v>
      </c>
      <c r="C155" s="1" t="s">
        <v>83</v>
      </c>
      <c r="D155" s="1" t="s">
        <v>79</v>
      </c>
      <c r="E155" s="1" t="s">
        <v>195</v>
      </c>
      <c r="F155" s="1" t="s">
        <v>665</v>
      </c>
      <c r="G155" s="1" t="s">
        <v>98</v>
      </c>
      <c r="H155" s="1" t="s">
        <v>48</v>
      </c>
      <c r="I155" s="1"/>
      <c r="J155" s="9" t="s">
        <v>544</v>
      </c>
      <c r="K155" s="10">
        <v>0.63384399999999796</v>
      </c>
      <c r="L155" s="1" t="s">
        <v>76</v>
      </c>
      <c r="M155" s="1" t="s">
        <v>506</v>
      </c>
      <c r="N155" s="1" t="s">
        <v>645</v>
      </c>
      <c r="O155" s="1" t="s">
        <v>48</v>
      </c>
      <c r="P155" s="82">
        <v>0.98499999999999999</v>
      </c>
      <c r="Q155" s="1" t="s">
        <v>76</v>
      </c>
      <c r="R155" s="81" t="s">
        <v>191</v>
      </c>
      <c r="S155" s="1">
        <v>3</v>
      </c>
      <c r="T155" s="1" t="s">
        <v>120</v>
      </c>
      <c r="U155" s="1" t="s">
        <v>658</v>
      </c>
      <c r="V155" s="1" t="s">
        <v>655</v>
      </c>
      <c r="W155" s="1">
        <v>22</v>
      </c>
      <c r="X155" s="1" t="s">
        <v>76</v>
      </c>
      <c r="Y155" s="1" t="s">
        <v>645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0.98499999999999999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0.01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-61.846833369999999</v>
      </c>
      <c r="CN155" s="83">
        <v>38.30986051</v>
      </c>
    </row>
    <row r="156" spans="1:92" s="3" customFormat="1" x14ac:dyDescent="0.25">
      <c r="A156" s="72">
        <v>153</v>
      </c>
      <c r="B156" s="81" t="s">
        <v>1275</v>
      </c>
      <c r="C156" s="1" t="s">
        <v>83</v>
      </c>
      <c r="D156" s="1" t="s">
        <v>79</v>
      </c>
      <c r="E156" s="1" t="s">
        <v>74</v>
      </c>
      <c r="F156" s="1" t="s">
        <v>196</v>
      </c>
      <c r="G156" s="1" t="s">
        <v>76</v>
      </c>
      <c r="H156" s="1" t="s">
        <v>51</v>
      </c>
      <c r="I156" s="1"/>
      <c r="J156" s="9" t="s">
        <v>544</v>
      </c>
      <c r="K156" s="10">
        <v>0.37035050000000003</v>
      </c>
      <c r="L156" s="1" t="s">
        <v>641</v>
      </c>
      <c r="M156" s="1" t="s">
        <v>76</v>
      </c>
      <c r="N156" s="1" t="s">
        <v>644</v>
      </c>
      <c r="O156" s="1" t="s">
        <v>66</v>
      </c>
      <c r="P156" s="82">
        <v>0.16900000000000001</v>
      </c>
      <c r="Q156" s="1" t="s">
        <v>76</v>
      </c>
      <c r="R156" s="81" t="s">
        <v>191</v>
      </c>
      <c r="S156" s="1" t="s">
        <v>103</v>
      </c>
      <c r="T156" s="1" t="s">
        <v>120</v>
      </c>
      <c r="U156" s="1" t="s">
        <v>658</v>
      </c>
      <c r="V156" s="1" t="s">
        <v>655</v>
      </c>
      <c r="W156" s="1">
        <v>22</v>
      </c>
      <c r="X156" s="1" t="s">
        <v>76</v>
      </c>
      <c r="Y156" s="1" t="s">
        <v>644</v>
      </c>
      <c r="Z156" s="1">
        <v>6.0000000000000001E-3</v>
      </c>
      <c r="AA156" s="1">
        <v>6.0000000000000001E-3</v>
      </c>
      <c r="AB156" s="1">
        <v>5.0000000000000001E-3</v>
      </c>
      <c r="AC156" s="1">
        <v>8.3000000000000004E-2</v>
      </c>
      <c r="AD156" s="1">
        <v>8.0000000000000002E-3</v>
      </c>
      <c r="AE156" s="1">
        <v>8.0000000000000002E-3</v>
      </c>
      <c r="AF156" s="1">
        <v>3.5999999999999997E-2</v>
      </c>
      <c r="AG156" s="1">
        <v>1E-3</v>
      </c>
      <c r="AH156" s="1">
        <v>0.02</v>
      </c>
      <c r="AI156" s="1">
        <v>7.0000000000000001E-3</v>
      </c>
      <c r="AJ156" s="1">
        <v>3.0000000000000001E-3</v>
      </c>
      <c r="AK156" s="1">
        <v>1.6E-2</v>
      </c>
      <c r="AL156" s="1">
        <v>1E-3</v>
      </c>
      <c r="AM156" s="1">
        <v>3.0000000000000001E-3</v>
      </c>
      <c r="AN156" s="1">
        <v>3.1E-2</v>
      </c>
      <c r="AO156" s="1">
        <v>6.0000000000000001E-3</v>
      </c>
      <c r="AP156" s="1">
        <v>5.0000000000000001E-3</v>
      </c>
      <c r="AQ156" s="1">
        <v>4.0000000000000001E-3</v>
      </c>
      <c r="AR156" s="1">
        <v>2E-3</v>
      </c>
      <c r="AS156" s="1">
        <v>2.1000000000000001E-2</v>
      </c>
      <c r="AT156" s="1">
        <v>8.9999999999999993E-3</v>
      </c>
      <c r="AU156" s="1">
        <v>5.0000000000000001E-3</v>
      </c>
      <c r="AV156" s="1">
        <v>4.0000000000000001E-3</v>
      </c>
      <c r="AW156" s="1">
        <v>6.0000000000000001E-3</v>
      </c>
      <c r="AX156" s="1">
        <v>4.0000000000000001E-3</v>
      </c>
      <c r="AY156" s="1">
        <v>8.0000000000000002E-3</v>
      </c>
      <c r="AZ156" s="1">
        <v>1.0999999999999999E-2</v>
      </c>
      <c r="BA156" s="1">
        <v>2.1000000000000001E-2</v>
      </c>
      <c r="BB156" s="1">
        <v>4.0000000000000001E-3</v>
      </c>
      <c r="BC156" s="1">
        <v>3.0000000000000001E-3</v>
      </c>
      <c r="BD156" s="1">
        <v>2.7E-2</v>
      </c>
      <c r="BE156" s="1">
        <v>7.0000000000000001E-3</v>
      </c>
      <c r="BF156" s="1">
        <v>0.11799999999999999</v>
      </c>
      <c r="BG156" s="1">
        <v>2E-3</v>
      </c>
      <c r="BH156" s="1">
        <v>1.9E-2</v>
      </c>
      <c r="BI156" s="1">
        <v>3.0000000000000001E-3</v>
      </c>
      <c r="BJ156" s="1">
        <v>2E-3</v>
      </c>
      <c r="BK156" s="1">
        <v>3.0000000000000001E-3</v>
      </c>
      <c r="BL156" s="1">
        <v>8.9999999999999993E-3</v>
      </c>
      <c r="BM156" s="1">
        <v>8.0000000000000002E-3</v>
      </c>
      <c r="BN156" s="1">
        <v>1.2E-2</v>
      </c>
      <c r="BO156" s="1">
        <v>3.0000000000000001E-3</v>
      </c>
      <c r="BP156" s="1">
        <v>2E-3</v>
      </c>
      <c r="BQ156" s="1">
        <v>1.2999999999999999E-2</v>
      </c>
      <c r="BR156" s="1">
        <v>6.0000000000000001E-3</v>
      </c>
      <c r="BS156" s="1">
        <v>3.0000000000000001E-3</v>
      </c>
      <c r="BT156" s="1">
        <v>1.2999999999999999E-2</v>
      </c>
      <c r="BU156" s="1">
        <v>1.6E-2</v>
      </c>
      <c r="BV156" s="1">
        <v>3.0000000000000001E-3</v>
      </c>
      <c r="BW156" s="1">
        <v>5.0000000000000001E-3</v>
      </c>
      <c r="BX156" s="1">
        <v>2.8000000000000001E-2</v>
      </c>
      <c r="BY156" s="1">
        <v>1.6E-2</v>
      </c>
      <c r="BZ156" s="1">
        <v>0.01</v>
      </c>
      <c r="CA156" s="1">
        <v>7.0000000000000001E-3</v>
      </c>
      <c r="CB156" s="1">
        <v>5.0000000000000001E-3</v>
      </c>
      <c r="CC156" s="1">
        <v>6.0000000000000001E-3</v>
      </c>
      <c r="CD156" s="1">
        <v>1E-3</v>
      </c>
      <c r="CE156" s="1">
        <v>5.0000000000000001E-3</v>
      </c>
      <c r="CF156" s="1">
        <v>6.0000000000000001E-3</v>
      </c>
      <c r="CG156" s="1">
        <v>8.9999999999999993E-3</v>
      </c>
      <c r="CH156" s="1">
        <v>0.01</v>
      </c>
      <c r="CI156" s="1">
        <v>0.16900000000000001</v>
      </c>
      <c r="CJ156" s="1">
        <v>1.7000000000000001E-2</v>
      </c>
      <c r="CK156" s="1">
        <v>5.6000000000000001E-2</v>
      </c>
      <c r="CL156" s="1">
        <v>3.5000000000000003E-2</v>
      </c>
      <c r="CM156" s="1">
        <v>-27.66207056</v>
      </c>
      <c r="CN156" s="83">
        <v>-47.259001300000001</v>
      </c>
    </row>
    <row r="157" spans="1:92" s="3" customFormat="1" x14ac:dyDescent="0.25">
      <c r="A157" s="72">
        <v>154</v>
      </c>
      <c r="B157" s="81" t="s">
        <v>1119</v>
      </c>
      <c r="C157" s="1" t="s">
        <v>83</v>
      </c>
      <c r="D157" s="1" t="s">
        <v>79</v>
      </c>
      <c r="E157" s="1" t="s">
        <v>195</v>
      </c>
      <c r="F157" s="1" t="s">
        <v>665</v>
      </c>
      <c r="G157" s="1" t="s">
        <v>98</v>
      </c>
      <c r="H157" s="1" t="s">
        <v>48</v>
      </c>
      <c r="I157" s="1"/>
      <c r="J157" s="9" t="s">
        <v>544</v>
      </c>
      <c r="K157" s="10">
        <v>0.53356333333333394</v>
      </c>
      <c r="L157" s="1" t="s">
        <v>641</v>
      </c>
      <c r="M157" s="1" t="s">
        <v>76</v>
      </c>
      <c r="N157" s="1" t="s">
        <v>644</v>
      </c>
      <c r="O157" s="1" t="s">
        <v>36</v>
      </c>
      <c r="P157" s="82">
        <v>0.433</v>
      </c>
      <c r="Q157" s="1" t="s">
        <v>76</v>
      </c>
      <c r="R157" s="81" t="s">
        <v>178</v>
      </c>
      <c r="S157" s="1">
        <v>3</v>
      </c>
      <c r="T157" s="1" t="s">
        <v>120</v>
      </c>
      <c r="U157" s="1" t="s">
        <v>658</v>
      </c>
      <c r="V157" s="1" t="s">
        <v>655</v>
      </c>
      <c r="W157" s="1">
        <v>26</v>
      </c>
      <c r="X157" s="1" t="s">
        <v>76</v>
      </c>
      <c r="Y157" s="1" t="s">
        <v>644</v>
      </c>
      <c r="Z157" s="1">
        <v>0</v>
      </c>
      <c r="AA157" s="1">
        <v>1E-3</v>
      </c>
      <c r="AB157" s="1">
        <v>1E-3</v>
      </c>
      <c r="AC157" s="1">
        <v>4.3999999999999997E-2</v>
      </c>
      <c r="AD157" s="1">
        <v>1E-3</v>
      </c>
      <c r="AE157" s="1">
        <v>1E-3</v>
      </c>
      <c r="AF157" s="1">
        <v>1E-3</v>
      </c>
      <c r="AG157" s="1">
        <v>0</v>
      </c>
      <c r="AH157" s="1">
        <v>1E-3</v>
      </c>
      <c r="AI157" s="1">
        <v>0</v>
      </c>
      <c r="AJ157" s="1">
        <v>0</v>
      </c>
      <c r="AK157" s="1">
        <v>3.0000000000000001E-3</v>
      </c>
      <c r="AL157" s="1">
        <v>0</v>
      </c>
      <c r="AM157" s="1">
        <v>0</v>
      </c>
      <c r="AN157" s="1">
        <v>1E-3</v>
      </c>
      <c r="AO157" s="1">
        <v>1E-3</v>
      </c>
      <c r="AP157" s="1">
        <v>0</v>
      </c>
      <c r="AQ157" s="1">
        <v>0</v>
      </c>
      <c r="AR157" s="1">
        <v>0</v>
      </c>
      <c r="AS157" s="1">
        <v>8.0000000000000002E-3</v>
      </c>
      <c r="AT157" s="1">
        <v>2E-3</v>
      </c>
      <c r="AU157" s="1">
        <v>1E-3</v>
      </c>
      <c r="AV157" s="1">
        <v>0</v>
      </c>
      <c r="AW157" s="1">
        <v>1E-3</v>
      </c>
      <c r="AX157" s="1">
        <v>0</v>
      </c>
      <c r="AY157" s="1">
        <v>1E-3</v>
      </c>
      <c r="AZ157" s="1">
        <v>2E-3</v>
      </c>
      <c r="BA157" s="1">
        <v>2E-3</v>
      </c>
      <c r="BB157" s="1">
        <v>0</v>
      </c>
      <c r="BC157" s="1">
        <v>0</v>
      </c>
      <c r="BD157" s="1">
        <v>5.0000000000000001E-3</v>
      </c>
      <c r="BE157" s="1">
        <v>0.433</v>
      </c>
      <c r="BF157" s="1">
        <v>0</v>
      </c>
      <c r="BG157" s="1">
        <v>0</v>
      </c>
      <c r="BH157" s="1">
        <v>0</v>
      </c>
      <c r="BI157" s="1">
        <v>1E-3</v>
      </c>
      <c r="BJ157" s="1">
        <v>0</v>
      </c>
      <c r="BK157" s="1">
        <v>0</v>
      </c>
      <c r="BL157" s="1">
        <v>2E-3</v>
      </c>
      <c r="BM157" s="1">
        <v>1E-3</v>
      </c>
      <c r="BN157" s="1">
        <v>1.4999999999999999E-2</v>
      </c>
      <c r="BO157" s="1">
        <v>0</v>
      </c>
      <c r="BP157" s="1">
        <v>0</v>
      </c>
      <c r="BQ157" s="1">
        <v>1.7999999999999999E-2</v>
      </c>
      <c r="BR157" s="1">
        <v>1E-3</v>
      </c>
      <c r="BS157" s="1">
        <v>0</v>
      </c>
      <c r="BT157" s="1">
        <v>0</v>
      </c>
      <c r="BU157" s="1">
        <v>1E-3</v>
      </c>
      <c r="BV157" s="1">
        <v>0</v>
      </c>
      <c r="BW157" s="1">
        <v>1E-3</v>
      </c>
      <c r="BX157" s="1">
        <v>2E-3</v>
      </c>
      <c r="BY157" s="1">
        <v>1E-3</v>
      </c>
      <c r="BZ157" s="1">
        <v>1.4E-2</v>
      </c>
      <c r="CA157" s="1">
        <v>1E-3</v>
      </c>
      <c r="CB157" s="1">
        <v>5.7000000000000002E-2</v>
      </c>
      <c r="CC157" s="1">
        <v>0.32300000000000001</v>
      </c>
      <c r="CD157" s="1">
        <v>0</v>
      </c>
      <c r="CE157" s="1">
        <v>1E-3</v>
      </c>
      <c r="CF157" s="1">
        <v>0</v>
      </c>
      <c r="CG157" s="1">
        <v>2E-3</v>
      </c>
      <c r="CH157" s="1">
        <v>1E-3</v>
      </c>
      <c r="CI157" s="1">
        <v>1E-3</v>
      </c>
      <c r="CJ157" s="1">
        <v>5.0000000000000001E-3</v>
      </c>
      <c r="CK157" s="1">
        <v>2.1999999999999999E-2</v>
      </c>
      <c r="CL157" s="1">
        <v>1.7999999999999999E-2</v>
      </c>
      <c r="CM157" s="1">
        <v>-53.370375799999998</v>
      </c>
      <c r="CN157" s="83">
        <v>31.864294080000001</v>
      </c>
    </row>
    <row r="158" spans="1:92" s="3" customFormat="1" x14ac:dyDescent="0.25">
      <c r="A158" s="72">
        <v>155</v>
      </c>
      <c r="B158" s="81" t="s">
        <v>834</v>
      </c>
      <c r="C158" s="1" t="s">
        <v>83</v>
      </c>
      <c r="D158" s="1" t="s">
        <v>79</v>
      </c>
      <c r="E158" s="1" t="s">
        <v>74</v>
      </c>
      <c r="F158" s="1" t="s">
        <v>665</v>
      </c>
      <c r="G158" s="1" t="s">
        <v>98</v>
      </c>
      <c r="H158" s="1" t="s">
        <v>48</v>
      </c>
      <c r="I158" s="1"/>
      <c r="J158" s="9" t="s">
        <v>544</v>
      </c>
      <c r="K158" s="10">
        <v>0.35817333333333301</v>
      </c>
      <c r="L158" s="1" t="s">
        <v>641</v>
      </c>
      <c r="M158" s="1" t="s">
        <v>76</v>
      </c>
      <c r="N158" s="1" t="s">
        <v>644</v>
      </c>
      <c r="O158" s="1" t="s">
        <v>37</v>
      </c>
      <c r="P158" s="82">
        <v>0.28100000000000003</v>
      </c>
      <c r="Q158" s="1" t="s">
        <v>76</v>
      </c>
      <c r="R158" s="81" t="s">
        <v>100</v>
      </c>
      <c r="S158" s="1" t="s">
        <v>103</v>
      </c>
      <c r="T158" s="1" t="s">
        <v>120</v>
      </c>
      <c r="U158" s="1" t="s">
        <v>658</v>
      </c>
      <c r="V158" s="1" t="s">
        <v>655</v>
      </c>
      <c r="W158" s="1">
        <v>29</v>
      </c>
      <c r="X158" s="1" t="s">
        <v>76</v>
      </c>
      <c r="Y158" s="1" t="s">
        <v>644</v>
      </c>
      <c r="Z158" s="1">
        <v>1.2999999999999999E-2</v>
      </c>
      <c r="AA158" s="1">
        <v>3.0000000000000001E-3</v>
      </c>
      <c r="AB158" s="1">
        <v>3.0000000000000001E-3</v>
      </c>
      <c r="AC158" s="1">
        <v>5.1999999999999998E-2</v>
      </c>
      <c r="AD158" s="1">
        <v>8.0000000000000002E-3</v>
      </c>
      <c r="AE158" s="1">
        <v>4.0000000000000001E-3</v>
      </c>
      <c r="AF158" s="1">
        <v>1.0999999999999999E-2</v>
      </c>
      <c r="AG158" s="1">
        <v>0</v>
      </c>
      <c r="AH158" s="1">
        <v>1.4E-2</v>
      </c>
      <c r="AI158" s="1">
        <v>8.0000000000000002E-3</v>
      </c>
      <c r="AJ158" s="1">
        <v>2E-3</v>
      </c>
      <c r="AK158" s="1">
        <v>6.0000000000000001E-3</v>
      </c>
      <c r="AL158" s="1">
        <v>1E-3</v>
      </c>
      <c r="AM158" s="1">
        <v>2E-3</v>
      </c>
      <c r="AN158" s="1">
        <v>6.7000000000000004E-2</v>
      </c>
      <c r="AO158" s="1">
        <v>2E-3</v>
      </c>
      <c r="AP158" s="1">
        <v>3.0000000000000001E-3</v>
      </c>
      <c r="AQ158" s="1">
        <v>2E-3</v>
      </c>
      <c r="AR158" s="1">
        <v>2E-3</v>
      </c>
      <c r="AS158" s="1">
        <v>1.9E-2</v>
      </c>
      <c r="AT158" s="1">
        <v>5.0000000000000001E-3</v>
      </c>
      <c r="AU158" s="1">
        <v>3.0000000000000001E-3</v>
      </c>
      <c r="AV158" s="1">
        <v>3.0000000000000001E-3</v>
      </c>
      <c r="AW158" s="1">
        <v>3.0000000000000001E-3</v>
      </c>
      <c r="AX158" s="1">
        <v>2E-3</v>
      </c>
      <c r="AY158" s="1">
        <v>7.0000000000000001E-3</v>
      </c>
      <c r="AZ158" s="1">
        <v>1.2E-2</v>
      </c>
      <c r="BA158" s="1">
        <v>1.4999999999999999E-2</v>
      </c>
      <c r="BB158" s="1">
        <v>2E-3</v>
      </c>
      <c r="BC158" s="1">
        <v>2E-3</v>
      </c>
      <c r="BD158" s="1">
        <v>1.7999999999999999E-2</v>
      </c>
      <c r="BE158" s="1">
        <v>1.0999999999999999E-2</v>
      </c>
      <c r="BF158" s="1">
        <v>0.28100000000000003</v>
      </c>
      <c r="BG158" s="1">
        <v>0</v>
      </c>
      <c r="BH158" s="1">
        <v>0.01</v>
      </c>
      <c r="BI158" s="1">
        <v>2E-3</v>
      </c>
      <c r="BJ158" s="1">
        <v>2E-3</v>
      </c>
      <c r="BK158" s="1">
        <v>2E-3</v>
      </c>
      <c r="BL158" s="1">
        <v>5.0000000000000001E-3</v>
      </c>
      <c r="BM158" s="1">
        <v>4.0000000000000001E-3</v>
      </c>
      <c r="BN158" s="1">
        <v>1.7000000000000001E-2</v>
      </c>
      <c r="BO158" s="1">
        <v>2E-3</v>
      </c>
      <c r="BP158" s="1">
        <v>1E-3</v>
      </c>
      <c r="BQ158" s="1">
        <v>1.6E-2</v>
      </c>
      <c r="BR158" s="1">
        <v>4.0000000000000001E-3</v>
      </c>
      <c r="BS158" s="1">
        <v>2E-3</v>
      </c>
      <c r="BT158" s="1">
        <v>6.0000000000000001E-3</v>
      </c>
      <c r="BU158" s="1">
        <v>9.4E-2</v>
      </c>
      <c r="BV158" s="1">
        <v>2E-3</v>
      </c>
      <c r="BW158" s="1">
        <v>3.0000000000000001E-3</v>
      </c>
      <c r="BX158" s="1">
        <v>0.02</v>
      </c>
      <c r="BY158" s="1">
        <v>8.0000000000000002E-3</v>
      </c>
      <c r="BZ158" s="1">
        <v>1.0999999999999999E-2</v>
      </c>
      <c r="CA158" s="1">
        <v>4.0000000000000001E-3</v>
      </c>
      <c r="CB158" s="1">
        <v>3.5999999999999997E-2</v>
      </c>
      <c r="CC158" s="1">
        <v>7.0000000000000001E-3</v>
      </c>
      <c r="CD158" s="1">
        <v>0</v>
      </c>
      <c r="CE158" s="1">
        <v>4.0000000000000001E-3</v>
      </c>
      <c r="CF158" s="1">
        <v>3.0000000000000001E-3</v>
      </c>
      <c r="CG158" s="1">
        <v>8.0000000000000002E-3</v>
      </c>
      <c r="CH158" s="1">
        <v>5.0000000000000001E-3</v>
      </c>
      <c r="CI158" s="1">
        <v>1.4999999999999999E-2</v>
      </c>
      <c r="CJ158" s="1">
        <v>0.01</v>
      </c>
      <c r="CK158" s="1">
        <v>4.2000000000000003E-2</v>
      </c>
      <c r="CL158" s="1">
        <v>6.9000000000000006E-2</v>
      </c>
      <c r="CM158" s="1">
        <v>-30.358613030000001</v>
      </c>
      <c r="CN158" s="83">
        <v>-50.848173690000003</v>
      </c>
    </row>
    <row r="159" spans="1:92" s="3" customFormat="1" x14ac:dyDescent="0.25">
      <c r="A159" s="72">
        <v>156</v>
      </c>
      <c r="B159" s="81" t="s">
        <v>1215</v>
      </c>
      <c r="C159" s="1" t="s">
        <v>83</v>
      </c>
      <c r="D159" s="1" t="s">
        <v>79</v>
      </c>
      <c r="E159" s="1" t="s">
        <v>74</v>
      </c>
      <c r="F159" s="1" t="s">
        <v>665</v>
      </c>
      <c r="G159" s="1" t="s">
        <v>98</v>
      </c>
      <c r="H159" s="1" t="s">
        <v>48</v>
      </c>
      <c r="I159" s="1"/>
      <c r="J159" s="9" t="s">
        <v>544</v>
      </c>
      <c r="K159" s="10">
        <v>0.46102466666666603</v>
      </c>
      <c r="L159" s="1" t="s">
        <v>641</v>
      </c>
      <c r="M159" s="1" t="s">
        <v>76</v>
      </c>
      <c r="N159" s="1" t="s">
        <v>644</v>
      </c>
      <c r="O159" s="1" t="s">
        <v>69</v>
      </c>
      <c r="P159" s="82">
        <v>0.49399999999999999</v>
      </c>
      <c r="Q159" s="1" t="s">
        <v>76</v>
      </c>
      <c r="R159" s="81" t="s">
        <v>171</v>
      </c>
      <c r="S159" s="1">
        <v>3</v>
      </c>
      <c r="T159" s="1" t="s">
        <v>120</v>
      </c>
      <c r="U159" s="1" t="s">
        <v>658</v>
      </c>
      <c r="V159" s="1" t="s">
        <v>655</v>
      </c>
      <c r="W159" s="1">
        <v>85</v>
      </c>
      <c r="X159" s="1" t="s">
        <v>76</v>
      </c>
      <c r="Y159" s="1" t="s">
        <v>644</v>
      </c>
      <c r="Z159" s="1">
        <v>5.0000000000000001E-3</v>
      </c>
      <c r="AA159" s="1">
        <v>2E-3</v>
      </c>
      <c r="AB159" s="1">
        <v>2E-3</v>
      </c>
      <c r="AC159" s="1">
        <v>5.0000000000000001E-3</v>
      </c>
      <c r="AD159" s="1">
        <v>0.02</v>
      </c>
      <c r="AE159" s="1">
        <v>2E-3</v>
      </c>
      <c r="AF159" s="1">
        <v>3.0000000000000001E-3</v>
      </c>
      <c r="AG159" s="1">
        <v>0</v>
      </c>
      <c r="AH159" s="1">
        <v>8.0000000000000002E-3</v>
      </c>
      <c r="AI159" s="1">
        <v>1E-3</v>
      </c>
      <c r="AJ159" s="1">
        <v>1E-3</v>
      </c>
      <c r="AK159" s="1">
        <v>3.0000000000000001E-3</v>
      </c>
      <c r="AL159" s="1">
        <v>0</v>
      </c>
      <c r="AM159" s="1">
        <v>1E-3</v>
      </c>
      <c r="AN159" s="1">
        <v>1E-3</v>
      </c>
      <c r="AO159" s="1">
        <v>1E-3</v>
      </c>
      <c r="AP159" s="1">
        <v>1E-3</v>
      </c>
      <c r="AQ159" s="1">
        <v>1E-3</v>
      </c>
      <c r="AR159" s="1">
        <v>4.0000000000000001E-3</v>
      </c>
      <c r="AS159" s="1">
        <v>5.0000000000000001E-3</v>
      </c>
      <c r="AT159" s="1">
        <v>3.0000000000000001E-3</v>
      </c>
      <c r="AU159" s="1">
        <v>3.0000000000000001E-3</v>
      </c>
      <c r="AV159" s="1">
        <v>4.0000000000000001E-3</v>
      </c>
      <c r="AW159" s="1">
        <v>2E-3</v>
      </c>
      <c r="AX159" s="1">
        <v>1.0999999999999999E-2</v>
      </c>
      <c r="AY159" s="1">
        <v>5.0000000000000001E-3</v>
      </c>
      <c r="AZ159" s="1">
        <v>7.0000000000000001E-3</v>
      </c>
      <c r="BA159" s="1">
        <v>7.0000000000000001E-3</v>
      </c>
      <c r="BB159" s="1">
        <v>1E-3</v>
      </c>
      <c r="BC159" s="1">
        <v>1E-3</v>
      </c>
      <c r="BD159" s="1">
        <v>8.0000000000000002E-3</v>
      </c>
      <c r="BE159" s="1">
        <v>1E-3</v>
      </c>
      <c r="BF159" s="1">
        <v>2E-3</v>
      </c>
      <c r="BG159" s="1">
        <v>1E-3</v>
      </c>
      <c r="BH159" s="1">
        <v>1E-3</v>
      </c>
      <c r="BI159" s="1">
        <v>1E-3</v>
      </c>
      <c r="BJ159" s="1">
        <v>6.0000000000000001E-3</v>
      </c>
      <c r="BK159" s="1">
        <v>1E-3</v>
      </c>
      <c r="BL159" s="1">
        <v>4.0000000000000001E-3</v>
      </c>
      <c r="BM159" s="1">
        <v>1E-3</v>
      </c>
      <c r="BN159" s="1">
        <v>3.0000000000000001E-3</v>
      </c>
      <c r="BO159" s="1">
        <v>1E-3</v>
      </c>
      <c r="BP159" s="1">
        <v>4.0000000000000001E-3</v>
      </c>
      <c r="BQ159" s="1">
        <v>3.0000000000000001E-3</v>
      </c>
      <c r="BR159" s="1">
        <v>2E-3</v>
      </c>
      <c r="BS159" s="1">
        <v>2E-3</v>
      </c>
      <c r="BT159" s="1">
        <v>1E-3</v>
      </c>
      <c r="BU159" s="1">
        <v>6.0000000000000001E-3</v>
      </c>
      <c r="BV159" s="1">
        <v>1E-3</v>
      </c>
      <c r="BW159" s="1">
        <v>3.0000000000000001E-3</v>
      </c>
      <c r="BX159" s="1">
        <v>5.0000000000000001E-3</v>
      </c>
      <c r="BY159" s="1">
        <v>6.0000000000000001E-3</v>
      </c>
      <c r="BZ159" s="1">
        <v>2.1999999999999999E-2</v>
      </c>
      <c r="CA159" s="1">
        <v>4.0000000000000001E-3</v>
      </c>
      <c r="CB159" s="1">
        <v>1E-3</v>
      </c>
      <c r="CC159" s="1">
        <v>3.0000000000000001E-3</v>
      </c>
      <c r="CD159" s="1">
        <v>0</v>
      </c>
      <c r="CE159" s="1">
        <v>2E-3</v>
      </c>
      <c r="CF159" s="1">
        <v>2E-3</v>
      </c>
      <c r="CG159" s="1">
        <v>3.0000000000000001E-3</v>
      </c>
      <c r="CH159" s="1">
        <v>3.0000000000000001E-3</v>
      </c>
      <c r="CI159" s="1">
        <v>2E-3</v>
      </c>
      <c r="CJ159" s="1">
        <v>4.0000000000000001E-3</v>
      </c>
      <c r="CK159" s="1">
        <v>0.28399999999999997</v>
      </c>
      <c r="CL159" s="1">
        <v>0.49399999999999999</v>
      </c>
      <c r="CM159" s="1">
        <v>10.92901743</v>
      </c>
      <c r="CN159" s="83">
        <v>-76.359014139999999</v>
      </c>
    </row>
    <row r="160" spans="1:92" s="3" customFormat="1" x14ac:dyDescent="0.25">
      <c r="A160" s="72">
        <v>157</v>
      </c>
      <c r="B160" s="81" t="s">
        <v>899</v>
      </c>
      <c r="C160" s="1" t="s">
        <v>83</v>
      </c>
      <c r="D160" s="1" t="s">
        <v>79</v>
      </c>
      <c r="E160" s="1" t="s">
        <v>195</v>
      </c>
      <c r="F160" s="1" t="s">
        <v>665</v>
      </c>
      <c r="G160" s="1" t="s">
        <v>98</v>
      </c>
      <c r="H160" s="1" t="s">
        <v>48</v>
      </c>
      <c r="I160" s="1"/>
      <c r="J160" s="9" t="s">
        <v>544</v>
      </c>
      <c r="K160" s="10">
        <v>0.52533333333333299</v>
      </c>
      <c r="L160" s="1" t="s">
        <v>641</v>
      </c>
      <c r="M160" s="1" t="s">
        <v>76</v>
      </c>
      <c r="N160" s="1" t="s">
        <v>644</v>
      </c>
      <c r="O160" s="1" t="s">
        <v>69</v>
      </c>
      <c r="P160" s="82">
        <v>0.377</v>
      </c>
      <c r="Q160" s="1" t="s">
        <v>76</v>
      </c>
      <c r="R160" s="81" t="s">
        <v>129</v>
      </c>
      <c r="S160" s="1">
        <v>1</v>
      </c>
      <c r="T160" s="1" t="s">
        <v>120</v>
      </c>
      <c r="U160" s="1" t="s">
        <v>658</v>
      </c>
      <c r="V160" s="1" t="s">
        <v>655</v>
      </c>
      <c r="W160" s="1">
        <v>51</v>
      </c>
      <c r="X160" s="1" t="s">
        <v>197</v>
      </c>
      <c r="Y160" s="1" t="s">
        <v>644</v>
      </c>
      <c r="Z160" s="1">
        <v>3.0000000000000001E-3</v>
      </c>
      <c r="AA160" s="1">
        <v>5.0000000000000001E-3</v>
      </c>
      <c r="AB160" s="1">
        <v>4.0000000000000001E-3</v>
      </c>
      <c r="AC160" s="1">
        <v>1.6E-2</v>
      </c>
      <c r="AD160" s="1">
        <v>0.01</v>
      </c>
      <c r="AE160" s="1">
        <v>4.0000000000000001E-3</v>
      </c>
      <c r="AF160" s="1">
        <v>5.0000000000000001E-3</v>
      </c>
      <c r="AG160" s="1">
        <v>1E-3</v>
      </c>
      <c r="AH160" s="1">
        <v>1.4999999999999999E-2</v>
      </c>
      <c r="AI160" s="1">
        <v>3.0000000000000001E-3</v>
      </c>
      <c r="AJ160" s="1">
        <v>3.0000000000000001E-3</v>
      </c>
      <c r="AK160" s="1">
        <v>1.4999999999999999E-2</v>
      </c>
      <c r="AL160" s="1">
        <v>2E-3</v>
      </c>
      <c r="AM160" s="1">
        <v>3.0000000000000001E-3</v>
      </c>
      <c r="AN160" s="1">
        <v>3.0000000000000001E-3</v>
      </c>
      <c r="AO160" s="1">
        <v>5.0000000000000001E-3</v>
      </c>
      <c r="AP160" s="1">
        <v>3.0000000000000001E-3</v>
      </c>
      <c r="AQ160" s="1">
        <v>3.0000000000000001E-3</v>
      </c>
      <c r="AR160" s="1">
        <v>7.0000000000000001E-3</v>
      </c>
      <c r="AS160" s="1">
        <v>1.4E-2</v>
      </c>
      <c r="AT160" s="1">
        <v>8.0000000000000002E-3</v>
      </c>
      <c r="AU160" s="1">
        <v>7.0000000000000001E-3</v>
      </c>
      <c r="AV160" s="1">
        <v>3.0000000000000001E-3</v>
      </c>
      <c r="AW160" s="1">
        <v>1.0999999999999999E-2</v>
      </c>
      <c r="AX160" s="1">
        <v>8.9999999999999993E-3</v>
      </c>
      <c r="AY160" s="1">
        <v>1.2E-2</v>
      </c>
      <c r="AZ160" s="1">
        <v>1.6E-2</v>
      </c>
      <c r="BA160" s="1">
        <v>2.1999999999999999E-2</v>
      </c>
      <c r="BB160" s="1">
        <v>6.0000000000000001E-3</v>
      </c>
      <c r="BC160" s="1">
        <v>2E-3</v>
      </c>
      <c r="BD160" s="1">
        <v>2.1000000000000001E-2</v>
      </c>
      <c r="BE160" s="1">
        <v>6.0000000000000001E-3</v>
      </c>
      <c r="BF160" s="1">
        <v>3.0000000000000001E-3</v>
      </c>
      <c r="BG160" s="1">
        <v>3.0000000000000001E-3</v>
      </c>
      <c r="BH160" s="1">
        <v>2E-3</v>
      </c>
      <c r="BI160" s="1">
        <v>3.0000000000000001E-3</v>
      </c>
      <c r="BJ160" s="1">
        <v>4.0000000000000001E-3</v>
      </c>
      <c r="BK160" s="1">
        <v>3.0000000000000001E-3</v>
      </c>
      <c r="BL160" s="1">
        <v>8.9999999999999993E-3</v>
      </c>
      <c r="BM160" s="1">
        <v>3.0000000000000001E-3</v>
      </c>
      <c r="BN160" s="1">
        <v>0.01</v>
      </c>
      <c r="BO160" s="1">
        <v>7.0000000000000001E-3</v>
      </c>
      <c r="BP160" s="1">
        <v>3.0000000000000001E-3</v>
      </c>
      <c r="BQ160" s="1">
        <v>1.4E-2</v>
      </c>
      <c r="BR160" s="1">
        <v>5.0000000000000001E-3</v>
      </c>
      <c r="BS160" s="1">
        <v>6.0000000000000001E-3</v>
      </c>
      <c r="BT160" s="1">
        <v>3.0000000000000001E-3</v>
      </c>
      <c r="BU160" s="1">
        <v>6.0000000000000001E-3</v>
      </c>
      <c r="BV160" s="1">
        <v>5.0000000000000001E-3</v>
      </c>
      <c r="BW160" s="1">
        <v>8.9999999999999993E-3</v>
      </c>
      <c r="BX160" s="1">
        <v>1.0999999999999999E-2</v>
      </c>
      <c r="BY160" s="1">
        <v>1.9E-2</v>
      </c>
      <c r="BZ160" s="1">
        <v>2.9000000000000001E-2</v>
      </c>
      <c r="CA160" s="1">
        <v>7.0000000000000001E-3</v>
      </c>
      <c r="CB160" s="1">
        <v>6.0000000000000001E-3</v>
      </c>
      <c r="CC160" s="1">
        <v>1.4E-2</v>
      </c>
      <c r="CD160" s="1">
        <v>0</v>
      </c>
      <c r="CE160" s="1">
        <v>5.0000000000000001E-3</v>
      </c>
      <c r="CF160" s="1">
        <v>5.0000000000000001E-3</v>
      </c>
      <c r="CG160" s="1">
        <v>2.1000000000000001E-2</v>
      </c>
      <c r="CH160" s="1">
        <v>8.0000000000000002E-3</v>
      </c>
      <c r="CI160" s="1">
        <v>5.0000000000000001E-3</v>
      </c>
      <c r="CJ160" s="1">
        <v>1.4999999999999999E-2</v>
      </c>
      <c r="CK160" s="1">
        <v>0.13200000000000001</v>
      </c>
      <c r="CL160" s="1">
        <v>0.377</v>
      </c>
      <c r="CM160" s="1">
        <v>-64.438673050000006</v>
      </c>
      <c r="CN160" s="83">
        <v>28.09986713</v>
      </c>
    </row>
    <row r="161" spans="1:92" s="3" customFormat="1" x14ac:dyDescent="0.25">
      <c r="A161" s="72">
        <v>158</v>
      </c>
      <c r="B161" s="81" t="s">
        <v>1135</v>
      </c>
      <c r="C161" s="1" t="s">
        <v>83</v>
      </c>
      <c r="D161" s="1" t="s">
        <v>79</v>
      </c>
      <c r="E161" s="1" t="s">
        <v>99</v>
      </c>
      <c r="F161" s="1" t="s">
        <v>665</v>
      </c>
      <c r="G161" s="1" t="s">
        <v>198</v>
      </c>
      <c r="H161" s="1" t="s">
        <v>48</v>
      </c>
      <c r="I161" s="1"/>
      <c r="J161" s="9" t="s">
        <v>544</v>
      </c>
      <c r="K161" s="10">
        <v>0.54696599999999995</v>
      </c>
      <c r="L161" s="1" t="s">
        <v>641</v>
      </c>
      <c r="M161" s="1" t="s">
        <v>76</v>
      </c>
      <c r="N161" s="1" t="s">
        <v>649</v>
      </c>
      <c r="O161" s="1" t="s">
        <v>59</v>
      </c>
      <c r="P161" s="82">
        <v>0.12</v>
      </c>
      <c r="Q161" s="1" t="s">
        <v>76</v>
      </c>
      <c r="R161" s="81" t="s">
        <v>193</v>
      </c>
      <c r="S161" s="1">
        <v>3</v>
      </c>
      <c r="T161" s="1" t="s">
        <v>120</v>
      </c>
      <c r="U161" s="1" t="s">
        <v>658</v>
      </c>
      <c r="V161" s="1" t="s">
        <v>655</v>
      </c>
      <c r="W161" s="1">
        <v>34</v>
      </c>
      <c r="X161" s="1" t="s">
        <v>268</v>
      </c>
      <c r="Y161" s="1" t="s">
        <v>649</v>
      </c>
      <c r="Z161" s="1">
        <v>3.0000000000000001E-3</v>
      </c>
      <c r="AA161" s="1">
        <v>1.2E-2</v>
      </c>
      <c r="AB161" s="1">
        <v>3.0000000000000001E-3</v>
      </c>
      <c r="AC161" s="1">
        <v>3.6999999999999998E-2</v>
      </c>
      <c r="AD161" s="1">
        <v>4.0000000000000001E-3</v>
      </c>
      <c r="AE161" s="1">
        <v>3.0000000000000001E-3</v>
      </c>
      <c r="AF161" s="1">
        <v>8.0000000000000002E-3</v>
      </c>
      <c r="AG161" s="1">
        <v>1E-3</v>
      </c>
      <c r="AH161" s="1">
        <v>6.0000000000000001E-3</v>
      </c>
      <c r="AI161" s="1">
        <v>2E-3</v>
      </c>
      <c r="AJ161" s="1">
        <v>2E-3</v>
      </c>
      <c r="AK161" s="1">
        <v>5.0000000000000001E-3</v>
      </c>
      <c r="AL161" s="1">
        <v>4.8000000000000001E-2</v>
      </c>
      <c r="AM161" s="1">
        <v>7.0000000000000001E-3</v>
      </c>
      <c r="AN161" s="1">
        <v>6.0000000000000001E-3</v>
      </c>
      <c r="AO161" s="1">
        <v>3.0000000000000001E-3</v>
      </c>
      <c r="AP161" s="1">
        <v>3.0000000000000001E-3</v>
      </c>
      <c r="AQ161" s="1">
        <v>3.0000000000000001E-3</v>
      </c>
      <c r="AR161" s="1">
        <v>3.0000000000000001E-3</v>
      </c>
      <c r="AS161" s="1">
        <v>2.1000000000000001E-2</v>
      </c>
      <c r="AT161" s="1">
        <v>8.0000000000000002E-3</v>
      </c>
      <c r="AU161" s="1">
        <v>6.0000000000000001E-3</v>
      </c>
      <c r="AV161" s="1">
        <v>3.0000000000000001E-3</v>
      </c>
      <c r="AW161" s="1">
        <v>6.0000000000000001E-3</v>
      </c>
      <c r="AX161" s="1">
        <v>5.0000000000000001E-3</v>
      </c>
      <c r="AY161" s="1">
        <v>3.9E-2</v>
      </c>
      <c r="AZ161" s="1">
        <v>1.2999999999999999E-2</v>
      </c>
      <c r="BA161" s="1">
        <v>1.0999999999999999E-2</v>
      </c>
      <c r="BB161" s="1">
        <v>3.0000000000000001E-3</v>
      </c>
      <c r="BC161" s="1">
        <v>2E-3</v>
      </c>
      <c r="BD161" s="1">
        <v>1.0999999999999999E-2</v>
      </c>
      <c r="BE161" s="1">
        <v>3.6999999999999998E-2</v>
      </c>
      <c r="BF161" s="1">
        <v>2E-3</v>
      </c>
      <c r="BG161" s="1">
        <v>1E-3</v>
      </c>
      <c r="BH161" s="1">
        <v>2E-3</v>
      </c>
      <c r="BI161" s="1">
        <v>2E-3</v>
      </c>
      <c r="BJ161" s="1">
        <v>2E-3</v>
      </c>
      <c r="BK161" s="1">
        <v>2E-3</v>
      </c>
      <c r="BL161" s="1">
        <v>3.5000000000000003E-2</v>
      </c>
      <c r="BM161" s="1">
        <v>1.6E-2</v>
      </c>
      <c r="BN161" s="1">
        <v>0.03</v>
      </c>
      <c r="BO161" s="1">
        <v>2E-3</v>
      </c>
      <c r="BP161" s="1">
        <v>1E-3</v>
      </c>
      <c r="BQ161" s="1">
        <v>0.104</v>
      </c>
      <c r="BR161" s="1">
        <v>8.0000000000000002E-3</v>
      </c>
      <c r="BS161" s="1">
        <v>5.0000000000000001E-3</v>
      </c>
      <c r="BT161" s="1">
        <v>2E-3</v>
      </c>
      <c r="BU161" s="1">
        <v>4.0000000000000001E-3</v>
      </c>
      <c r="BV161" s="1">
        <v>2E-3</v>
      </c>
      <c r="BW161" s="1">
        <v>6.0000000000000001E-3</v>
      </c>
      <c r="BX161" s="1">
        <v>1.2E-2</v>
      </c>
      <c r="BY161" s="1">
        <v>7.0000000000000001E-3</v>
      </c>
      <c r="BZ161" s="1">
        <v>5.7000000000000002E-2</v>
      </c>
      <c r="CA161" s="1">
        <v>6.0000000000000001E-3</v>
      </c>
      <c r="CB161" s="1">
        <v>0.12</v>
      </c>
      <c r="CC161" s="1">
        <v>2.4E-2</v>
      </c>
      <c r="CD161" s="1">
        <v>3.0000000000000001E-3</v>
      </c>
      <c r="CE161" s="1">
        <v>6.0000000000000001E-3</v>
      </c>
      <c r="CF161" s="1">
        <v>4.0000000000000001E-3</v>
      </c>
      <c r="CG161" s="1">
        <v>1.9E-2</v>
      </c>
      <c r="CH161" s="1">
        <v>5.0000000000000001E-3</v>
      </c>
      <c r="CI161" s="1">
        <v>5.0000000000000001E-3</v>
      </c>
      <c r="CJ161" s="1">
        <v>1.6E-2</v>
      </c>
      <c r="CK161" s="1">
        <v>0.11700000000000001</v>
      </c>
      <c r="CL161" s="1">
        <v>4.9000000000000002E-2</v>
      </c>
      <c r="CM161" s="1">
        <v>-52.534591560000003</v>
      </c>
      <c r="CN161" s="83">
        <v>44.140004660000002</v>
      </c>
    </row>
    <row r="162" spans="1:92" s="3" customFormat="1" x14ac:dyDescent="0.25">
      <c r="A162" s="72">
        <v>159</v>
      </c>
      <c r="B162" s="81" t="s">
        <v>1468</v>
      </c>
      <c r="C162" s="1" t="s">
        <v>83</v>
      </c>
      <c r="D162" s="1" t="s">
        <v>79</v>
      </c>
      <c r="E162" s="1" t="s">
        <v>195</v>
      </c>
      <c r="F162" s="1" t="s">
        <v>665</v>
      </c>
      <c r="G162" s="1" t="s">
        <v>200</v>
      </c>
      <c r="H162" s="1" t="s">
        <v>48</v>
      </c>
      <c r="I162" s="1"/>
      <c r="J162" s="9" t="s">
        <v>544</v>
      </c>
      <c r="K162" s="10">
        <v>0.56672049999999896</v>
      </c>
      <c r="L162" s="1" t="s">
        <v>641</v>
      </c>
      <c r="M162" s="1" t="s">
        <v>76</v>
      </c>
      <c r="N162" s="1" t="s">
        <v>649</v>
      </c>
      <c r="O162" s="1" t="s">
        <v>48</v>
      </c>
      <c r="P162" s="82">
        <v>0.29299999999999998</v>
      </c>
      <c r="Q162" s="1" t="s">
        <v>76</v>
      </c>
      <c r="R162" s="81" t="s">
        <v>201</v>
      </c>
      <c r="S162" s="1">
        <v>3</v>
      </c>
      <c r="T162" s="1" t="s">
        <v>120</v>
      </c>
      <c r="U162" s="1" t="s">
        <v>658</v>
      </c>
      <c r="V162" s="1" t="s">
        <v>655</v>
      </c>
      <c r="W162" s="1">
        <v>34</v>
      </c>
      <c r="X162" s="1" t="s">
        <v>76</v>
      </c>
      <c r="Y162" s="1" t="s">
        <v>649</v>
      </c>
      <c r="Z162" s="1">
        <v>2E-3</v>
      </c>
      <c r="AA162" s="1">
        <v>4.0000000000000001E-3</v>
      </c>
      <c r="AB162" s="1">
        <v>4.0000000000000001E-3</v>
      </c>
      <c r="AC162" s="1">
        <v>4.9000000000000002E-2</v>
      </c>
      <c r="AD162" s="1">
        <v>6.0000000000000001E-3</v>
      </c>
      <c r="AE162" s="1">
        <v>6.0000000000000001E-3</v>
      </c>
      <c r="AF162" s="1">
        <v>5.0000000000000001E-3</v>
      </c>
      <c r="AG162" s="1">
        <v>1E-3</v>
      </c>
      <c r="AH162" s="1">
        <v>1.6E-2</v>
      </c>
      <c r="AI162" s="1">
        <v>2E-3</v>
      </c>
      <c r="AJ162" s="1">
        <v>3.0000000000000001E-3</v>
      </c>
      <c r="AK162" s="1">
        <v>1.4999999999999999E-2</v>
      </c>
      <c r="AL162" s="1">
        <v>3.0000000000000001E-3</v>
      </c>
      <c r="AM162" s="1">
        <v>3.0000000000000001E-3</v>
      </c>
      <c r="AN162" s="1">
        <v>4.0000000000000001E-3</v>
      </c>
      <c r="AO162" s="1">
        <v>5.0000000000000001E-3</v>
      </c>
      <c r="AP162" s="1">
        <v>3.0000000000000001E-3</v>
      </c>
      <c r="AQ162" s="1">
        <v>3.0000000000000001E-3</v>
      </c>
      <c r="AR162" s="1">
        <v>3.0000000000000001E-3</v>
      </c>
      <c r="AS162" s="1">
        <v>2.4E-2</v>
      </c>
      <c r="AT162" s="1">
        <v>0.01</v>
      </c>
      <c r="AU162" s="1">
        <v>4.0000000000000001E-3</v>
      </c>
      <c r="AV162" s="1">
        <v>3.0000000000000001E-3</v>
      </c>
      <c r="AW162" s="1">
        <v>7.0000000000000001E-3</v>
      </c>
      <c r="AX162" s="1">
        <v>5.0000000000000001E-3</v>
      </c>
      <c r="AY162" s="1">
        <v>8.9999999999999993E-3</v>
      </c>
      <c r="AZ162" s="1">
        <v>1.2999999999999999E-2</v>
      </c>
      <c r="BA162" s="1">
        <v>1.6E-2</v>
      </c>
      <c r="BB162" s="1">
        <v>4.0000000000000001E-3</v>
      </c>
      <c r="BC162" s="1">
        <v>3.0000000000000001E-3</v>
      </c>
      <c r="BD162" s="1">
        <v>2.1999999999999999E-2</v>
      </c>
      <c r="BE162" s="1">
        <v>0.01</v>
      </c>
      <c r="BF162" s="1">
        <v>2E-3</v>
      </c>
      <c r="BG162" s="1">
        <v>3.0000000000000001E-3</v>
      </c>
      <c r="BH162" s="1">
        <v>3.0000000000000001E-3</v>
      </c>
      <c r="BI162" s="1">
        <v>3.0000000000000001E-3</v>
      </c>
      <c r="BJ162" s="1">
        <v>2E-3</v>
      </c>
      <c r="BK162" s="1">
        <v>4.0000000000000001E-3</v>
      </c>
      <c r="BL162" s="1">
        <v>1.4E-2</v>
      </c>
      <c r="BM162" s="1">
        <v>4.0000000000000001E-3</v>
      </c>
      <c r="BN162" s="1">
        <v>0.02</v>
      </c>
      <c r="BO162" s="1">
        <v>3.0000000000000001E-3</v>
      </c>
      <c r="BP162" s="1">
        <v>1E-3</v>
      </c>
      <c r="BQ162" s="1">
        <v>0.29299999999999998</v>
      </c>
      <c r="BR162" s="1">
        <v>5.0000000000000001E-3</v>
      </c>
      <c r="BS162" s="1">
        <v>3.0000000000000001E-3</v>
      </c>
      <c r="BT162" s="1">
        <v>3.0000000000000001E-3</v>
      </c>
      <c r="BU162" s="1">
        <v>3.0000000000000001E-3</v>
      </c>
      <c r="BV162" s="1">
        <v>3.0000000000000001E-3</v>
      </c>
      <c r="BW162" s="1">
        <v>5.0000000000000001E-3</v>
      </c>
      <c r="BX162" s="1">
        <v>1.7999999999999999E-2</v>
      </c>
      <c r="BY162" s="1">
        <v>1.2E-2</v>
      </c>
      <c r="BZ162" s="1">
        <v>4.5999999999999999E-2</v>
      </c>
      <c r="CA162" s="1">
        <v>8.9999999999999993E-3</v>
      </c>
      <c r="CB162" s="1">
        <v>0.02</v>
      </c>
      <c r="CC162" s="1">
        <v>0.105</v>
      </c>
      <c r="CD162" s="1">
        <v>1E-3</v>
      </c>
      <c r="CE162" s="1">
        <v>4.0000000000000001E-3</v>
      </c>
      <c r="CF162" s="1">
        <v>4.0000000000000001E-3</v>
      </c>
      <c r="CG162" s="1">
        <v>1.2E-2</v>
      </c>
      <c r="CH162" s="1">
        <v>1.4999999999999999E-2</v>
      </c>
      <c r="CI162" s="1">
        <v>7.0000000000000001E-3</v>
      </c>
      <c r="CJ162" s="1">
        <v>2.5000000000000001E-2</v>
      </c>
      <c r="CK162" s="1">
        <v>4.2999999999999997E-2</v>
      </c>
      <c r="CL162" s="1">
        <v>3.7999999999999999E-2</v>
      </c>
      <c r="CM162" s="1">
        <v>-61.199009969999999</v>
      </c>
      <c r="CN162" s="83">
        <v>34.238950879999997</v>
      </c>
    </row>
    <row r="163" spans="1:92" s="3" customFormat="1" ht="21" customHeight="1" x14ac:dyDescent="0.25">
      <c r="A163" s="72">
        <v>161</v>
      </c>
      <c r="B163" s="81" t="s">
        <v>1129</v>
      </c>
      <c r="C163" s="1" t="s">
        <v>83</v>
      </c>
      <c r="D163" s="1" t="s">
        <v>79</v>
      </c>
      <c r="E163" s="1" t="s">
        <v>99</v>
      </c>
      <c r="F163" s="1" t="s">
        <v>665</v>
      </c>
      <c r="G163" s="1" t="s">
        <v>204</v>
      </c>
      <c r="H163" s="1" t="s">
        <v>48</v>
      </c>
      <c r="I163" s="1"/>
      <c r="J163" s="9" t="s">
        <v>544</v>
      </c>
      <c r="K163" s="10">
        <v>0.46560499999999999</v>
      </c>
      <c r="L163" s="1" t="s">
        <v>641</v>
      </c>
      <c r="M163" s="1" t="s">
        <v>76</v>
      </c>
      <c r="N163" s="1" t="s">
        <v>644</v>
      </c>
      <c r="O163" s="1" t="s">
        <v>24</v>
      </c>
      <c r="P163" s="82">
        <v>0.47099999999999997</v>
      </c>
      <c r="Q163" s="1" t="s">
        <v>76</v>
      </c>
      <c r="R163" s="81" t="s">
        <v>129</v>
      </c>
      <c r="S163" s="1">
        <v>1</v>
      </c>
      <c r="T163" s="1" t="s">
        <v>120</v>
      </c>
      <c r="U163" s="1" t="s">
        <v>658</v>
      </c>
      <c r="V163" s="1" t="s">
        <v>655</v>
      </c>
      <c r="W163" s="1">
        <v>41</v>
      </c>
      <c r="X163" s="1" t="s">
        <v>76</v>
      </c>
      <c r="Y163" s="1" t="s">
        <v>644</v>
      </c>
      <c r="Z163" s="1">
        <v>1E-3</v>
      </c>
      <c r="AA163" s="1">
        <v>5.0000000000000001E-3</v>
      </c>
      <c r="AB163" s="1">
        <v>5.0000000000000001E-3</v>
      </c>
      <c r="AC163" s="1">
        <v>4.2000000000000003E-2</v>
      </c>
      <c r="AD163" s="1">
        <v>4.0000000000000001E-3</v>
      </c>
      <c r="AE163" s="1">
        <v>3.0000000000000001E-3</v>
      </c>
      <c r="AF163" s="1">
        <v>7.0000000000000001E-3</v>
      </c>
      <c r="AG163" s="1">
        <v>1E-3</v>
      </c>
      <c r="AH163" s="1">
        <v>1.4999999999999999E-2</v>
      </c>
      <c r="AI163" s="1">
        <v>1E-3</v>
      </c>
      <c r="AJ163" s="1">
        <v>2E-3</v>
      </c>
      <c r="AK163" s="1">
        <v>2.1000000000000001E-2</v>
      </c>
      <c r="AL163" s="1">
        <v>1E-3</v>
      </c>
      <c r="AM163" s="1">
        <v>2E-3</v>
      </c>
      <c r="AN163" s="1">
        <v>2E-3</v>
      </c>
      <c r="AO163" s="1">
        <v>0.01</v>
      </c>
      <c r="AP163" s="1">
        <v>3.0000000000000001E-3</v>
      </c>
      <c r="AQ163" s="1">
        <v>3.0000000000000001E-3</v>
      </c>
      <c r="AR163" s="1">
        <v>2E-3</v>
      </c>
      <c r="AS163" s="1">
        <v>0.47099999999999997</v>
      </c>
      <c r="AT163" s="1">
        <v>1.6E-2</v>
      </c>
      <c r="AU163" s="1">
        <v>4.0000000000000001E-3</v>
      </c>
      <c r="AV163" s="1">
        <v>3.0000000000000001E-3</v>
      </c>
      <c r="AW163" s="1">
        <v>0.01</v>
      </c>
      <c r="AX163" s="1">
        <v>4.0000000000000001E-3</v>
      </c>
      <c r="AY163" s="1">
        <v>6.0000000000000001E-3</v>
      </c>
      <c r="AZ163" s="1">
        <v>1.0999999999999999E-2</v>
      </c>
      <c r="BA163" s="1">
        <v>1.7999999999999999E-2</v>
      </c>
      <c r="BB163" s="1">
        <v>3.0000000000000001E-3</v>
      </c>
      <c r="BC163" s="1">
        <v>2E-3</v>
      </c>
      <c r="BD163" s="1">
        <v>2.1999999999999999E-2</v>
      </c>
      <c r="BE163" s="1">
        <v>6.0000000000000001E-3</v>
      </c>
      <c r="BF163" s="1">
        <v>2E-3</v>
      </c>
      <c r="BG163" s="1">
        <v>4.0000000000000001E-3</v>
      </c>
      <c r="BH163" s="1">
        <v>3.0000000000000001E-3</v>
      </c>
      <c r="BI163" s="1">
        <v>4.0000000000000001E-3</v>
      </c>
      <c r="BJ163" s="1">
        <v>1E-3</v>
      </c>
      <c r="BK163" s="1">
        <v>2E-3</v>
      </c>
      <c r="BL163" s="1">
        <v>1.2E-2</v>
      </c>
      <c r="BM163" s="1">
        <v>4.0000000000000001E-3</v>
      </c>
      <c r="BN163" s="1">
        <v>1.7000000000000001E-2</v>
      </c>
      <c r="BO163" s="1">
        <v>2E-3</v>
      </c>
      <c r="BP163" s="1">
        <v>1E-3</v>
      </c>
      <c r="BQ163" s="1">
        <v>1.2999999999999999E-2</v>
      </c>
      <c r="BR163" s="1">
        <v>4.0000000000000001E-3</v>
      </c>
      <c r="BS163" s="1">
        <v>2E-3</v>
      </c>
      <c r="BT163" s="1">
        <v>3.0000000000000001E-3</v>
      </c>
      <c r="BU163" s="1">
        <v>2E-3</v>
      </c>
      <c r="BV163" s="1">
        <v>3.0000000000000001E-3</v>
      </c>
      <c r="BW163" s="1">
        <v>7.0000000000000001E-3</v>
      </c>
      <c r="BX163" s="1">
        <v>1.0999999999999999E-2</v>
      </c>
      <c r="BY163" s="1">
        <v>1.2999999999999999E-2</v>
      </c>
      <c r="BZ163" s="1">
        <v>8.0000000000000002E-3</v>
      </c>
      <c r="CA163" s="1">
        <v>4.0000000000000001E-3</v>
      </c>
      <c r="CB163" s="1">
        <v>2E-3</v>
      </c>
      <c r="CC163" s="1">
        <v>8.9999999999999993E-3</v>
      </c>
      <c r="CD163" s="1">
        <v>0</v>
      </c>
      <c r="CE163" s="1">
        <v>3.0000000000000001E-3</v>
      </c>
      <c r="CF163" s="1">
        <v>4.0000000000000001E-3</v>
      </c>
      <c r="CG163" s="1">
        <v>7.0000000000000001E-3</v>
      </c>
      <c r="CH163" s="1">
        <v>4.3999999999999997E-2</v>
      </c>
      <c r="CI163" s="1">
        <v>1.2E-2</v>
      </c>
      <c r="CJ163" s="1">
        <v>2.7E-2</v>
      </c>
      <c r="CK163" s="1">
        <v>4.9000000000000002E-2</v>
      </c>
      <c r="CL163" s="1">
        <v>1.7000000000000001E-2</v>
      </c>
      <c r="CM163" s="1">
        <v>53.0706481</v>
      </c>
      <c r="CN163" s="83">
        <v>-86.153298860000007</v>
      </c>
    </row>
    <row r="164" spans="1:92" s="3" customFormat="1" x14ac:dyDescent="0.25">
      <c r="A164" s="72">
        <v>162</v>
      </c>
      <c r="B164" s="81" t="s">
        <v>844</v>
      </c>
      <c r="C164" s="1" t="s">
        <v>83</v>
      </c>
      <c r="D164" s="1" t="s">
        <v>79</v>
      </c>
      <c r="E164" s="1" t="s">
        <v>99</v>
      </c>
      <c r="F164" s="1" t="s">
        <v>205</v>
      </c>
      <c r="G164" s="1" t="s">
        <v>206</v>
      </c>
      <c r="H164" s="1" t="s">
        <v>67</v>
      </c>
      <c r="I164" s="1"/>
      <c r="J164" s="9" t="s">
        <v>544</v>
      </c>
      <c r="K164" s="10">
        <v>0.52677100000000099</v>
      </c>
      <c r="L164" s="1" t="s">
        <v>76</v>
      </c>
      <c r="M164" s="1" t="s">
        <v>506</v>
      </c>
      <c r="N164" s="1" t="s">
        <v>645</v>
      </c>
      <c r="O164" s="1" t="s">
        <v>67</v>
      </c>
      <c r="P164" s="82">
        <v>0.998</v>
      </c>
      <c r="Q164" s="1" t="s">
        <v>76</v>
      </c>
      <c r="R164" s="81" t="s">
        <v>194</v>
      </c>
      <c r="S164" s="1">
        <v>2</v>
      </c>
      <c r="T164" s="1" t="s">
        <v>120</v>
      </c>
      <c r="U164" s="1" t="s">
        <v>658</v>
      </c>
      <c r="V164" s="1" t="s">
        <v>655</v>
      </c>
      <c r="W164" s="1">
        <v>66</v>
      </c>
      <c r="X164" s="1" t="s">
        <v>207</v>
      </c>
      <c r="Y164" s="1" t="s">
        <v>645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0.998</v>
      </c>
      <c r="CK164" s="1">
        <v>0</v>
      </c>
      <c r="CL164" s="1">
        <v>0</v>
      </c>
      <c r="CM164" s="1">
        <v>-58.865163690000003</v>
      </c>
      <c r="CN164" s="83">
        <v>22.16098199</v>
      </c>
    </row>
    <row r="165" spans="1:92" s="3" customFormat="1" x14ac:dyDescent="0.25">
      <c r="A165" s="72">
        <v>163</v>
      </c>
      <c r="B165" s="81" t="s">
        <v>838</v>
      </c>
      <c r="C165" s="1" t="s">
        <v>83</v>
      </c>
      <c r="D165" s="1" t="s">
        <v>79</v>
      </c>
      <c r="E165" s="1" t="s">
        <v>74</v>
      </c>
      <c r="F165" s="1" t="s">
        <v>208</v>
      </c>
      <c r="G165" s="1" t="s">
        <v>80</v>
      </c>
      <c r="H165" s="1" t="s">
        <v>29</v>
      </c>
      <c r="I165" s="1"/>
      <c r="J165" s="9" t="s">
        <v>544</v>
      </c>
      <c r="K165" s="10">
        <v>0.38831450000000001</v>
      </c>
      <c r="L165" s="1" t="s">
        <v>76</v>
      </c>
      <c r="M165" s="1" t="s">
        <v>506</v>
      </c>
      <c r="N165" s="1" t="s">
        <v>645</v>
      </c>
      <c r="O165" s="1" t="s">
        <v>29</v>
      </c>
      <c r="P165" s="82">
        <v>0.999</v>
      </c>
      <c r="Q165" s="1" t="s">
        <v>76</v>
      </c>
      <c r="R165" s="81" t="s">
        <v>194</v>
      </c>
      <c r="S165" s="1">
        <v>3</v>
      </c>
      <c r="T165" s="1" t="s">
        <v>120</v>
      </c>
      <c r="U165" s="1" t="s">
        <v>660</v>
      </c>
      <c r="V165" s="1" t="s">
        <v>655</v>
      </c>
      <c r="W165" s="1">
        <v>20</v>
      </c>
      <c r="X165" s="1" t="s">
        <v>76</v>
      </c>
      <c r="Y165" s="1" t="s">
        <v>645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0.999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14.514945559999999</v>
      </c>
      <c r="CN165" s="83">
        <v>-23.7885639</v>
      </c>
    </row>
    <row r="166" spans="1:92" s="3" customFormat="1" x14ac:dyDescent="0.25">
      <c r="A166" s="72">
        <v>164</v>
      </c>
      <c r="B166" s="81" t="s">
        <v>1131</v>
      </c>
      <c r="C166" s="1" t="s">
        <v>83</v>
      </c>
      <c r="D166" s="1" t="s">
        <v>79</v>
      </c>
      <c r="E166" s="1" t="s">
        <v>99</v>
      </c>
      <c r="F166" s="1" t="s">
        <v>196</v>
      </c>
      <c r="G166" s="1" t="s">
        <v>76</v>
      </c>
      <c r="H166" s="1" t="s">
        <v>51</v>
      </c>
      <c r="I166" s="1"/>
      <c r="J166" s="9" t="s">
        <v>544</v>
      </c>
      <c r="K166" s="10">
        <v>0.36289516666666599</v>
      </c>
      <c r="L166" s="1" t="s">
        <v>641</v>
      </c>
      <c r="M166" s="1" t="s">
        <v>76</v>
      </c>
      <c r="N166" s="1" t="s">
        <v>644</v>
      </c>
      <c r="O166" s="1" t="s">
        <v>66</v>
      </c>
      <c r="P166" s="82">
        <v>0.159</v>
      </c>
      <c r="Q166" s="1" t="s">
        <v>76</v>
      </c>
      <c r="R166" s="81" t="s">
        <v>191</v>
      </c>
      <c r="S166" s="1" t="s">
        <v>103</v>
      </c>
      <c r="T166" s="1" t="s">
        <v>120</v>
      </c>
      <c r="U166" s="1" t="s">
        <v>658</v>
      </c>
      <c r="V166" s="1" t="s">
        <v>655</v>
      </c>
      <c r="W166" s="1">
        <v>33</v>
      </c>
      <c r="X166" s="1" t="s">
        <v>76</v>
      </c>
      <c r="Y166" s="1" t="s">
        <v>644</v>
      </c>
      <c r="Z166" s="1">
        <v>7.0000000000000001E-3</v>
      </c>
      <c r="AA166" s="1">
        <v>5.0000000000000001E-3</v>
      </c>
      <c r="AB166" s="1">
        <v>6.0000000000000001E-3</v>
      </c>
      <c r="AC166" s="1">
        <v>6.7000000000000004E-2</v>
      </c>
      <c r="AD166" s="1">
        <v>8.9999999999999993E-3</v>
      </c>
      <c r="AE166" s="1">
        <v>6.0000000000000001E-3</v>
      </c>
      <c r="AF166" s="1">
        <v>4.2999999999999997E-2</v>
      </c>
      <c r="AG166" s="1">
        <v>1E-3</v>
      </c>
      <c r="AH166" s="1">
        <v>1.9E-2</v>
      </c>
      <c r="AI166" s="1">
        <v>6.0000000000000001E-3</v>
      </c>
      <c r="AJ166" s="1">
        <v>3.0000000000000001E-3</v>
      </c>
      <c r="AK166" s="1">
        <v>1.6E-2</v>
      </c>
      <c r="AL166" s="1">
        <v>1E-3</v>
      </c>
      <c r="AM166" s="1">
        <v>4.0000000000000001E-3</v>
      </c>
      <c r="AN166" s="1">
        <v>2.5999999999999999E-2</v>
      </c>
      <c r="AO166" s="1">
        <v>5.0000000000000001E-3</v>
      </c>
      <c r="AP166" s="1">
        <v>4.0000000000000001E-3</v>
      </c>
      <c r="AQ166" s="1">
        <v>3.0000000000000001E-3</v>
      </c>
      <c r="AR166" s="1">
        <v>3.0000000000000001E-3</v>
      </c>
      <c r="AS166" s="1">
        <v>2.3E-2</v>
      </c>
      <c r="AT166" s="1">
        <v>8.9999999999999993E-3</v>
      </c>
      <c r="AU166" s="1">
        <v>5.0000000000000001E-3</v>
      </c>
      <c r="AV166" s="1">
        <v>5.0000000000000001E-3</v>
      </c>
      <c r="AW166" s="1">
        <v>5.0000000000000001E-3</v>
      </c>
      <c r="AX166" s="1">
        <v>4.0000000000000001E-3</v>
      </c>
      <c r="AY166" s="1">
        <v>8.0000000000000002E-3</v>
      </c>
      <c r="AZ166" s="1">
        <v>1.4999999999999999E-2</v>
      </c>
      <c r="BA166" s="1">
        <v>2.5999999999999999E-2</v>
      </c>
      <c r="BB166" s="1">
        <v>4.0000000000000001E-3</v>
      </c>
      <c r="BC166" s="1">
        <v>3.0000000000000001E-3</v>
      </c>
      <c r="BD166" s="1">
        <v>2.7E-2</v>
      </c>
      <c r="BE166" s="1">
        <v>8.9999999999999993E-3</v>
      </c>
      <c r="BF166" s="1">
        <v>5.8000000000000003E-2</v>
      </c>
      <c r="BG166" s="1">
        <v>2E-3</v>
      </c>
      <c r="BH166" s="1">
        <v>0.01</v>
      </c>
      <c r="BI166" s="1">
        <v>3.0000000000000001E-3</v>
      </c>
      <c r="BJ166" s="1">
        <v>3.0000000000000001E-3</v>
      </c>
      <c r="BK166" s="1">
        <v>3.0000000000000001E-3</v>
      </c>
      <c r="BL166" s="1">
        <v>8.0000000000000002E-3</v>
      </c>
      <c r="BM166" s="1">
        <v>8.0000000000000002E-3</v>
      </c>
      <c r="BN166" s="1">
        <v>1.4E-2</v>
      </c>
      <c r="BO166" s="1">
        <v>3.0000000000000001E-3</v>
      </c>
      <c r="BP166" s="1">
        <v>2E-3</v>
      </c>
      <c r="BQ166" s="1">
        <v>1.4999999999999999E-2</v>
      </c>
      <c r="BR166" s="1">
        <v>6.0000000000000001E-3</v>
      </c>
      <c r="BS166" s="1">
        <v>4.0000000000000001E-3</v>
      </c>
      <c r="BT166" s="1">
        <v>3.7999999999999999E-2</v>
      </c>
      <c r="BU166" s="1">
        <v>4.4999999999999998E-2</v>
      </c>
      <c r="BV166" s="1">
        <v>3.0000000000000001E-3</v>
      </c>
      <c r="BW166" s="1">
        <v>5.0000000000000001E-3</v>
      </c>
      <c r="BX166" s="1">
        <v>0.02</v>
      </c>
      <c r="BY166" s="1">
        <v>1.4E-2</v>
      </c>
      <c r="BZ166" s="1">
        <v>1.4E-2</v>
      </c>
      <c r="CA166" s="1">
        <v>7.0000000000000001E-3</v>
      </c>
      <c r="CB166" s="1">
        <v>0.01</v>
      </c>
      <c r="CC166" s="1">
        <v>8.0000000000000002E-3</v>
      </c>
      <c r="CD166" s="1">
        <v>1E-3</v>
      </c>
      <c r="CE166" s="1">
        <v>5.0000000000000001E-3</v>
      </c>
      <c r="CF166" s="1">
        <v>5.0000000000000001E-3</v>
      </c>
      <c r="CG166" s="1">
        <v>8.0000000000000002E-3</v>
      </c>
      <c r="CH166" s="1">
        <v>8.9999999999999993E-3</v>
      </c>
      <c r="CI166" s="1">
        <v>0.159</v>
      </c>
      <c r="CJ166" s="1">
        <v>1.4999999999999999E-2</v>
      </c>
      <c r="CK166" s="1">
        <v>5.1999999999999998E-2</v>
      </c>
      <c r="CL166" s="1">
        <v>7.0000000000000007E-2</v>
      </c>
      <c r="CM166" s="1">
        <v>-28.462606569999998</v>
      </c>
      <c r="CN166" s="83">
        <v>-46.166676819999999</v>
      </c>
    </row>
    <row r="167" spans="1:92" s="3" customFormat="1" x14ac:dyDescent="0.25">
      <c r="A167" s="72">
        <v>165</v>
      </c>
      <c r="B167" s="81" t="s">
        <v>921</v>
      </c>
      <c r="C167" s="1" t="s">
        <v>83</v>
      </c>
      <c r="D167" s="1" t="s">
        <v>79</v>
      </c>
      <c r="E167" s="1" t="s">
        <v>99</v>
      </c>
      <c r="F167" s="1" t="s">
        <v>84</v>
      </c>
      <c r="G167" s="1" t="s">
        <v>209</v>
      </c>
      <c r="H167" s="1" t="s">
        <v>538</v>
      </c>
      <c r="I167" s="1"/>
      <c r="J167" s="9" t="s">
        <v>544</v>
      </c>
      <c r="K167" s="10">
        <v>0.62785533333333299</v>
      </c>
      <c r="L167" s="1" t="s">
        <v>76</v>
      </c>
      <c r="M167" s="1" t="s">
        <v>506</v>
      </c>
      <c r="N167" s="1" t="s">
        <v>645</v>
      </c>
      <c r="O167" s="1" t="s">
        <v>20</v>
      </c>
      <c r="P167" s="82">
        <v>1</v>
      </c>
      <c r="Q167" s="1" t="s">
        <v>76</v>
      </c>
      <c r="R167" s="81" t="s">
        <v>210</v>
      </c>
      <c r="S167" s="1">
        <v>3</v>
      </c>
      <c r="T167" s="1" t="s">
        <v>78</v>
      </c>
      <c r="U167" s="1" t="s">
        <v>658</v>
      </c>
      <c r="V167" s="1" t="s">
        <v>655</v>
      </c>
      <c r="W167" s="1">
        <v>20</v>
      </c>
      <c r="X167" s="1" t="s">
        <v>434</v>
      </c>
      <c r="Y167" s="1" t="s">
        <v>645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-37.889514390000002</v>
      </c>
      <c r="CN167" s="83">
        <v>23.72938577</v>
      </c>
    </row>
    <row r="168" spans="1:92" s="3" customFormat="1" x14ac:dyDescent="0.25">
      <c r="A168" s="72">
        <v>166</v>
      </c>
      <c r="B168" s="81" t="s">
        <v>1009</v>
      </c>
      <c r="C168" s="1" t="s">
        <v>83</v>
      </c>
      <c r="D168" s="1" t="s">
        <v>79</v>
      </c>
      <c r="E168" s="1" t="s">
        <v>195</v>
      </c>
      <c r="F168" s="1" t="s">
        <v>665</v>
      </c>
      <c r="G168" s="1" t="s">
        <v>76</v>
      </c>
      <c r="H168" s="1" t="s">
        <v>48</v>
      </c>
      <c r="I168" s="1" t="s">
        <v>211</v>
      </c>
      <c r="J168" s="9" t="s">
        <v>544</v>
      </c>
      <c r="K168" s="10">
        <v>0.64078666666666595</v>
      </c>
      <c r="L168" s="1" t="s">
        <v>606</v>
      </c>
      <c r="M168" s="1" t="s">
        <v>544</v>
      </c>
      <c r="N168" s="1" t="s">
        <v>646</v>
      </c>
      <c r="O168" s="1" t="s">
        <v>48</v>
      </c>
      <c r="P168" s="82">
        <v>0.99399999999999999</v>
      </c>
      <c r="Q168" s="1" t="s">
        <v>76</v>
      </c>
      <c r="R168" s="81" t="s">
        <v>193</v>
      </c>
      <c r="S168" s="1">
        <v>3</v>
      </c>
      <c r="T168" s="1" t="s">
        <v>120</v>
      </c>
      <c r="U168" s="1" t="s">
        <v>658</v>
      </c>
      <c r="V168" s="1" t="s">
        <v>655</v>
      </c>
      <c r="W168" s="1">
        <v>59</v>
      </c>
      <c r="X168" s="1" t="s">
        <v>76</v>
      </c>
      <c r="Y168" s="1" t="s">
        <v>646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4.0000000000000001E-3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0.99399999999999999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-66.625814680000005</v>
      </c>
      <c r="CN168" s="83">
        <v>48.429435869999999</v>
      </c>
    </row>
    <row r="169" spans="1:92" s="3" customFormat="1" x14ac:dyDescent="0.25">
      <c r="A169" s="72">
        <v>167</v>
      </c>
      <c r="B169" s="81" t="s">
        <v>835</v>
      </c>
      <c r="C169" s="1" t="s">
        <v>83</v>
      </c>
      <c r="D169" s="1" t="s">
        <v>79</v>
      </c>
      <c r="E169" s="1" t="s">
        <v>195</v>
      </c>
      <c r="F169" s="1" t="s">
        <v>140</v>
      </c>
      <c r="G169" s="1" t="s">
        <v>76</v>
      </c>
      <c r="H169" s="1" t="s">
        <v>43</v>
      </c>
      <c r="I169" s="1"/>
      <c r="J169" s="9" t="s">
        <v>544</v>
      </c>
      <c r="K169" s="10">
        <v>0.48776066666666701</v>
      </c>
      <c r="L169" s="1" t="s">
        <v>76</v>
      </c>
      <c r="M169" s="1" t="s">
        <v>506</v>
      </c>
      <c r="N169" s="1" t="s">
        <v>645</v>
      </c>
      <c r="O169" s="1" t="s">
        <v>43</v>
      </c>
      <c r="P169" s="82">
        <v>0.99099999999999999</v>
      </c>
      <c r="Q169" s="1" t="s">
        <v>76</v>
      </c>
      <c r="R169" s="81" t="s">
        <v>193</v>
      </c>
      <c r="S169" s="1">
        <v>1</v>
      </c>
      <c r="T169" s="1" t="s">
        <v>120</v>
      </c>
      <c r="U169" s="1" t="s">
        <v>658</v>
      </c>
      <c r="V169" s="1" t="s">
        <v>655</v>
      </c>
      <c r="W169" s="1">
        <v>39</v>
      </c>
      <c r="X169" s="1" t="s">
        <v>76</v>
      </c>
      <c r="Y169" s="1" t="s">
        <v>645</v>
      </c>
      <c r="Z169" s="1">
        <v>0</v>
      </c>
      <c r="AA169" s="1">
        <v>0</v>
      </c>
      <c r="AB169" s="1">
        <v>1E-3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1E-3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0.99099999999999999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1E-3</v>
      </c>
      <c r="CM169" s="1">
        <v>-68.471210810000002</v>
      </c>
      <c r="CN169" s="83">
        <v>-12.858035620000001</v>
      </c>
    </row>
    <row r="170" spans="1:92" s="3" customFormat="1" x14ac:dyDescent="0.25">
      <c r="A170" s="72">
        <v>168</v>
      </c>
      <c r="B170" s="81" t="s">
        <v>1434</v>
      </c>
      <c r="C170" s="1" t="s">
        <v>83</v>
      </c>
      <c r="D170" s="1" t="s">
        <v>79</v>
      </c>
      <c r="E170" s="1" t="s">
        <v>99</v>
      </c>
      <c r="F170" s="1" t="s">
        <v>665</v>
      </c>
      <c r="G170" s="1" t="s">
        <v>213</v>
      </c>
      <c r="H170" s="1" t="s">
        <v>48</v>
      </c>
      <c r="I170" s="1"/>
      <c r="J170" s="9" t="s">
        <v>544</v>
      </c>
      <c r="K170" s="10">
        <v>0.60746516666666694</v>
      </c>
      <c r="L170" s="1" t="s">
        <v>76</v>
      </c>
      <c r="M170" s="1" t="s">
        <v>506</v>
      </c>
      <c r="N170" s="1" t="s">
        <v>645</v>
      </c>
      <c r="O170" s="1" t="s">
        <v>48</v>
      </c>
      <c r="P170" s="82">
        <v>0.999</v>
      </c>
      <c r="Q170" s="1" t="s">
        <v>76</v>
      </c>
      <c r="R170" s="81" t="s">
        <v>193</v>
      </c>
      <c r="S170" s="1">
        <v>3</v>
      </c>
      <c r="T170" s="1" t="s">
        <v>120</v>
      </c>
      <c r="U170" s="1" t="s">
        <v>658</v>
      </c>
      <c r="V170" s="1" t="s">
        <v>655</v>
      </c>
      <c r="W170" s="1">
        <v>83</v>
      </c>
      <c r="X170" s="1" t="s">
        <v>76</v>
      </c>
      <c r="Y170" s="1" t="s">
        <v>645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0.999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-58.279282520000002</v>
      </c>
      <c r="CN170" s="83">
        <v>51.208458489999998</v>
      </c>
    </row>
    <row r="171" spans="1:92" s="3" customFormat="1" x14ac:dyDescent="0.25">
      <c r="A171" s="72">
        <v>169</v>
      </c>
      <c r="B171" s="81" t="s">
        <v>900</v>
      </c>
      <c r="C171" s="1" t="s">
        <v>83</v>
      </c>
      <c r="D171" s="1" t="s">
        <v>79</v>
      </c>
      <c r="E171" s="1" t="s">
        <v>74</v>
      </c>
      <c r="F171" s="1" t="s">
        <v>205</v>
      </c>
      <c r="G171" s="1" t="s">
        <v>206</v>
      </c>
      <c r="H171" s="1" t="s">
        <v>67</v>
      </c>
      <c r="I171" s="1"/>
      <c r="J171" s="9" t="s">
        <v>544</v>
      </c>
      <c r="K171" s="10">
        <v>0.57067533333333298</v>
      </c>
      <c r="L171" s="1" t="s">
        <v>76</v>
      </c>
      <c r="M171" s="1" t="s">
        <v>506</v>
      </c>
      <c r="N171" s="1" t="s">
        <v>645</v>
      </c>
      <c r="O171" s="1" t="s">
        <v>67</v>
      </c>
      <c r="P171" s="82">
        <v>0.99299999999999999</v>
      </c>
      <c r="Q171" s="1" t="s">
        <v>76</v>
      </c>
      <c r="R171" s="81" t="s">
        <v>129</v>
      </c>
      <c r="S171" s="1">
        <v>3</v>
      </c>
      <c r="T171" s="1" t="s">
        <v>120</v>
      </c>
      <c r="U171" s="1" t="s">
        <v>658</v>
      </c>
      <c r="V171" s="1" t="s">
        <v>655</v>
      </c>
      <c r="W171" s="1">
        <v>30</v>
      </c>
      <c r="X171" s="1" t="s">
        <v>207</v>
      </c>
      <c r="Y171" s="1" t="s">
        <v>645</v>
      </c>
      <c r="Z171" s="1">
        <v>0</v>
      </c>
      <c r="AA171" s="1">
        <v>0</v>
      </c>
      <c r="AB171" s="1">
        <v>0</v>
      </c>
      <c r="AC171" s="1">
        <v>1E-3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0.99299999999999999</v>
      </c>
      <c r="CK171" s="1">
        <v>0</v>
      </c>
      <c r="CL171" s="1">
        <v>0</v>
      </c>
      <c r="CM171" s="1">
        <v>-59.727044499999998</v>
      </c>
      <c r="CN171" s="83">
        <v>21.905352789999998</v>
      </c>
    </row>
    <row r="172" spans="1:92" s="3" customFormat="1" x14ac:dyDescent="0.25">
      <c r="A172" s="72">
        <v>170</v>
      </c>
      <c r="B172" s="1" t="s">
        <v>1067</v>
      </c>
      <c r="C172" s="1" t="s">
        <v>83</v>
      </c>
      <c r="D172" s="1" t="s">
        <v>79</v>
      </c>
      <c r="E172" s="1" t="s">
        <v>74</v>
      </c>
      <c r="F172" s="1" t="s">
        <v>196</v>
      </c>
      <c r="G172" s="1" t="s">
        <v>76</v>
      </c>
      <c r="H172" s="1" t="s">
        <v>51</v>
      </c>
      <c r="I172" s="1"/>
      <c r="J172" s="9" t="s">
        <v>544</v>
      </c>
      <c r="K172" s="10">
        <v>0.35154866666666701</v>
      </c>
      <c r="L172" s="1" t="s">
        <v>641</v>
      </c>
      <c r="M172" s="1" t="s">
        <v>76</v>
      </c>
      <c r="N172" s="1" t="s">
        <v>644</v>
      </c>
      <c r="O172" s="1" t="s">
        <v>66</v>
      </c>
      <c r="P172" s="82">
        <v>0.26500000000000001</v>
      </c>
      <c r="Q172" s="1" t="s">
        <v>76</v>
      </c>
      <c r="R172" s="81" t="s">
        <v>214</v>
      </c>
      <c r="S172" s="1" t="s">
        <v>76</v>
      </c>
      <c r="T172" s="1" t="s">
        <v>120</v>
      </c>
      <c r="U172" s="1" t="s">
        <v>658</v>
      </c>
      <c r="V172" s="1" t="s">
        <v>655</v>
      </c>
      <c r="W172" s="1">
        <v>72</v>
      </c>
      <c r="X172" s="1" t="s">
        <v>76</v>
      </c>
      <c r="Y172" s="1" t="s">
        <v>644</v>
      </c>
      <c r="Z172" s="1">
        <v>5.0000000000000001E-3</v>
      </c>
      <c r="AA172" s="1">
        <v>5.0000000000000001E-3</v>
      </c>
      <c r="AB172" s="1">
        <v>6.0000000000000001E-3</v>
      </c>
      <c r="AC172" s="1">
        <v>5.2999999999999999E-2</v>
      </c>
      <c r="AD172" s="1">
        <v>7.0000000000000001E-3</v>
      </c>
      <c r="AE172" s="1">
        <v>5.0000000000000001E-3</v>
      </c>
      <c r="AF172" s="1">
        <v>0.04</v>
      </c>
      <c r="AG172" s="1">
        <v>1E-3</v>
      </c>
      <c r="AH172" s="1">
        <v>1.7000000000000001E-2</v>
      </c>
      <c r="AI172" s="1">
        <v>5.0000000000000001E-3</v>
      </c>
      <c r="AJ172" s="1">
        <v>3.0000000000000001E-3</v>
      </c>
      <c r="AK172" s="1">
        <v>1.6E-2</v>
      </c>
      <c r="AL172" s="1">
        <v>1E-3</v>
      </c>
      <c r="AM172" s="1">
        <v>3.0000000000000001E-3</v>
      </c>
      <c r="AN172" s="1">
        <v>2.8000000000000001E-2</v>
      </c>
      <c r="AO172" s="1">
        <v>5.0000000000000001E-3</v>
      </c>
      <c r="AP172" s="1">
        <v>4.0000000000000001E-3</v>
      </c>
      <c r="AQ172" s="1">
        <v>3.0000000000000001E-3</v>
      </c>
      <c r="AR172" s="1">
        <v>2E-3</v>
      </c>
      <c r="AS172" s="1">
        <v>0.02</v>
      </c>
      <c r="AT172" s="1">
        <v>8.0000000000000002E-3</v>
      </c>
      <c r="AU172" s="1">
        <v>4.0000000000000001E-3</v>
      </c>
      <c r="AV172" s="1">
        <v>4.0000000000000001E-3</v>
      </c>
      <c r="AW172" s="1">
        <v>5.0000000000000001E-3</v>
      </c>
      <c r="AX172" s="1">
        <v>3.0000000000000001E-3</v>
      </c>
      <c r="AY172" s="1">
        <v>7.0000000000000001E-3</v>
      </c>
      <c r="AZ172" s="1">
        <v>1.0999999999999999E-2</v>
      </c>
      <c r="BA172" s="1">
        <v>2.1999999999999999E-2</v>
      </c>
      <c r="BB172" s="1">
        <v>3.0000000000000001E-3</v>
      </c>
      <c r="BC172" s="1">
        <v>3.0000000000000001E-3</v>
      </c>
      <c r="BD172" s="1">
        <v>2.4E-2</v>
      </c>
      <c r="BE172" s="1">
        <v>6.0000000000000001E-3</v>
      </c>
      <c r="BF172" s="1">
        <v>6.5000000000000002E-2</v>
      </c>
      <c r="BG172" s="1">
        <v>2E-3</v>
      </c>
      <c r="BH172" s="1">
        <v>1.2E-2</v>
      </c>
      <c r="BI172" s="1">
        <v>3.0000000000000001E-3</v>
      </c>
      <c r="BJ172" s="1">
        <v>2E-3</v>
      </c>
      <c r="BK172" s="1">
        <v>2E-3</v>
      </c>
      <c r="BL172" s="1">
        <v>8.0000000000000002E-3</v>
      </c>
      <c r="BM172" s="1">
        <v>8.0000000000000002E-3</v>
      </c>
      <c r="BN172" s="1">
        <v>1.0999999999999999E-2</v>
      </c>
      <c r="BO172" s="1">
        <v>2E-3</v>
      </c>
      <c r="BP172" s="1">
        <v>1E-3</v>
      </c>
      <c r="BQ172" s="1">
        <v>1.2999999999999999E-2</v>
      </c>
      <c r="BR172" s="1">
        <v>5.0000000000000001E-3</v>
      </c>
      <c r="BS172" s="1">
        <v>3.0000000000000001E-3</v>
      </c>
      <c r="BT172" s="1">
        <v>4.8000000000000001E-2</v>
      </c>
      <c r="BU172" s="1">
        <v>3.3000000000000002E-2</v>
      </c>
      <c r="BV172" s="1">
        <v>3.0000000000000001E-3</v>
      </c>
      <c r="BW172" s="1">
        <v>5.0000000000000001E-3</v>
      </c>
      <c r="BX172" s="1">
        <v>0.02</v>
      </c>
      <c r="BY172" s="1">
        <v>1.2999999999999999E-2</v>
      </c>
      <c r="BZ172" s="1">
        <v>0.01</v>
      </c>
      <c r="CA172" s="1">
        <v>5.0000000000000001E-3</v>
      </c>
      <c r="CB172" s="1">
        <v>5.0000000000000001E-3</v>
      </c>
      <c r="CC172" s="1">
        <v>6.0000000000000001E-3</v>
      </c>
      <c r="CD172" s="1">
        <v>1E-3</v>
      </c>
      <c r="CE172" s="1">
        <v>4.0000000000000001E-3</v>
      </c>
      <c r="CF172" s="1">
        <v>4.0000000000000001E-3</v>
      </c>
      <c r="CG172" s="1">
        <v>7.0000000000000001E-3</v>
      </c>
      <c r="CH172" s="1">
        <v>8.9999999999999993E-3</v>
      </c>
      <c r="CI172" s="1">
        <v>0.26500000000000001</v>
      </c>
      <c r="CJ172" s="1">
        <v>1.4E-2</v>
      </c>
      <c r="CK172" s="1">
        <v>4.2000000000000003E-2</v>
      </c>
      <c r="CL172" s="1">
        <v>4.2000000000000003E-2</v>
      </c>
      <c r="CM172" s="1">
        <v>-25.243605949999999</v>
      </c>
      <c r="CN172" s="83">
        <v>-46.552899709999998</v>
      </c>
    </row>
    <row r="173" spans="1:92" s="3" customFormat="1" x14ac:dyDescent="0.25">
      <c r="A173" s="72">
        <v>171</v>
      </c>
      <c r="B173" s="81" t="s">
        <v>1206</v>
      </c>
      <c r="C173" s="1" t="s">
        <v>83</v>
      </c>
      <c r="D173" s="1" t="s">
        <v>79</v>
      </c>
      <c r="E173" s="1" t="s">
        <v>74</v>
      </c>
      <c r="F173" s="1" t="s">
        <v>665</v>
      </c>
      <c r="G173" s="1" t="s">
        <v>200</v>
      </c>
      <c r="H173" s="1" t="s">
        <v>48</v>
      </c>
      <c r="I173" s="1"/>
      <c r="J173" s="9" t="s">
        <v>544</v>
      </c>
      <c r="K173" s="10">
        <v>0.58037299999999903</v>
      </c>
      <c r="L173" s="1" t="s">
        <v>641</v>
      </c>
      <c r="M173" s="1" t="s">
        <v>76</v>
      </c>
      <c r="N173" s="1" t="s">
        <v>644</v>
      </c>
      <c r="O173" s="1" t="s">
        <v>55</v>
      </c>
      <c r="P173" s="82">
        <v>0.63400000000000001</v>
      </c>
      <c r="Q173" s="1" t="s">
        <v>76</v>
      </c>
      <c r="R173" s="81" t="s">
        <v>124</v>
      </c>
      <c r="S173" s="1">
        <v>3</v>
      </c>
      <c r="T173" s="1" t="s">
        <v>120</v>
      </c>
      <c r="U173" s="1" t="s">
        <v>658</v>
      </c>
      <c r="V173" s="1" t="s">
        <v>655</v>
      </c>
      <c r="W173" s="1">
        <v>47</v>
      </c>
      <c r="X173" s="1" t="s">
        <v>76</v>
      </c>
      <c r="Y173" s="1" t="s">
        <v>644</v>
      </c>
      <c r="Z173" s="1">
        <v>1E-3</v>
      </c>
      <c r="AA173" s="1">
        <v>1E-3</v>
      </c>
      <c r="AB173" s="1">
        <v>1E-3</v>
      </c>
      <c r="AC173" s="1">
        <v>7.0000000000000001E-3</v>
      </c>
      <c r="AD173" s="1">
        <v>3.0000000000000001E-3</v>
      </c>
      <c r="AE173" s="1">
        <v>1E-3</v>
      </c>
      <c r="AF173" s="1">
        <v>1E-3</v>
      </c>
      <c r="AG173" s="1">
        <v>0</v>
      </c>
      <c r="AH173" s="1">
        <v>2E-3</v>
      </c>
      <c r="AI173" s="1">
        <v>0</v>
      </c>
      <c r="AJ173" s="1">
        <v>1E-3</v>
      </c>
      <c r="AK173" s="1">
        <v>3.0000000000000001E-3</v>
      </c>
      <c r="AL173" s="1">
        <v>0</v>
      </c>
      <c r="AM173" s="1">
        <v>0</v>
      </c>
      <c r="AN173" s="1">
        <v>1E-3</v>
      </c>
      <c r="AO173" s="1">
        <v>1E-3</v>
      </c>
      <c r="AP173" s="1">
        <v>1E-3</v>
      </c>
      <c r="AQ173" s="1">
        <v>1E-3</v>
      </c>
      <c r="AR173" s="1">
        <v>1E-3</v>
      </c>
      <c r="AS173" s="1">
        <v>5.0000000000000001E-3</v>
      </c>
      <c r="AT173" s="1">
        <v>2E-3</v>
      </c>
      <c r="AU173" s="1">
        <v>1E-3</v>
      </c>
      <c r="AV173" s="1">
        <v>1E-3</v>
      </c>
      <c r="AW173" s="1">
        <v>1E-3</v>
      </c>
      <c r="AX173" s="1">
        <v>1E-3</v>
      </c>
      <c r="AY173" s="1">
        <v>1E-3</v>
      </c>
      <c r="AZ173" s="1">
        <v>2E-3</v>
      </c>
      <c r="BA173" s="1">
        <v>3.0000000000000001E-3</v>
      </c>
      <c r="BB173" s="1">
        <v>1E-3</v>
      </c>
      <c r="BC173" s="1">
        <v>1E-3</v>
      </c>
      <c r="BD173" s="1">
        <v>5.0000000000000001E-3</v>
      </c>
      <c r="BE173" s="1">
        <v>2E-3</v>
      </c>
      <c r="BF173" s="1">
        <v>0</v>
      </c>
      <c r="BG173" s="1">
        <v>1E-3</v>
      </c>
      <c r="BH173" s="1">
        <v>1E-3</v>
      </c>
      <c r="BI173" s="1">
        <v>1E-3</v>
      </c>
      <c r="BJ173" s="1">
        <v>0</v>
      </c>
      <c r="BK173" s="1">
        <v>1E-3</v>
      </c>
      <c r="BL173" s="1">
        <v>2E-3</v>
      </c>
      <c r="BM173" s="1">
        <v>1E-3</v>
      </c>
      <c r="BN173" s="1">
        <v>3.0000000000000001E-3</v>
      </c>
      <c r="BO173" s="1">
        <v>1E-3</v>
      </c>
      <c r="BP173" s="1">
        <v>0</v>
      </c>
      <c r="BQ173" s="1">
        <v>2.9000000000000001E-2</v>
      </c>
      <c r="BR173" s="1">
        <v>1E-3</v>
      </c>
      <c r="BS173" s="1">
        <v>1E-3</v>
      </c>
      <c r="BT173" s="1">
        <v>1E-3</v>
      </c>
      <c r="BU173" s="1">
        <v>1E-3</v>
      </c>
      <c r="BV173" s="1">
        <v>1E-3</v>
      </c>
      <c r="BW173" s="1">
        <v>1E-3</v>
      </c>
      <c r="BX173" s="1">
        <v>0.63400000000000001</v>
      </c>
      <c r="BY173" s="1">
        <v>8.9999999999999993E-3</v>
      </c>
      <c r="BZ173" s="1">
        <v>0.216</v>
      </c>
      <c r="CA173" s="1">
        <v>0.01</v>
      </c>
      <c r="CB173" s="1">
        <v>3.0000000000000001E-3</v>
      </c>
      <c r="CC173" s="1">
        <v>6.0000000000000001E-3</v>
      </c>
      <c r="CD173" s="1">
        <v>0</v>
      </c>
      <c r="CE173" s="1">
        <v>1E-3</v>
      </c>
      <c r="CF173" s="1">
        <v>1E-3</v>
      </c>
      <c r="CG173" s="1">
        <v>3.0000000000000001E-3</v>
      </c>
      <c r="CH173" s="1">
        <v>2E-3</v>
      </c>
      <c r="CI173" s="1">
        <v>1E-3</v>
      </c>
      <c r="CJ173" s="1">
        <v>3.0000000000000001E-3</v>
      </c>
      <c r="CK173" s="1">
        <v>8.9999999999999993E-3</v>
      </c>
      <c r="CL173" s="1">
        <v>5.0000000000000001E-3</v>
      </c>
      <c r="CM173" s="1">
        <v>-57.74338736</v>
      </c>
      <c r="CN173" s="83">
        <v>35.367311299999997</v>
      </c>
    </row>
    <row r="174" spans="1:92" s="3" customFormat="1" x14ac:dyDescent="0.25">
      <c r="A174" s="72">
        <v>172</v>
      </c>
      <c r="B174" s="81" t="s">
        <v>981</v>
      </c>
      <c r="C174" s="1" t="s">
        <v>83</v>
      </c>
      <c r="D174" s="1" t="s">
        <v>79</v>
      </c>
      <c r="E174" s="1" t="s">
        <v>215</v>
      </c>
      <c r="F174" s="1" t="s">
        <v>665</v>
      </c>
      <c r="G174" s="1" t="s">
        <v>200</v>
      </c>
      <c r="H174" s="1" t="s">
        <v>48</v>
      </c>
      <c r="I174" s="1"/>
      <c r="J174" s="9" t="s">
        <v>544</v>
      </c>
      <c r="K174" s="10">
        <v>0.62953049999999999</v>
      </c>
      <c r="L174" s="1" t="s">
        <v>76</v>
      </c>
      <c r="M174" s="1" t="s">
        <v>506</v>
      </c>
      <c r="N174" s="1" t="s">
        <v>645</v>
      </c>
      <c r="O174" s="1" t="s">
        <v>48</v>
      </c>
      <c r="P174" s="82">
        <v>1</v>
      </c>
      <c r="Q174" s="1" t="s">
        <v>76</v>
      </c>
      <c r="R174" s="81" t="s">
        <v>193</v>
      </c>
      <c r="S174" s="1">
        <v>2</v>
      </c>
      <c r="T174" s="1" t="s">
        <v>120</v>
      </c>
      <c r="U174" s="1" t="s">
        <v>658</v>
      </c>
      <c r="V174" s="1" t="s">
        <v>655</v>
      </c>
      <c r="W174" s="1">
        <v>60</v>
      </c>
      <c r="X174" s="1" t="s">
        <v>216</v>
      </c>
      <c r="Y174" s="1" t="s">
        <v>645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1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-59.6780045</v>
      </c>
      <c r="CN174" s="83">
        <v>52.112528089999998</v>
      </c>
    </row>
    <row r="175" spans="1:92" s="3" customFormat="1" x14ac:dyDescent="0.25">
      <c r="A175" s="72">
        <v>173</v>
      </c>
      <c r="B175" s="81" t="s">
        <v>1469</v>
      </c>
      <c r="C175" s="1" t="s">
        <v>83</v>
      </c>
      <c r="D175" s="1" t="s">
        <v>79</v>
      </c>
      <c r="E175" s="1" t="s">
        <v>74</v>
      </c>
      <c r="F175" s="1" t="s">
        <v>523</v>
      </c>
      <c r="G175" s="1" t="s">
        <v>524</v>
      </c>
      <c r="H175" s="1" t="s">
        <v>524</v>
      </c>
      <c r="I175" s="1"/>
      <c r="J175" s="9" t="s">
        <v>544</v>
      </c>
      <c r="K175" s="10">
        <v>0.49658150000000001</v>
      </c>
      <c r="L175" s="1" t="s">
        <v>76</v>
      </c>
      <c r="M175" s="1" t="s">
        <v>506</v>
      </c>
      <c r="N175" s="1" t="s">
        <v>645</v>
      </c>
      <c r="O175" s="1" t="s">
        <v>59</v>
      </c>
      <c r="P175" s="82">
        <v>0.96799999999999997</v>
      </c>
      <c r="Q175" s="1" t="s">
        <v>76</v>
      </c>
      <c r="R175" s="81" t="s">
        <v>217</v>
      </c>
      <c r="S175" s="1">
        <v>3</v>
      </c>
      <c r="T175" s="1" t="s">
        <v>120</v>
      </c>
      <c r="U175" s="1" t="s">
        <v>658</v>
      </c>
      <c r="V175" s="1" t="s">
        <v>655</v>
      </c>
      <c r="W175" s="1">
        <v>33</v>
      </c>
      <c r="X175" s="1" t="s">
        <v>76</v>
      </c>
      <c r="Y175" s="1" t="s">
        <v>645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2E-3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3.0000000000000001E-3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6.0000000000000001E-3</v>
      </c>
      <c r="BO175" s="1">
        <v>0</v>
      </c>
      <c r="BP175" s="1">
        <v>0</v>
      </c>
      <c r="BQ175" s="1">
        <v>1E-3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1E-3</v>
      </c>
      <c r="CA175" s="1">
        <v>0</v>
      </c>
      <c r="CB175" s="1">
        <v>0.96799999999999997</v>
      </c>
      <c r="CC175" s="1">
        <v>1E-3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1.2999999999999999E-2</v>
      </c>
      <c r="CL175" s="1">
        <v>3.0000000000000001E-3</v>
      </c>
      <c r="CM175" s="1">
        <v>-47.977131200000002</v>
      </c>
      <c r="CN175" s="83">
        <v>41.510546699999999</v>
      </c>
    </row>
    <row r="176" spans="1:92" s="3" customFormat="1" x14ac:dyDescent="0.25">
      <c r="A176" s="72">
        <v>174</v>
      </c>
      <c r="B176" s="81" t="s">
        <v>1049</v>
      </c>
      <c r="C176" s="1" t="s">
        <v>83</v>
      </c>
      <c r="D176" s="1" t="s">
        <v>79</v>
      </c>
      <c r="E176" s="1" t="s">
        <v>74</v>
      </c>
      <c r="F176" s="1" t="s">
        <v>196</v>
      </c>
      <c r="G176" s="1" t="s">
        <v>76</v>
      </c>
      <c r="H176" s="1" t="s">
        <v>51</v>
      </c>
      <c r="I176" s="1"/>
      <c r="J176" s="9" t="s">
        <v>544</v>
      </c>
      <c r="K176" s="10">
        <v>0.38237383333333302</v>
      </c>
      <c r="L176" s="1" t="s">
        <v>641</v>
      </c>
      <c r="M176" s="1" t="s">
        <v>76</v>
      </c>
      <c r="N176" s="1" t="s">
        <v>644</v>
      </c>
      <c r="O176" s="1" t="s">
        <v>66</v>
      </c>
      <c r="P176" s="82">
        <v>0.84</v>
      </c>
      <c r="Q176" s="1" t="s">
        <v>76</v>
      </c>
      <c r="R176" s="81" t="s">
        <v>178</v>
      </c>
      <c r="S176" s="1" t="s">
        <v>103</v>
      </c>
      <c r="T176" s="1" t="s">
        <v>120</v>
      </c>
      <c r="U176" s="1" t="s">
        <v>658</v>
      </c>
      <c r="V176" s="1" t="s">
        <v>655</v>
      </c>
      <c r="W176" s="1">
        <v>41</v>
      </c>
      <c r="X176" s="1" t="s">
        <v>76</v>
      </c>
      <c r="Y176" s="1" t="s">
        <v>644</v>
      </c>
      <c r="Z176" s="1">
        <v>1E-3</v>
      </c>
      <c r="AA176" s="1">
        <v>1E-3</v>
      </c>
      <c r="AB176" s="1">
        <v>2E-3</v>
      </c>
      <c r="AC176" s="1">
        <v>1.2E-2</v>
      </c>
      <c r="AD176" s="1">
        <v>1E-3</v>
      </c>
      <c r="AE176" s="1">
        <v>1E-3</v>
      </c>
      <c r="AF176" s="1">
        <v>1.2999999999999999E-2</v>
      </c>
      <c r="AG176" s="1">
        <v>0</v>
      </c>
      <c r="AH176" s="1">
        <v>4.0000000000000001E-3</v>
      </c>
      <c r="AI176" s="1">
        <v>1E-3</v>
      </c>
      <c r="AJ176" s="1">
        <v>1E-3</v>
      </c>
      <c r="AK176" s="1">
        <v>5.0000000000000001E-3</v>
      </c>
      <c r="AL176" s="1">
        <v>0</v>
      </c>
      <c r="AM176" s="1">
        <v>1E-3</v>
      </c>
      <c r="AN176" s="1">
        <v>2E-3</v>
      </c>
      <c r="AO176" s="1">
        <v>1E-3</v>
      </c>
      <c r="AP176" s="1">
        <v>1E-3</v>
      </c>
      <c r="AQ176" s="1">
        <v>1E-3</v>
      </c>
      <c r="AR176" s="1">
        <v>0</v>
      </c>
      <c r="AS176" s="1">
        <v>5.0000000000000001E-3</v>
      </c>
      <c r="AT176" s="1">
        <v>2E-3</v>
      </c>
      <c r="AU176" s="1">
        <v>1E-3</v>
      </c>
      <c r="AV176" s="1">
        <v>1E-3</v>
      </c>
      <c r="AW176" s="1">
        <v>1E-3</v>
      </c>
      <c r="AX176" s="1">
        <v>1E-3</v>
      </c>
      <c r="AY176" s="1">
        <v>1E-3</v>
      </c>
      <c r="AZ176" s="1">
        <v>2E-3</v>
      </c>
      <c r="BA176" s="1">
        <v>5.0000000000000001E-3</v>
      </c>
      <c r="BB176" s="1">
        <v>1E-3</v>
      </c>
      <c r="BC176" s="1">
        <v>1E-3</v>
      </c>
      <c r="BD176" s="1">
        <v>5.0000000000000001E-3</v>
      </c>
      <c r="BE176" s="1">
        <v>1E-3</v>
      </c>
      <c r="BF176" s="1">
        <v>3.0000000000000001E-3</v>
      </c>
      <c r="BG176" s="1">
        <v>1E-3</v>
      </c>
      <c r="BH176" s="1">
        <v>2E-3</v>
      </c>
      <c r="BI176" s="1">
        <v>1E-3</v>
      </c>
      <c r="BJ176" s="1">
        <v>0</v>
      </c>
      <c r="BK176" s="1">
        <v>1E-3</v>
      </c>
      <c r="BL176" s="1">
        <v>2E-3</v>
      </c>
      <c r="BM176" s="1">
        <v>2E-3</v>
      </c>
      <c r="BN176" s="1">
        <v>2E-3</v>
      </c>
      <c r="BO176" s="1">
        <v>1E-3</v>
      </c>
      <c r="BP176" s="1">
        <v>0</v>
      </c>
      <c r="BQ176" s="1">
        <v>3.0000000000000001E-3</v>
      </c>
      <c r="BR176" s="1">
        <v>1E-3</v>
      </c>
      <c r="BS176" s="1">
        <v>1E-3</v>
      </c>
      <c r="BT176" s="1">
        <v>2.3E-2</v>
      </c>
      <c r="BU176" s="1">
        <v>1E-3</v>
      </c>
      <c r="BV176" s="1">
        <v>1E-3</v>
      </c>
      <c r="BW176" s="1">
        <v>1E-3</v>
      </c>
      <c r="BX176" s="1">
        <v>4.0000000000000001E-3</v>
      </c>
      <c r="BY176" s="1">
        <v>3.0000000000000001E-3</v>
      </c>
      <c r="BZ176" s="1">
        <v>2E-3</v>
      </c>
      <c r="CA176" s="1">
        <v>1E-3</v>
      </c>
      <c r="CB176" s="1">
        <v>1E-3</v>
      </c>
      <c r="CC176" s="1">
        <v>1E-3</v>
      </c>
      <c r="CD176" s="1">
        <v>0</v>
      </c>
      <c r="CE176" s="1">
        <v>1E-3</v>
      </c>
      <c r="CF176" s="1">
        <v>1E-3</v>
      </c>
      <c r="CG176" s="1">
        <v>1E-3</v>
      </c>
      <c r="CH176" s="1">
        <v>3.0000000000000001E-3</v>
      </c>
      <c r="CI176" s="1">
        <v>0.84</v>
      </c>
      <c r="CJ176" s="1">
        <v>4.0000000000000001E-3</v>
      </c>
      <c r="CK176" s="1">
        <v>8.9999999999999993E-3</v>
      </c>
      <c r="CL176" s="1">
        <v>7.0000000000000001E-3</v>
      </c>
      <c r="CM176" s="1">
        <v>-24.974511270000001</v>
      </c>
      <c r="CN176" s="83">
        <v>-45.394967960000002</v>
      </c>
    </row>
    <row r="177" spans="1:92" s="3" customFormat="1" x14ac:dyDescent="0.25">
      <c r="A177" s="72">
        <v>175</v>
      </c>
      <c r="B177" s="81" t="s">
        <v>912</v>
      </c>
      <c r="C177" s="1" t="s">
        <v>83</v>
      </c>
      <c r="D177" s="1" t="s">
        <v>79</v>
      </c>
      <c r="E177" s="1" t="s">
        <v>215</v>
      </c>
      <c r="F177" s="1" t="s">
        <v>665</v>
      </c>
      <c r="G177" s="1" t="s">
        <v>98</v>
      </c>
      <c r="H177" s="1" t="s">
        <v>48</v>
      </c>
      <c r="I177" s="1"/>
      <c r="J177" s="9" t="s">
        <v>544</v>
      </c>
      <c r="K177" s="10">
        <v>0.49721799999999999</v>
      </c>
      <c r="L177" s="1" t="s">
        <v>641</v>
      </c>
      <c r="M177" s="1" t="s">
        <v>76</v>
      </c>
      <c r="N177" s="1" t="s">
        <v>649</v>
      </c>
      <c r="O177" s="1" t="s">
        <v>59</v>
      </c>
      <c r="P177" s="82">
        <v>0.64</v>
      </c>
      <c r="Q177" s="1" t="s">
        <v>76</v>
      </c>
      <c r="R177" s="81" t="s">
        <v>129</v>
      </c>
      <c r="S177" s="1">
        <v>3</v>
      </c>
      <c r="T177" s="1" t="s">
        <v>120</v>
      </c>
      <c r="U177" s="1" t="s">
        <v>658</v>
      </c>
      <c r="V177" s="1" t="s">
        <v>655</v>
      </c>
      <c r="W177" s="1">
        <v>29</v>
      </c>
      <c r="X177" s="1" t="s">
        <v>76</v>
      </c>
      <c r="Y177" s="1" t="s">
        <v>649</v>
      </c>
      <c r="Z177" s="1">
        <v>0</v>
      </c>
      <c r="AA177" s="1">
        <v>0</v>
      </c>
      <c r="AB177" s="1">
        <v>0</v>
      </c>
      <c r="AC177" s="1">
        <v>5.0000000000000001E-3</v>
      </c>
      <c r="AD177" s="1">
        <v>0</v>
      </c>
      <c r="AE177" s="1">
        <v>0</v>
      </c>
      <c r="AF177" s="1">
        <v>1E-3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0.24</v>
      </c>
      <c r="AT177" s="1">
        <v>1E-3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1E-3</v>
      </c>
      <c r="BA177" s="1">
        <v>1E-3</v>
      </c>
      <c r="BB177" s="1">
        <v>0</v>
      </c>
      <c r="BC177" s="1">
        <v>0</v>
      </c>
      <c r="BD177" s="1">
        <v>1E-3</v>
      </c>
      <c r="BE177" s="1">
        <v>0.03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1E-3</v>
      </c>
      <c r="BM177" s="1">
        <v>0</v>
      </c>
      <c r="BN177" s="1">
        <v>1.9E-2</v>
      </c>
      <c r="BO177" s="1">
        <v>0</v>
      </c>
      <c r="BP177" s="1">
        <v>0</v>
      </c>
      <c r="BQ177" s="1">
        <v>6.0000000000000001E-3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1E-3</v>
      </c>
      <c r="BY177" s="1">
        <v>0</v>
      </c>
      <c r="BZ177" s="1">
        <v>2E-3</v>
      </c>
      <c r="CA177" s="1">
        <v>0</v>
      </c>
      <c r="CB177" s="1">
        <v>0.64</v>
      </c>
      <c r="CC177" s="1">
        <v>6.0000000000000001E-3</v>
      </c>
      <c r="CD177" s="1">
        <v>0</v>
      </c>
      <c r="CE177" s="1">
        <v>0</v>
      </c>
      <c r="CF177" s="1">
        <v>0</v>
      </c>
      <c r="CG177" s="1">
        <v>1E-3</v>
      </c>
      <c r="CH177" s="1">
        <v>1E-3</v>
      </c>
      <c r="CI177" s="1">
        <v>0</v>
      </c>
      <c r="CJ177" s="1">
        <v>2E-3</v>
      </c>
      <c r="CK177" s="1">
        <v>0.03</v>
      </c>
      <c r="CL177" s="1">
        <v>4.0000000000000001E-3</v>
      </c>
      <c r="CM177" s="1">
        <v>-54.128625829999997</v>
      </c>
      <c r="CN177" s="83">
        <v>30.24245685</v>
      </c>
    </row>
    <row r="178" spans="1:92" s="3" customFormat="1" x14ac:dyDescent="0.25">
      <c r="A178" s="72">
        <v>176</v>
      </c>
      <c r="B178" s="81" t="s">
        <v>1250</v>
      </c>
      <c r="C178" s="1" t="s">
        <v>83</v>
      </c>
      <c r="D178" s="1" t="s">
        <v>79</v>
      </c>
      <c r="E178" s="1" t="s">
        <v>195</v>
      </c>
      <c r="F178" s="1" t="s">
        <v>665</v>
      </c>
      <c r="G178" s="1" t="s">
        <v>200</v>
      </c>
      <c r="H178" s="1" t="s">
        <v>48</v>
      </c>
      <c r="I178" s="1"/>
      <c r="J178" s="9" t="s">
        <v>544</v>
      </c>
      <c r="K178" s="10">
        <v>0.33696666666666703</v>
      </c>
      <c r="L178" s="1" t="s">
        <v>641</v>
      </c>
      <c r="M178" s="1" t="s">
        <v>76</v>
      </c>
      <c r="N178" s="1" t="s">
        <v>644</v>
      </c>
      <c r="O178" s="1" t="s">
        <v>68</v>
      </c>
      <c r="P178" s="82">
        <v>0.33200000000000002</v>
      </c>
      <c r="Q178" s="1" t="s">
        <v>76</v>
      </c>
      <c r="R178" s="81" t="s">
        <v>218</v>
      </c>
      <c r="S178" s="1">
        <v>3</v>
      </c>
      <c r="T178" s="1" t="s">
        <v>120</v>
      </c>
      <c r="U178" s="1" t="s">
        <v>658</v>
      </c>
      <c r="V178" s="1" t="s">
        <v>655</v>
      </c>
      <c r="W178" s="1">
        <v>34</v>
      </c>
      <c r="X178" s="1" t="s">
        <v>76</v>
      </c>
      <c r="Y178" s="1" t="s">
        <v>644</v>
      </c>
      <c r="Z178" s="1">
        <v>4.8000000000000001E-2</v>
      </c>
      <c r="AA178" s="1">
        <v>4.0000000000000001E-3</v>
      </c>
      <c r="AB178" s="1">
        <v>5.0000000000000001E-3</v>
      </c>
      <c r="AC178" s="1">
        <v>8.0000000000000002E-3</v>
      </c>
      <c r="AD178" s="1">
        <v>5.3999999999999999E-2</v>
      </c>
      <c r="AE178" s="1">
        <v>3.0000000000000001E-3</v>
      </c>
      <c r="AF178" s="1">
        <v>4.0000000000000001E-3</v>
      </c>
      <c r="AG178" s="1">
        <v>0</v>
      </c>
      <c r="AH178" s="1">
        <v>1.0999999999999999E-2</v>
      </c>
      <c r="AI178" s="1">
        <v>1E-3</v>
      </c>
      <c r="AJ178" s="1">
        <v>5.0000000000000001E-3</v>
      </c>
      <c r="AK178" s="1">
        <v>3.0000000000000001E-3</v>
      </c>
      <c r="AL178" s="1">
        <v>0</v>
      </c>
      <c r="AM178" s="1">
        <v>2E-3</v>
      </c>
      <c r="AN178" s="1">
        <v>1.6E-2</v>
      </c>
      <c r="AO178" s="1">
        <v>2E-3</v>
      </c>
      <c r="AP178" s="1">
        <v>2E-3</v>
      </c>
      <c r="AQ178" s="1">
        <v>2E-3</v>
      </c>
      <c r="AR178" s="1">
        <v>5.3999999999999999E-2</v>
      </c>
      <c r="AS178" s="1">
        <v>8.0000000000000002E-3</v>
      </c>
      <c r="AT178" s="1">
        <v>3.0000000000000001E-3</v>
      </c>
      <c r="AU178" s="1">
        <v>7.0000000000000001E-3</v>
      </c>
      <c r="AV178" s="1">
        <v>4.0000000000000001E-3</v>
      </c>
      <c r="AW178" s="1">
        <v>3.0000000000000001E-3</v>
      </c>
      <c r="AX178" s="1">
        <v>2.3E-2</v>
      </c>
      <c r="AY178" s="1">
        <v>6.0000000000000001E-3</v>
      </c>
      <c r="AZ178" s="1">
        <v>0.01</v>
      </c>
      <c r="BA178" s="1">
        <v>8.9999999999999993E-3</v>
      </c>
      <c r="BB178" s="1">
        <v>3.0000000000000001E-3</v>
      </c>
      <c r="BC178" s="1">
        <v>2E-3</v>
      </c>
      <c r="BD178" s="1">
        <v>1.0999999999999999E-2</v>
      </c>
      <c r="BE178" s="1">
        <v>3.0000000000000001E-3</v>
      </c>
      <c r="BF178" s="1">
        <v>1.7999999999999999E-2</v>
      </c>
      <c r="BG178" s="1">
        <v>0</v>
      </c>
      <c r="BH178" s="1">
        <v>2E-3</v>
      </c>
      <c r="BI178" s="1">
        <v>2E-3</v>
      </c>
      <c r="BJ178" s="1">
        <v>6.0000000000000001E-3</v>
      </c>
      <c r="BK178" s="1">
        <v>1E-3</v>
      </c>
      <c r="BL178" s="1">
        <v>3.0000000000000001E-3</v>
      </c>
      <c r="BM178" s="1">
        <v>2E-3</v>
      </c>
      <c r="BN178" s="1">
        <v>5.0000000000000001E-3</v>
      </c>
      <c r="BO178" s="1">
        <v>3.0000000000000001E-3</v>
      </c>
      <c r="BP178" s="1">
        <v>4.5999999999999999E-2</v>
      </c>
      <c r="BQ178" s="1">
        <v>4.0000000000000001E-3</v>
      </c>
      <c r="BR178" s="1">
        <v>2E-3</v>
      </c>
      <c r="BS178" s="1">
        <v>1.7000000000000001E-2</v>
      </c>
      <c r="BT178" s="1">
        <v>1E-3</v>
      </c>
      <c r="BU178" s="1">
        <v>8.9999999999999993E-3</v>
      </c>
      <c r="BV178" s="1">
        <v>3.0000000000000001E-3</v>
      </c>
      <c r="BW178" s="1">
        <v>3.0000000000000001E-3</v>
      </c>
      <c r="BX178" s="1">
        <v>0.02</v>
      </c>
      <c r="BY178" s="1">
        <v>8.0000000000000002E-3</v>
      </c>
      <c r="BZ178" s="1">
        <v>2.8000000000000001E-2</v>
      </c>
      <c r="CA178" s="1">
        <v>6.0000000000000001E-3</v>
      </c>
      <c r="CB178" s="1">
        <v>4.0000000000000001E-3</v>
      </c>
      <c r="CC178" s="1">
        <v>5.0000000000000001E-3</v>
      </c>
      <c r="CD178" s="1">
        <v>0</v>
      </c>
      <c r="CE178" s="1">
        <v>3.0000000000000001E-3</v>
      </c>
      <c r="CF178" s="1">
        <v>3.0000000000000001E-3</v>
      </c>
      <c r="CG178" s="1">
        <v>4.0000000000000001E-3</v>
      </c>
      <c r="CH178" s="1">
        <v>4.0000000000000001E-3</v>
      </c>
      <c r="CI178" s="1">
        <v>3.0000000000000001E-3</v>
      </c>
      <c r="CJ178" s="1">
        <v>4.0000000000000001E-3</v>
      </c>
      <c r="CK178" s="1">
        <v>0.33200000000000002</v>
      </c>
      <c r="CL178" s="1">
        <v>0.13200000000000001</v>
      </c>
      <c r="CM178" s="1">
        <v>-51.403497029999997</v>
      </c>
      <c r="CN178" s="83">
        <v>-4.7799540880000002</v>
      </c>
    </row>
    <row r="179" spans="1:92" s="3" customFormat="1" x14ac:dyDescent="0.25">
      <c r="A179" s="72">
        <v>177</v>
      </c>
      <c r="B179" s="81" t="s">
        <v>915</v>
      </c>
      <c r="C179" s="1" t="s">
        <v>83</v>
      </c>
      <c r="D179" s="1" t="s">
        <v>79</v>
      </c>
      <c r="E179" s="1" t="s">
        <v>99</v>
      </c>
      <c r="F179" s="1" t="s">
        <v>665</v>
      </c>
      <c r="G179" s="1" t="s">
        <v>219</v>
      </c>
      <c r="H179" s="1" t="s">
        <v>48</v>
      </c>
      <c r="I179" s="1"/>
      <c r="J179" s="9" t="s">
        <v>544</v>
      </c>
      <c r="K179" s="10">
        <v>0.49902116666666702</v>
      </c>
      <c r="L179" s="1" t="s">
        <v>641</v>
      </c>
      <c r="M179" s="1" t="s">
        <v>76</v>
      </c>
      <c r="N179" s="1" t="s">
        <v>649</v>
      </c>
      <c r="O179" s="1" t="s">
        <v>48</v>
      </c>
      <c r="P179" s="82">
        <v>0.17799999999999999</v>
      </c>
      <c r="Q179" s="1" t="s">
        <v>76</v>
      </c>
      <c r="R179" s="81" t="s">
        <v>129</v>
      </c>
      <c r="S179" s="1">
        <v>3</v>
      </c>
      <c r="T179" s="1" t="s">
        <v>120</v>
      </c>
      <c r="U179" s="1" t="s">
        <v>658</v>
      </c>
      <c r="V179" s="1" t="s">
        <v>655</v>
      </c>
      <c r="W179" s="1">
        <v>35</v>
      </c>
      <c r="X179" s="1" t="s">
        <v>76</v>
      </c>
      <c r="Y179" s="1" t="s">
        <v>649</v>
      </c>
      <c r="Z179" s="1">
        <v>5.0000000000000001E-3</v>
      </c>
      <c r="AA179" s="1">
        <v>6.0000000000000001E-3</v>
      </c>
      <c r="AB179" s="1">
        <v>5.0000000000000001E-3</v>
      </c>
      <c r="AC179" s="1">
        <v>3.5000000000000003E-2</v>
      </c>
      <c r="AD179" s="1">
        <v>0.01</v>
      </c>
      <c r="AE179" s="1">
        <v>5.0000000000000001E-3</v>
      </c>
      <c r="AF179" s="1">
        <v>7.0000000000000001E-3</v>
      </c>
      <c r="AG179" s="1">
        <v>1E-3</v>
      </c>
      <c r="AH179" s="1">
        <v>1.7000000000000001E-2</v>
      </c>
      <c r="AI179" s="1">
        <v>3.0000000000000001E-3</v>
      </c>
      <c r="AJ179" s="1">
        <v>4.0000000000000001E-3</v>
      </c>
      <c r="AK179" s="1">
        <v>8.9999999999999993E-3</v>
      </c>
      <c r="AL179" s="1">
        <v>3.0000000000000001E-3</v>
      </c>
      <c r="AM179" s="1">
        <v>3.0000000000000001E-3</v>
      </c>
      <c r="AN179" s="1">
        <v>7.0000000000000001E-3</v>
      </c>
      <c r="AO179" s="1">
        <v>8.0000000000000002E-3</v>
      </c>
      <c r="AP179" s="1">
        <v>4.0000000000000001E-3</v>
      </c>
      <c r="AQ179" s="1">
        <v>4.0000000000000001E-3</v>
      </c>
      <c r="AR179" s="1">
        <v>5.0000000000000001E-3</v>
      </c>
      <c r="AS179" s="1">
        <v>0.02</v>
      </c>
      <c r="AT179" s="1">
        <v>1.2999999999999999E-2</v>
      </c>
      <c r="AU179" s="1">
        <v>6.0000000000000001E-3</v>
      </c>
      <c r="AV179" s="1">
        <v>8.0000000000000002E-3</v>
      </c>
      <c r="AW179" s="1">
        <v>8.0000000000000002E-3</v>
      </c>
      <c r="AX179" s="1">
        <v>8.9999999999999993E-3</v>
      </c>
      <c r="AY179" s="1">
        <v>1.4999999999999999E-2</v>
      </c>
      <c r="AZ179" s="1">
        <v>1.4999999999999999E-2</v>
      </c>
      <c r="BA179" s="1">
        <v>2.1999999999999999E-2</v>
      </c>
      <c r="BB179" s="1">
        <v>4.0000000000000001E-3</v>
      </c>
      <c r="BC179" s="1">
        <v>3.0000000000000001E-3</v>
      </c>
      <c r="BD179" s="1">
        <v>2.8000000000000001E-2</v>
      </c>
      <c r="BE179" s="1">
        <v>6.0000000000000001E-3</v>
      </c>
      <c r="BF179" s="1">
        <v>6.0000000000000001E-3</v>
      </c>
      <c r="BG179" s="1">
        <v>4.0000000000000001E-3</v>
      </c>
      <c r="BH179" s="1">
        <v>5.0000000000000001E-3</v>
      </c>
      <c r="BI179" s="1">
        <v>5.0000000000000001E-3</v>
      </c>
      <c r="BJ179" s="1">
        <v>4.0000000000000001E-3</v>
      </c>
      <c r="BK179" s="1">
        <v>4.0000000000000001E-3</v>
      </c>
      <c r="BL179" s="1">
        <v>1.2E-2</v>
      </c>
      <c r="BM179" s="1">
        <v>5.0000000000000001E-3</v>
      </c>
      <c r="BN179" s="1">
        <v>1.4E-2</v>
      </c>
      <c r="BO179" s="1">
        <v>3.0000000000000001E-3</v>
      </c>
      <c r="BP179" s="1">
        <v>3.0000000000000001E-3</v>
      </c>
      <c r="BQ179" s="1">
        <v>0.17799999999999999</v>
      </c>
      <c r="BR179" s="1">
        <v>6.0000000000000001E-3</v>
      </c>
      <c r="BS179" s="1">
        <v>5.0000000000000001E-3</v>
      </c>
      <c r="BT179" s="1">
        <v>3.0000000000000001E-3</v>
      </c>
      <c r="BU179" s="1">
        <v>6.0000000000000001E-3</v>
      </c>
      <c r="BV179" s="1">
        <v>5.0000000000000001E-3</v>
      </c>
      <c r="BW179" s="1">
        <v>7.0000000000000001E-3</v>
      </c>
      <c r="BX179" s="1">
        <v>1.7999999999999999E-2</v>
      </c>
      <c r="BY179" s="1">
        <v>1.9E-2</v>
      </c>
      <c r="BZ179" s="1">
        <v>2.7E-2</v>
      </c>
      <c r="CA179" s="1">
        <v>1.9E-2</v>
      </c>
      <c r="CB179" s="1">
        <v>8.9999999999999993E-3</v>
      </c>
      <c r="CC179" s="1">
        <v>2.1000000000000001E-2</v>
      </c>
      <c r="CD179" s="1">
        <v>1E-3</v>
      </c>
      <c r="CE179" s="1">
        <v>5.0000000000000001E-3</v>
      </c>
      <c r="CF179" s="1">
        <v>8.0000000000000002E-3</v>
      </c>
      <c r="CG179" s="1">
        <v>4.8000000000000001E-2</v>
      </c>
      <c r="CH179" s="1">
        <v>8.9999999999999993E-3</v>
      </c>
      <c r="CI179" s="1">
        <v>8.0000000000000002E-3</v>
      </c>
      <c r="CJ179" s="1">
        <v>2.5000000000000001E-2</v>
      </c>
      <c r="CK179" s="1">
        <v>0.11899999999999999</v>
      </c>
      <c r="CL179" s="1">
        <v>0.09</v>
      </c>
      <c r="CM179" s="1">
        <v>-46.807280939999998</v>
      </c>
      <c r="CN179" s="83">
        <v>41.083309470000003</v>
      </c>
    </row>
    <row r="180" spans="1:92" s="3" customFormat="1" x14ac:dyDescent="0.25">
      <c r="A180" s="72">
        <v>178</v>
      </c>
      <c r="B180" s="81" t="s">
        <v>917</v>
      </c>
      <c r="C180" s="1" t="s">
        <v>83</v>
      </c>
      <c r="D180" s="1" t="s">
        <v>79</v>
      </c>
      <c r="E180" s="1" t="s">
        <v>215</v>
      </c>
      <c r="F180" s="1" t="s">
        <v>665</v>
      </c>
      <c r="G180" s="1" t="s">
        <v>98</v>
      </c>
      <c r="H180" s="1" t="s">
        <v>48</v>
      </c>
      <c r="I180" s="1"/>
      <c r="J180" s="9" t="s">
        <v>544</v>
      </c>
      <c r="K180" s="10">
        <v>0.58386916666666699</v>
      </c>
      <c r="L180" s="1" t="s">
        <v>641</v>
      </c>
      <c r="M180" s="1" t="s">
        <v>76</v>
      </c>
      <c r="N180" s="1" t="s">
        <v>649</v>
      </c>
      <c r="O180" s="1" t="s">
        <v>48</v>
      </c>
      <c r="P180" s="82">
        <v>0.63300000000000001</v>
      </c>
      <c r="Q180" s="1" t="s">
        <v>76</v>
      </c>
      <c r="R180" s="81" t="s">
        <v>174</v>
      </c>
      <c r="S180" s="1">
        <v>3</v>
      </c>
      <c r="T180" s="1" t="s">
        <v>120</v>
      </c>
      <c r="U180" s="1" t="s">
        <v>658</v>
      </c>
      <c r="V180" s="1" t="s">
        <v>655</v>
      </c>
      <c r="W180" s="1">
        <v>43</v>
      </c>
      <c r="X180" s="1" t="s">
        <v>76</v>
      </c>
      <c r="Y180" s="1" t="s">
        <v>649</v>
      </c>
      <c r="Z180" s="1">
        <v>1E-3</v>
      </c>
      <c r="AA180" s="1">
        <v>2E-3</v>
      </c>
      <c r="AB180" s="1">
        <v>2E-3</v>
      </c>
      <c r="AC180" s="1">
        <v>1.7999999999999999E-2</v>
      </c>
      <c r="AD180" s="1">
        <v>1E-3</v>
      </c>
      <c r="AE180" s="1">
        <v>2E-3</v>
      </c>
      <c r="AF180" s="1">
        <v>2E-3</v>
      </c>
      <c r="AG180" s="1">
        <v>0</v>
      </c>
      <c r="AH180" s="1">
        <v>4.0000000000000001E-3</v>
      </c>
      <c r="AI180" s="1">
        <v>1E-3</v>
      </c>
      <c r="AJ180" s="1">
        <v>1E-3</v>
      </c>
      <c r="AK180" s="1">
        <v>4.0000000000000001E-3</v>
      </c>
      <c r="AL180" s="1">
        <v>2E-3</v>
      </c>
      <c r="AM180" s="1">
        <v>1E-3</v>
      </c>
      <c r="AN180" s="1">
        <v>1E-3</v>
      </c>
      <c r="AO180" s="1">
        <v>3.0000000000000001E-3</v>
      </c>
      <c r="AP180" s="1">
        <v>1E-3</v>
      </c>
      <c r="AQ180" s="1">
        <v>1E-3</v>
      </c>
      <c r="AR180" s="1">
        <v>1E-3</v>
      </c>
      <c r="AS180" s="1">
        <v>8.0000000000000002E-3</v>
      </c>
      <c r="AT180" s="1">
        <v>6.0000000000000001E-3</v>
      </c>
      <c r="AU180" s="1">
        <v>2E-3</v>
      </c>
      <c r="AV180" s="1">
        <v>1E-3</v>
      </c>
      <c r="AW180" s="1">
        <v>4.0000000000000001E-3</v>
      </c>
      <c r="AX180" s="1">
        <v>1E-3</v>
      </c>
      <c r="AY180" s="1">
        <v>4.0000000000000001E-3</v>
      </c>
      <c r="AZ180" s="1">
        <v>4.0000000000000001E-3</v>
      </c>
      <c r="BA180" s="1">
        <v>5.0000000000000001E-3</v>
      </c>
      <c r="BB180" s="1">
        <v>1E-3</v>
      </c>
      <c r="BC180" s="1">
        <v>1E-3</v>
      </c>
      <c r="BD180" s="1">
        <v>8.9999999999999993E-3</v>
      </c>
      <c r="BE180" s="1">
        <v>3.0000000000000001E-3</v>
      </c>
      <c r="BF180" s="1">
        <v>1E-3</v>
      </c>
      <c r="BG180" s="1">
        <v>2E-3</v>
      </c>
      <c r="BH180" s="1">
        <v>1E-3</v>
      </c>
      <c r="BI180" s="1">
        <v>2E-3</v>
      </c>
      <c r="BJ180" s="1">
        <v>1E-3</v>
      </c>
      <c r="BK180" s="1">
        <v>1E-3</v>
      </c>
      <c r="BL180" s="1">
        <v>5.0000000000000001E-3</v>
      </c>
      <c r="BM180" s="1">
        <v>2E-3</v>
      </c>
      <c r="BN180" s="1">
        <v>7.0000000000000001E-3</v>
      </c>
      <c r="BO180" s="1">
        <v>1E-3</v>
      </c>
      <c r="BP180" s="1">
        <v>0</v>
      </c>
      <c r="BQ180" s="1">
        <v>0.63300000000000001</v>
      </c>
      <c r="BR180" s="1">
        <v>2E-3</v>
      </c>
      <c r="BS180" s="1">
        <v>1E-3</v>
      </c>
      <c r="BT180" s="1">
        <v>1E-3</v>
      </c>
      <c r="BU180" s="1">
        <v>1E-3</v>
      </c>
      <c r="BV180" s="1">
        <v>1E-3</v>
      </c>
      <c r="BW180" s="1">
        <v>2E-3</v>
      </c>
      <c r="BX180" s="1">
        <v>4.0000000000000001E-3</v>
      </c>
      <c r="BY180" s="1">
        <v>5.0000000000000001E-3</v>
      </c>
      <c r="BZ180" s="1">
        <v>8.9999999999999993E-3</v>
      </c>
      <c r="CA180" s="1">
        <v>2E-3</v>
      </c>
      <c r="CB180" s="1">
        <v>4.0000000000000001E-3</v>
      </c>
      <c r="CC180" s="1">
        <v>0.14199999999999999</v>
      </c>
      <c r="CD180" s="1">
        <v>0</v>
      </c>
      <c r="CE180" s="1">
        <v>2E-3</v>
      </c>
      <c r="CF180" s="1">
        <v>2E-3</v>
      </c>
      <c r="CG180" s="1">
        <v>1.7999999999999999E-2</v>
      </c>
      <c r="CH180" s="1">
        <v>4.0000000000000001E-3</v>
      </c>
      <c r="CI180" s="1">
        <v>3.0000000000000001E-3</v>
      </c>
      <c r="CJ180" s="1">
        <v>1.4999999999999999E-2</v>
      </c>
      <c r="CK180" s="1">
        <v>1.4999999999999999E-2</v>
      </c>
      <c r="CL180" s="1">
        <v>1.6E-2</v>
      </c>
      <c r="CM180" s="1">
        <v>-62.416427400000003</v>
      </c>
      <c r="CN180" s="83">
        <v>39.871828620000002</v>
      </c>
    </row>
    <row r="181" spans="1:92" s="3" customFormat="1" x14ac:dyDescent="0.25">
      <c r="A181" s="72">
        <v>179</v>
      </c>
      <c r="B181" s="81" t="s">
        <v>919</v>
      </c>
      <c r="C181" s="1" t="s">
        <v>83</v>
      </c>
      <c r="D181" s="1" t="s">
        <v>79</v>
      </c>
      <c r="E181" s="1" t="s">
        <v>99</v>
      </c>
      <c r="F181" s="1" t="s">
        <v>665</v>
      </c>
      <c r="G181" s="1" t="s">
        <v>98</v>
      </c>
      <c r="H181" s="1" t="s">
        <v>48</v>
      </c>
      <c r="I181" s="1"/>
      <c r="J181" s="9" t="s">
        <v>544</v>
      </c>
      <c r="K181" s="10">
        <v>0.48590450000000002</v>
      </c>
      <c r="L181" s="1" t="s">
        <v>641</v>
      </c>
      <c r="M181" s="1" t="s">
        <v>76</v>
      </c>
      <c r="N181" s="1" t="s">
        <v>644</v>
      </c>
      <c r="O181" s="1" t="s">
        <v>68</v>
      </c>
      <c r="P181" s="82">
        <v>0.48499999999999999</v>
      </c>
      <c r="Q181" s="1" t="s">
        <v>76</v>
      </c>
      <c r="R181" s="81" t="s">
        <v>129</v>
      </c>
      <c r="S181" s="1">
        <v>3</v>
      </c>
      <c r="T181" s="1" t="s">
        <v>120</v>
      </c>
      <c r="U181" s="1" t="s">
        <v>658</v>
      </c>
      <c r="V181" s="1" t="s">
        <v>655</v>
      </c>
      <c r="W181" s="1">
        <v>62</v>
      </c>
      <c r="X181" s="1" t="s">
        <v>76</v>
      </c>
      <c r="Y181" s="1" t="s">
        <v>644</v>
      </c>
      <c r="Z181" s="1">
        <v>4.0000000000000001E-3</v>
      </c>
      <c r="AA181" s="1">
        <v>6.0000000000000001E-3</v>
      </c>
      <c r="AB181" s="1">
        <v>6.0000000000000001E-3</v>
      </c>
      <c r="AC181" s="1">
        <v>2.5999999999999999E-2</v>
      </c>
      <c r="AD181" s="1">
        <v>7.0000000000000001E-3</v>
      </c>
      <c r="AE181" s="1">
        <v>4.0000000000000001E-3</v>
      </c>
      <c r="AF181" s="1">
        <v>7.0000000000000001E-3</v>
      </c>
      <c r="AG181" s="1">
        <v>1E-3</v>
      </c>
      <c r="AH181" s="1">
        <v>1.0999999999999999E-2</v>
      </c>
      <c r="AI181" s="1">
        <v>1E-3</v>
      </c>
      <c r="AJ181" s="1">
        <v>3.0000000000000001E-3</v>
      </c>
      <c r="AK181" s="1">
        <v>1.2E-2</v>
      </c>
      <c r="AL181" s="1">
        <v>1E-3</v>
      </c>
      <c r="AM181" s="1">
        <v>2E-3</v>
      </c>
      <c r="AN181" s="1">
        <v>3.0000000000000001E-3</v>
      </c>
      <c r="AO181" s="1">
        <v>5.0000000000000001E-3</v>
      </c>
      <c r="AP181" s="1">
        <v>3.0000000000000001E-3</v>
      </c>
      <c r="AQ181" s="1">
        <v>3.0000000000000001E-3</v>
      </c>
      <c r="AR181" s="1">
        <v>6.0000000000000001E-3</v>
      </c>
      <c r="AS181" s="1">
        <v>1.6E-2</v>
      </c>
      <c r="AT181" s="1">
        <v>1.0999999999999999E-2</v>
      </c>
      <c r="AU181" s="1">
        <v>4.3999999999999997E-2</v>
      </c>
      <c r="AV181" s="1">
        <v>3.0000000000000001E-3</v>
      </c>
      <c r="AW181" s="1">
        <v>8.0000000000000002E-3</v>
      </c>
      <c r="AX181" s="1">
        <v>1.0999999999999999E-2</v>
      </c>
      <c r="AY181" s="1">
        <v>8.0000000000000002E-3</v>
      </c>
      <c r="AZ181" s="1">
        <v>8.9999999999999993E-3</v>
      </c>
      <c r="BA181" s="1">
        <v>1.4E-2</v>
      </c>
      <c r="BB181" s="1">
        <v>4.0000000000000001E-3</v>
      </c>
      <c r="BC181" s="1">
        <v>2E-3</v>
      </c>
      <c r="BD181" s="1">
        <v>2.1000000000000001E-2</v>
      </c>
      <c r="BE181" s="1">
        <v>3.0000000000000001E-3</v>
      </c>
      <c r="BF181" s="1">
        <v>3.0000000000000001E-3</v>
      </c>
      <c r="BG181" s="1">
        <v>8.0000000000000002E-3</v>
      </c>
      <c r="BH181" s="1">
        <v>3.0000000000000001E-3</v>
      </c>
      <c r="BI181" s="1">
        <v>4.0000000000000001E-3</v>
      </c>
      <c r="BJ181" s="1">
        <v>1E-3</v>
      </c>
      <c r="BK181" s="1">
        <v>4.0000000000000001E-3</v>
      </c>
      <c r="BL181" s="1">
        <v>1.4999999999999999E-2</v>
      </c>
      <c r="BM181" s="1">
        <v>3.0000000000000001E-3</v>
      </c>
      <c r="BN181" s="1">
        <v>8.9999999999999993E-3</v>
      </c>
      <c r="BO181" s="1">
        <v>3.0000000000000001E-3</v>
      </c>
      <c r="BP181" s="1">
        <v>3.0000000000000001E-3</v>
      </c>
      <c r="BQ181" s="1">
        <v>1.0999999999999999E-2</v>
      </c>
      <c r="BR181" s="1">
        <v>4.0000000000000001E-3</v>
      </c>
      <c r="BS181" s="1">
        <v>1.4999999999999999E-2</v>
      </c>
      <c r="BT181" s="1">
        <v>2E-3</v>
      </c>
      <c r="BU181" s="1">
        <v>3.0000000000000001E-3</v>
      </c>
      <c r="BV181" s="1">
        <v>5.0000000000000001E-3</v>
      </c>
      <c r="BW181" s="1">
        <v>5.0000000000000001E-3</v>
      </c>
      <c r="BX181" s="1">
        <v>1.7000000000000001E-2</v>
      </c>
      <c r="BY181" s="1">
        <v>1.7999999999999999E-2</v>
      </c>
      <c r="BZ181" s="1">
        <v>8.9999999999999993E-3</v>
      </c>
      <c r="CA181" s="1">
        <v>8.9999999999999993E-3</v>
      </c>
      <c r="CB181" s="1">
        <v>2E-3</v>
      </c>
      <c r="CC181" s="1">
        <v>1.4999999999999999E-2</v>
      </c>
      <c r="CD181" s="1">
        <v>0</v>
      </c>
      <c r="CE181" s="1">
        <v>4.0000000000000001E-3</v>
      </c>
      <c r="CF181" s="1">
        <v>6.0000000000000001E-3</v>
      </c>
      <c r="CG181" s="1">
        <v>1.6E-2</v>
      </c>
      <c r="CH181" s="1">
        <v>8.0000000000000002E-3</v>
      </c>
      <c r="CI181" s="1">
        <v>8.0000000000000002E-3</v>
      </c>
      <c r="CJ181" s="1">
        <v>1.7999999999999999E-2</v>
      </c>
      <c r="CK181" s="1">
        <v>0.48499999999999999</v>
      </c>
      <c r="CL181" s="1">
        <v>0.02</v>
      </c>
      <c r="CM181" s="1">
        <v>50.392693979999997</v>
      </c>
      <c r="CN181" s="83">
        <v>-47.13680213</v>
      </c>
    </row>
    <row r="182" spans="1:92" s="3" customFormat="1" x14ac:dyDescent="0.25">
      <c r="A182" s="72">
        <v>180</v>
      </c>
      <c r="B182" s="81" t="s">
        <v>1059</v>
      </c>
      <c r="C182" s="1" t="s">
        <v>83</v>
      </c>
      <c r="D182" s="1" t="s">
        <v>79</v>
      </c>
      <c r="E182" s="1" t="s">
        <v>195</v>
      </c>
      <c r="F182" s="1" t="s">
        <v>665</v>
      </c>
      <c r="G182" s="1" t="s">
        <v>200</v>
      </c>
      <c r="H182" s="1" t="s">
        <v>48</v>
      </c>
      <c r="I182" s="1"/>
      <c r="J182" s="9" t="s">
        <v>544</v>
      </c>
      <c r="K182" s="10">
        <v>0.52483599999999997</v>
      </c>
      <c r="L182" s="1" t="s">
        <v>641</v>
      </c>
      <c r="M182" s="1" t="s">
        <v>76</v>
      </c>
      <c r="N182" s="1" t="s">
        <v>649</v>
      </c>
      <c r="O182" s="1" t="s">
        <v>48</v>
      </c>
      <c r="P182" s="82">
        <v>0.497</v>
      </c>
      <c r="Q182" s="1" t="s">
        <v>76</v>
      </c>
      <c r="R182" s="81" t="s">
        <v>174</v>
      </c>
      <c r="S182" s="1">
        <v>3</v>
      </c>
      <c r="T182" s="1" t="s">
        <v>120</v>
      </c>
      <c r="U182" s="1" t="s">
        <v>658</v>
      </c>
      <c r="V182" s="1" t="s">
        <v>655</v>
      </c>
      <c r="W182" s="1">
        <v>46</v>
      </c>
      <c r="X182" s="1" t="s">
        <v>76</v>
      </c>
      <c r="Y182" s="1" t="s">
        <v>649</v>
      </c>
      <c r="Z182" s="1">
        <v>1E-3</v>
      </c>
      <c r="AA182" s="1">
        <v>1E-3</v>
      </c>
      <c r="AB182" s="1">
        <v>1E-3</v>
      </c>
      <c r="AC182" s="1">
        <v>4.0000000000000001E-3</v>
      </c>
      <c r="AD182" s="1">
        <v>1E-3</v>
      </c>
      <c r="AE182" s="1">
        <v>1E-3</v>
      </c>
      <c r="AF182" s="1">
        <v>1E-3</v>
      </c>
      <c r="AG182" s="1">
        <v>0</v>
      </c>
      <c r="AH182" s="1">
        <v>1E-3</v>
      </c>
      <c r="AI182" s="1">
        <v>0</v>
      </c>
      <c r="AJ182" s="1">
        <v>1E-3</v>
      </c>
      <c r="AK182" s="1">
        <v>0</v>
      </c>
      <c r="AL182" s="1">
        <v>2E-3</v>
      </c>
      <c r="AM182" s="1">
        <v>0</v>
      </c>
      <c r="AN182" s="1">
        <v>1E-3</v>
      </c>
      <c r="AO182" s="1">
        <v>0</v>
      </c>
      <c r="AP182" s="1">
        <v>0</v>
      </c>
      <c r="AQ182" s="1">
        <v>0</v>
      </c>
      <c r="AR182" s="1">
        <v>2E-3</v>
      </c>
      <c r="AS182" s="1">
        <v>5.0000000000000001E-3</v>
      </c>
      <c r="AT182" s="1">
        <v>1E-3</v>
      </c>
      <c r="AU182" s="1">
        <v>1E-3</v>
      </c>
      <c r="AV182" s="1">
        <v>1E-3</v>
      </c>
      <c r="AW182" s="1">
        <v>1E-3</v>
      </c>
      <c r="AX182" s="1">
        <v>1E-3</v>
      </c>
      <c r="AY182" s="1">
        <v>2E-3</v>
      </c>
      <c r="AZ182" s="1">
        <v>3.0000000000000001E-3</v>
      </c>
      <c r="BA182" s="1">
        <v>2E-3</v>
      </c>
      <c r="BB182" s="1">
        <v>0</v>
      </c>
      <c r="BC182" s="1">
        <v>0</v>
      </c>
      <c r="BD182" s="1">
        <v>2E-3</v>
      </c>
      <c r="BE182" s="1">
        <v>8.0000000000000002E-3</v>
      </c>
      <c r="BF182" s="1">
        <v>0</v>
      </c>
      <c r="BG182" s="1">
        <v>0</v>
      </c>
      <c r="BH182" s="1">
        <v>0</v>
      </c>
      <c r="BI182" s="1">
        <v>0</v>
      </c>
      <c r="BJ182" s="1">
        <v>1E-3</v>
      </c>
      <c r="BK182" s="1">
        <v>0</v>
      </c>
      <c r="BL182" s="1">
        <v>2E-3</v>
      </c>
      <c r="BM182" s="1">
        <v>1E-3</v>
      </c>
      <c r="BN182" s="1">
        <v>1.0999999999999999E-2</v>
      </c>
      <c r="BO182" s="1">
        <v>1E-3</v>
      </c>
      <c r="BP182" s="1">
        <v>1E-3</v>
      </c>
      <c r="BQ182" s="1">
        <v>0.497</v>
      </c>
      <c r="BR182" s="1">
        <v>1E-3</v>
      </c>
      <c r="BS182" s="1">
        <v>1E-3</v>
      </c>
      <c r="BT182" s="1">
        <v>0</v>
      </c>
      <c r="BU182" s="1">
        <v>2E-3</v>
      </c>
      <c r="BV182" s="1">
        <v>0</v>
      </c>
      <c r="BW182" s="1">
        <v>1E-3</v>
      </c>
      <c r="BX182" s="1">
        <v>3.0000000000000001E-3</v>
      </c>
      <c r="BY182" s="1">
        <v>1E-3</v>
      </c>
      <c r="BZ182" s="1">
        <v>1.0999999999999999E-2</v>
      </c>
      <c r="CA182" s="1">
        <v>1E-3</v>
      </c>
      <c r="CB182" s="1">
        <v>0.22800000000000001</v>
      </c>
      <c r="CC182" s="1">
        <v>8.9999999999999993E-3</v>
      </c>
      <c r="CD182" s="1">
        <v>0</v>
      </c>
      <c r="CE182" s="1">
        <v>1E-3</v>
      </c>
      <c r="CF182" s="1">
        <v>1E-3</v>
      </c>
      <c r="CG182" s="1">
        <v>2E-3</v>
      </c>
      <c r="CH182" s="1">
        <v>1E-3</v>
      </c>
      <c r="CI182" s="1">
        <v>1E-3</v>
      </c>
      <c r="CJ182" s="1">
        <v>2E-3</v>
      </c>
      <c r="CK182" s="1">
        <v>0.124</v>
      </c>
      <c r="CL182" s="1">
        <v>5.2999999999999999E-2</v>
      </c>
      <c r="CM182" s="1">
        <v>-55.727139860000001</v>
      </c>
      <c r="CN182" s="83">
        <v>35.339364420000003</v>
      </c>
    </row>
    <row r="183" spans="1:92" s="3" customFormat="1" x14ac:dyDescent="0.25">
      <c r="A183" s="72">
        <v>181</v>
      </c>
      <c r="B183" s="81" t="s">
        <v>1045</v>
      </c>
      <c r="C183" s="1" t="s">
        <v>83</v>
      </c>
      <c r="D183" s="1" t="s">
        <v>79</v>
      </c>
      <c r="E183" s="1" t="s">
        <v>74</v>
      </c>
      <c r="F183" s="1" t="s">
        <v>669</v>
      </c>
      <c r="G183" s="1" t="s">
        <v>98</v>
      </c>
      <c r="H183" s="1" t="s">
        <v>68</v>
      </c>
      <c r="I183" s="1"/>
      <c r="J183" s="9" t="s">
        <v>544</v>
      </c>
      <c r="K183" s="10">
        <v>0.29236050000000002</v>
      </c>
      <c r="L183" s="1" t="s">
        <v>641</v>
      </c>
      <c r="M183" s="1" t="s">
        <v>76</v>
      </c>
      <c r="N183" s="1" t="s">
        <v>644</v>
      </c>
      <c r="O183" s="1" t="s">
        <v>5</v>
      </c>
      <c r="P183" s="82">
        <v>0.61899999999999999</v>
      </c>
      <c r="Q183" s="1" t="s">
        <v>76</v>
      </c>
      <c r="R183" s="81" t="s">
        <v>129</v>
      </c>
      <c r="S183" s="1">
        <v>3</v>
      </c>
      <c r="T183" s="1" t="s">
        <v>120</v>
      </c>
      <c r="U183" s="1" t="s">
        <v>658</v>
      </c>
      <c r="V183" s="1" t="s">
        <v>655</v>
      </c>
      <c r="W183" s="1">
        <v>63</v>
      </c>
      <c r="X183" s="1" t="s">
        <v>76</v>
      </c>
      <c r="Y183" s="1" t="s">
        <v>644</v>
      </c>
      <c r="Z183" s="1">
        <v>0.61899999999999999</v>
      </c>
      <c r="AA183" s="1">
        <v>1E-3</v>
      </c>
      <c r="AB183" s="1">
        <v>0</v>
      </c>
      <c r="AC183" s="1">
        <v>7.0000000000000001E-3</v>
      </c>
      <c r="AD183" s="1">
        <v>1E-3</v>
      </c>
      <c r="AE183" s="1">
        <v>1E-3</v>
      </c>
      <c r="AF183" s="1">
        <v>0</v>
      </c>
      <c r="AG183" s="1">
        <v>0</v>
      </c>
      <c r="AH183" s="1">
        <v>1.4E-2</v>
      </c>
      <c r="AI183" s="1">
        <v>2E-3</v>
      </c>
      <c r="AJ183" s="1">
        <v>0</v>
      </c>
      <c r="AK183" s="1">
        <v>0</v>
      </c>
      <c r="AL183" s="1">
        <v>0</v>
      </c>
      <c r="AM183" s="1">
        <v>0</v>
      </c>
      <c r="AN183" s="1">
        <v>0.01</v>
      </c>
      <c r="AO183" s="1">
        <v>0</v>
      </c>
      <c r="AP183" s="1">
        <v>0</v>
      </c>
      <c r="AQ183" s="1">
        <v>0</v>
      </c>
      <c r="AR183" s="1">
        <v>0</v>
      </c>
      <c r="AS183" s="1">
        <v>1E-3</v>
      </c>
      <c r="AT183" s="1">
        <v>0</v>
      </c>
      <c r="AU183" s="1">
        <v>0</v>
      </c>
      <c r="AV183" s="1">
        <v>1E-3</v>
      </c>
      <c r="AW183" s="1">
        <v>0</v>
      </c>
      <c r="AX183" s="1">
        <v>0.01</v>
      </c>
      <c r="AY183" s="1">
        <v>1E-3</v>
      </c>
      <c r="AZ183" s="1">
        <v>1E-3</v>
      </c>
      <c r="BA183" s="1">
        <v>2E-3</v>
      </c>
      <c r="BB183" s="1">
        <v>0</v>
      </c>
      <c r="BC183" s="1">
        <v>0</v>
      </c>
      <c r="BD183" s="1">
        <v>2E-3</v>
      </c>
      <c r="BE183" s="1">
        <v>0</v>
      </c>
      <c r="BF183" s="1">
        <v>5.5E-2</v>
      </c>
      <c r="BG183" s="1">
        <v>0</v>
      </c>
      <c r="BH183" s="1">
        <v>1E-3</v>
      </c>
      <c r="BI183" s="1">
        <v>0</v>
      </c>
      <c r="BJ183" s="1">
        <v>0</v>
      </c>
      <c r="BK183" s="1">
        <v>0</v>
      </c>
      <c r="BL183" s="1">
        <v>1E-3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1E-3</v>
      </c>
      <c r="BS183" s="1">
        <v>0</v>
      </c>
      <c r="BT183" s="1">
        <v>0</v>
      </c>
      <c r="BU183" s="1">
        <v>1E-3</v>
      </c>
      <c r="BV183" s="1">
        <v>0</v>
      </c>
      <c r="BW183" s="1">
        <v>0</v>
      </c>
      <c r="BX183" s="1">
        <v>4.0000000000000001E-3</v>
      </c>
      <c r="BY183" s="1">
        <v>1E-3</v>
      </c>
      <c r="BZ183" s="1">
        <v>1E-3</v>
      </c>
      <c r="CA183" s="1">
        <v>1E-3</v>
      </c>
      <c r="CB183" s="1">
        <v>0</v>
      </c>
      <c r="CC183" s="1">
        <v>0</v>
      </c>
      <c r="CD183" s="1">
        <v>0</v>
      </c>
      <c r="CE183" s="1">
        <v>0</v>
      </c>
      <c r="CF183" s="1">
        <v>1E-3</v>
      </c>
      <c r="CG183" s="1">
        <v>1E-3</v>
      </c>
      <c r="CH183" s="1">
        <v>1E-3</v>
      </c>
      <c r="CI183" s="1">
        <v>0</v>
      </c>
      <c r="CJ183" s="1">
        <v>1E-3</v>
      </c>
      <c r="CK183" s="1">
        <v>0.247</v>
      </c>
      <c r="CL183" s="1">
        <v>4.0000000000000001E-3</v>
      </c>
      <c r="CM183" s="1">
        <v>-4.4061969650000004</v>
      </c>
      <c r="CN183" s="83">
        <v>-59.287609269999997</v>
      </c>
    </row>
    <row r="184" spans="1:92" s="3" customFormat="1" ht="15.95" customHeight="1" x14ac:dyDescent="0.25">
      <c r="A184" s="72">
        <v>182</v>
      </c>
      <c r="B184" s="81" t="s">
        <v>1040</v>
      </c>
      <c r="C184" s="1" t="s">
        <v>83</v>
      </c>
      <c r="D184" s="1" t="s">
        <v>79</v>
      </c>
      <c r="E184" s="1" t="s">
        <v>74</v>
      </c>
      <c r="F184" s="1" t="s">
        <v>665</v>
      </c>
      <c r="G184" s="1" t="s">
        <v>200</v>
      </c>
      <c r="H184" s="1" t="s">
        <v>48</v>
      </c>
      <c r="I184" s="1"/>
      <c r="J184" s="9" t="s">
        <v>544</v>
      </c>
      <c r="K184" s="10">
        <v>0.50796566666666598</v>
      </c>
      <c r="L184" s="1" t="s">
        <v>76</v>
      </c>
      <c r="M184" s="1" t="s">
        <v>506</v>
      </c>
      <c r="N184" s="1" t="s">
        <v>645</v>
      </c>
      <c r="O184" s="1" t="s">
        <v>48</v>
      </c>
      <c r="P184" s="82">
        <v>0.92700000000000005</v>
      </c>
      <c r="Q184" s="1" t="s">
        <v>76</v>
      </c>
      <c r="R184" s="81" t="s">
        <v>129</v>
      </c>
      <c r="S184" s="1">
        <v>2</v>
      </c>
      <c r="T184" s="1" t="s">
        <v>120</v>
      </c>
      <c r="U184" s="1" t="s">
        <v>658</v>
      </c>
      <c r="V184" s="1" t="s">
        <v>655</v>
      </c>
      <c r="W184" s="1">
        <v>27</v>
      </c>
      <c r="X184" s="1" t="s">
        <v>76</v>
      </c>
      <c r="Y184" s="1" t="s">
        <v>645</v>
      </c>
      <c r="Z184" s="1">
        <v>0</v>
      </c>
      <c r="AA184" s="1">
        <v>0</v>
      </c>
      <c r="AB184" s="1">
        <v>0</v>
      </c>
      <c r="AC184" s="1">
        <v>3.0000000000000001E-3</v>
      </c>
      <c r="AD184" s="1">
        <v>0</v>
      </c>
      <c r="AE184" s="1">
        <v>0</v>
      </c>
      <c r="AF184" s="1">
        <v>2E-3</v>
      </c>
      <c r="AG184" s="1">
        <v>0</v>
      </c>
      <c r="AH184" s="1">
        <v>1E-3</v>
      </c>
      <c r="AI184" s="1">
        <v>0</v>
      </c>
      <c r="AJ184" s="1">
        <v>0</v>
      </c>
      <c r="AK184" s="1">
        <v>0</v>
      </c>
      <c r="AL184" s="1">
        <v>1E-3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5.0000000000000001E-3</v>
      </c>
      <c r="AT184" s="1">
        <v>1E-3</v>
      </c>
      <c r="AU184" s="1">
        <v>0</v>
      </c>
      <c r="AV184" s="1">
        <v>0</v>
      </c>
      <c r="AW184" s="1">
        <v>0</v>
      </c>
      <c r="AX184" s="1">
        <v>0</v>
      </c>
      <c r="AY184" s="1">
        <v>1E-3</v>
      </c>
      <c r="AZ184" s="1">
        <v>2E-3</v>
      </c>
      <c r="BA184" s="1">
        <v>2E-3</v>
      </c>
      <c r="BB184" s="1">
        <v>0</v>
      </c>
      <c r="BC184" s="1">
        <v>0</v>
      </c>
      <c r="BD184" s="1">
        <v>2E-3</v>
      </c>
      <c r="BE184" s="1">
        <v>3.0000000000000001E-3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1E-3</v>
      </c>
      <c r="BM184" s="1">
        <v>0</v>
      </c>
      <c r="BN184" s="1">
        <v>4.0000000000000001E-3</v>
      </c>
      <c r="BO184" s="1">
        <v>0</v>
      </c>
      <c r="BP184" s="1">
        <v>0</v>
      </c>
      <c r="BQ184" s="1">
        <v>0.92700000000000005</v>
      </c>
      <c r="BR184" s="1">
        <v>0</v>
      </c>
      <c r="BS184" s="1">
        <v>0</v>
      </c>
      <c r="BT184" s="1">
        <v>1E-3</v>
      </c>
      <c r="BU184" s="1">
        <v>2E-3</v>
      </c>
      <c r="BV184" s="1">
        <v>0</v>
      </c>
      <c r="BW184" s="1">
        <v>1E-3</v>
      </c>
      <c r="BX184" s="1">
        <v>1E-3</v>
      </c>
      <c r="BY184" s="1">
        <v>1E-3</v>
      </c>
      <c r="BZ184" s="1">
        <v>3.0000000000000001E-3</v>
      </c>
      <c r="CA184" s="1">
        <v>0</v>
      </c>
      <c r="CB184" s="1">
        <v>1.2E-2</v>
      </c>
      <c r="CC184" s="1">
        <v>1E-3</v>
      </c>
      <c r="CD184" s="1">
        <v>0</v>
      </c>
      <c r="CE184" s="1">
        <v>0</v>
      </c>
      <c r="CF184" s="1">
        <v>0</v>
      </c>
      <c r="CG184" s="1">
        <v>1E-3</v>
      </c>
      <c r="CH184" s="1">
        <v>1E-3</v>
      </c>
      <c r="CI184" s="1">
        <v>2E-3</v>
      </c>
      <c r="CJ184" s="1">
        <v>2E-3</v>
      </c>
      <c r="CK184" s="1">
        <v>3.0000000000000001E-3</v>
      </c>
      <c r="CL184" s="1">
        <v>6.0000000000000001E-3</v>
      </c>
      <c r="CM184" s="1">
        <v>-41.758754209999999</v>
      </c>
      <c r="CN184" s="83">
        <v>49.20451216</v>
      </c>
    </row>
    <row r="185" spans="1:92" s="3" customFormat="1" x14ac:dyDescent="0.25">
      <c r="A185" s="72">
        <v>183</v>
      </c>
      <c r="B185" s="81" t="s">
        <v>1037</v>
      </c>
      <c r="C185" s="1" t="s">
        <v>83</v>
      </c>
      <c r="D185" s="1" t="s">
        <v>79</v>
      </c>
      <c r="E185" s="1" t="s">
        <v>74</v>
      </c>
      <c r="F185" s="1" t="s">
        <v>221</v>
      </c>
      <c r="G185" s="1" t="s">
        <v>94</v>
      </c>
      <c r="H185" s="1" t="s">
        <v>569</v>
      </c>
      <c r="I185" s="1"/>
      <c r="J185" s="9" t="s">
        <v>544</v>
      </c>
      <c r="K185" s="10">
        <v>0.46584999999999999</v>
      </c>
      <c r="L185" s="1" t="s">
        <v>76</v>
      </c>
      <c r="M185" s="1" t="s">
        <v>506</v>
      </c>
      <c r="N185" s="1" t="s">
        <v>645</v>
      </c>
      <c r="O185" s="1" t="s">
        <v>44</v>
      </c>
      <c r="P185" s="82">
        <v>0.997</v>
      </c>
      <c r="Q185" s="1" t="s">
        <v>76</v>
      </c>
      <c r="R185" s="81" t="s">
        <v>210</v>
      </c>
      <c r="S185" s="1">
        <v>3</v>
      </c>
      <c r="T185" s="1" t="s">
        <v>120</v>
      </c>
      <c r="U185" s="1" t="s">
        <v>658</v>
      </c>
      <c r="V185" s="1" t="s">
        <v>655</v>
      </c>
      <c r="W185" s="1">
        <v>56</v>
      </c>
      <c r="X185" s="1" t="s">
        <v>199</v>
      </c>
      <c r="Y185" s="1" t="s">
        <v>645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1E-3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0.997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-34.522368049999997</v>
      </c>
      <c r="CN185" s="83">
        <v>40.578975020000001</v>
      </c>
    </row>
    <row r="186" spans="1:92" s="3" customFormat="1" x14ac:dyDescent="0.25">
      <c r="A186" s="72">
        <v>184</v>
      </c>
      <c r="B186" s="81" t="s">
        <v>998</v>
      </c>
      <c r="C186" s="1" t="s">
        <v>83</v>
      </c>
      <c r="D186" s="1" t="s">
        <v>79</v>
      </c>
      <c r="E186" s="1" t="s">
        <v>74</v>
      </c>
      <c r="F186" s="1" t="s">
        <v>221</v>
      </c>
      <c r="G186" s="1" t="s">
        <v>94</v>
      </c>
      <c r="H186" s="1" t="s">
        <v>569</v>
      </c>
      <c r="I186" s="1"/>
      <c r="J186" s="9" t="s">
        <v>544</v>
      </c>
      <c r="K186" s="10">
        <v>0.49691350000000001</v>
      </c>
      <c r="L186" s="1" t="s">
        <v>76</v>
      </c>
      <c r="M186" s="1" t="s">
        <v>506</v>
      </c>
      <c r="N186" s="1" t="s">
        <v>645</v>
      </c>
      <c r="O186" s="1" t="s">
        <v>44</v>
      </c>
      <c r="P186" s="82">
        <v>0.995</v>
      </c>
      <c r="Q186" s="1" t="s">
        <v>76</v>
      </c>
      <c r="R186" s="81" t="s">
        <v>222</v>
      </c>
      <c r="S186" s="1">
        <v>3</v>
      </c>
      <c r="T186" s="1" t="s">
        <v>120</v>
      </c>
      <c r="U186" s="1" t="s">
        <v>658</v>
      </c>
      <c r="V186" s="1" t="s">
        <v>655</v>
      </c>
      <c r="W186" s="1">
        <v>61</v>
      </c>
      <c r="X186" s="1" t="s">
        <v>76</v>
      </c>
      <c r="Y186" s="1" t="s">
        <v>645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1E-3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0.995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19.916499040000001</v>
      </c>
      <c r="CN186" s="83">
        <v>-29.13066774</v>
      </c>
    </row>
    <row r="187" spans="1:92" s="3" customFormat="1" x14ac:dyDescent="0.25">
      <c r="A187" s="72">
        <v>185</v>
      </c>
      <c r="B187" s="81" t="s">
        <v>973</v>
      </c>
      <c r="C187" s="1" t="s">
        <v>83</v>
      </c>
      <c r="D187" s="1" t="s">
        <v>79</v>
      </c>
      <c r="E187" s="1" t="s">
        <v>215</v>
      </c>
      <c r="F187" s="1" t="s">
        <v>223</v>
      </c>
      <c r="G187" s="1" t="s">
        <v>98</v>
      </c>
      <c r="H187" s="1" t="s">
        <v>224</v>
      </c>
      <c r="I187" s="1"/>
      <c r="J187" s="9" t="s">
        <v>544</v>
      </c>
      <c r="K187" s="10">
        <v>0.61924566666666603</v>
      </c>
      <c r="L187" s="1" t="s">
        <v>641</v>
      </c>
      <c r="M187" s="1" t="s">
        <v>76</v>
      </c>
      <c r="N187" s="1" t="s">
        <v>644</v>
      </c>
      <c r="O187" s="1" t="s">
        <v>55</v>
      </c>
      <c r="P187" s="82">
        <v>0.64500000000000002</v>
      </c>
      <c r="Q187" s="1" t="s">
        <v>76</v>
      </c>
      <c r="R187" s="81" t="s">
        <v>194</v>
      </c>
      <c r="S187" s="1">
        <v>3</v>
      </c>
      <c r="T187" s="1" t="s">
        <v>120</v>
      </c>
      <c r="U187" s="1" t="s">
        <v>658</v>
      </c>
      <c r="V187" s="1" t="s">
        <v>655</v>
      </c>
      <c r="W187" s="1">
        <v>60</v>
      </c>
      <c r="X187" s="1" t="s">
        <v>76</v>
      </c>
      <c r="Y187" s="1" t="s">
        <v>644</v>
      </c>
      <c r="Z187" s="1">
        <v>1E-3</v>
      </c>
      <c r="AA187" s="1">
        <v>3.0000000000000001E-3</v>
      </c>
      <c r="AB187" s="1">
        <v>2E-3</v>
      </c>
      <c r="AC187" s="1">
        <v>1.4E-2</v>
      </c>
      <c r="AD187" s="1">
        <v>2E-3</v>
      </c>
      <c r="AE187" s="1">
        <v>2E-3</v>
      </c>
      <c r="AF187" s="1">
        <v>2E-3</v>
      </c>
      <c r="AG187" s="1">
        <v>1E-3</v>
      </c>
      <c r="AH187" s="1">
        <v>6.0000000000000001E-3</v>
      </c>
      <c r="AI187" s="1">
        <v>1E-3</v>
      </c>
      <c r="AJ187" s="1">
        <v>1E-3</v>
      </c>
      <c r="AK187" s="1">
        <v>5.0000000000000001E-3</v>
      </c>
      <c r="AL187" s="1">
        <v>1.2999999999999999E-2</v>
      </c>
      <c r="AM187" s="1">
        <v>2E-3</v>
      </c>
      <c r="AN187" s="1">
        <v>2E-3</v>
      </c>
      <c r="AO187" s="1">
        <v>1.0999999999999999E-2</v>
      </c>
      <c r="AP187" s="1">
        <v>2E-3</v>
      </c>
      <c r="AQ187" s="1">
        <v>1E-3</v>
      </c>
      <c r="AR187" s="1">
        <v>1E-3</v>
      </c>
      <c r="AS187" s="1">
        <v>6.0000000000000001E-3</v>
      </c>
      <c r="AT187" s="1">
        <v>6.0000000000000001E-3</v>
      </c>
      <c r="AU187" s="1">
        <v>4.0000000000000001E-3</v>
      </c>
      <c r="AV187" s="1">
        <v>1E-3</v>
      </c>
      <c r="AW187" s="1">
        <v>5.0000000000000001E-3</v>
      </c>
      <c r="AX187" s="1">
        <v>3.0000000000000001E-3</v>
      </c>
      <c r="AY187" s="1">
        <v>2.5999999999999999E-2</v>
      </c>
      <c r="AZ187" s="1">
        <v>7.0000000000000001E-3</v>
      </c>
      <c r="BA187" s="1">
        <v>8.9999999999999993E-3</v>
      </c>
      <c r="BB187" s="1">
        <v>6.0000000000000001E-3</v>
      </c>
      <c r="BC187" s="1">
        <v>1E-3</v>
      </c>
      <c r="BD187" s="1">
        <v>8.0000000000000002E-3</v>
      </c>
      <c r="BE187" s="1">
        <v>1E-3</v>
      </c>
      <c r="BF187" s="1">
        <v>1E-3</v>
      </c>
      <c r="BG187" s="1">
        <v>2E-3</v>
      </c>
      <c r="BH187" s="1">
        <v>2E-3</v>
      </c>
      <c r="BI187" s="1">
        <v>2E-3</v>
      </c>
      <c r="BJ187" s="1">
        <v>1E-3</v>
      </c>
      <c r="BK187" s="1">
        <v>1E-3</v>
      </c>
      <c r="BL187" s="1">
        <v>1.0999999999999999E-2</v>
      </c>
      <c r="BM187" s="1">
        <v>3.0000000000000001E-3</v>
      </c>
      <c r="BN187" s="1">
        <v>3.0000000000000001E-3</v>
      </c>
      <c r="BO187" s="1">
        <v>1E-3</v>
      </c>
      <c r="BP187" s="1">
        <v>1E-3</v>
      </c>
      <c r="BQ187" s="1">
        <v>7.0000000000000007E-2</v>
      </c>
      <c r="BR187" s="1">
        <v>5.0000000000000001E-3</v>
      </c>
      <c r="BS187" s="1">
        <v>1E-3</v>
      </c>
      <c r="BT187" s="1">
        <v>1E-3</v>
      </c>
      <c r="BU187" s="1">
        <v>1E-3</v>
      </c>
      <c r="BV187" s="1">
        <v>3.0000000000000001E-3</v>
      </c>
      <c r="BW187" s="1">
        <v>0.01</v>
      </c>
      <c r="BX187" s="1">
        <v>0.64500000000000002</v>
      </c>
      <c r="BY187" s="1">
        <v>8.0000000000000002E-3</v>
      </c>
      <c r="BZ187" s="1">
        <v>1.2999999999999999E-2</v>
      </c>
      <c r="CA187" s="1">
        <v>4.0000000000000001E-3</v>
      </c>
      <c r="CB187" s="1">
        <v>1E-3</v>
      </c>
      <c r="CC187" s="1">
        <v>4.0000000000000001E-3</v>
      </c>
      <c r="CD187" s="1">
        <v>3.0000000000000001E-3</v>
      </c>
      <c r="CE187" s="1">
        <v>3.0000000000000001E-3</v>
      </c>
      <c r="CF187" s="1">
        <v>2E-3</v>
      </c>
      <c r="CG187" s="1">
        <v>0.01</v>
      </c>
      <c r="CH187" s="1">
        <v>6.0000000000000001E-3</v>
      </c>
      <c r="CI187" s="1">
        <v>4.0000000000000001E-3</v>
      </c>
      <c r="CJ187" s="1">
        <v>8.9999999999999993E-3</v>
      </c>
      <c r="CK187" s="1">
        <v>8.0000000000000002E-3</v>
      </c>
      <c r="CL187" s="1">
        <v>6.0000000000000001E-3</v>
      </c>
      <c r="CM187" s="1">
        <v>26.370874929999999</v>
      </c>
      <c r="CN187" s="83">
        <v>45.069351240000003</v>
      </c>
    </row>
    <row r="188" spans="1:92" s="3" customFormat="1" x14ac:dyDescent="0.25">
      <c r="A188" s="72">
        <v>187</v>
      </c>
      <c r="B188" s="81" t="s">
        <v>848</v>
      </c>
      <c r="C188" s="1" t="s">
        <v>83</v>
      </c>
      <c r="D188" s="1" t="s">
        <v>79</v>
      </c>
      <c r="E188" s="1" t="s">
        <v>215</v>
      </c>
      <c r="F188" s="1" t="s">
        <v>665</v>
      </c>
      <c r="G188" s="1" t="s">
        <v>98</v>
      </c>
      <c r="H188" s="1" t="s">
        <v>48</v>
      </c>
      <c r="I188" s="1"/>
      <c r="J188" s="9" t="s">
        <v>544</v>
      </c>
      <c r="K188" s="10">
        <v>0.59897166666666601</v>
      </c>
      <c r="L188" s="1" t="s">
        <v>641</v>
      </c>
      <c r="M188" s="1" t="s">
        <v>76</v>
      </c>
      <c r="N188" s="1" t="s">
        <v>644</v>
      </c>
      <c r="O188" s="1" t="s">
        <v>17</v>
      </c>
      <c r="P188" s="82">
        <v>0.48099999999999998</v>
      </c>
      <c r="Q188" s="1" t="s">
        <v>76</v>
      </c>
      <c r="R188" s="81" t="s">
        <v>169</v>
      </c>
      <c r="S188" s="1">
        <v>2</v>
      </c>
      <c r="T188" s="1" t="s">
        <v>120</v>
      </c>
      <c r="U188" s="1" t="s">
        <v>658</v>
      </c>
      <c r="V188" s="1" t="s">
        <v>655</v>
      </c>
      <c r="W188" s="1">
        <v>43</v>
      </c>
      <c r="X188" s="1" t="s">
        <v>76</v>
      </c>
      <c r="Y188" s="1" t="s">
        <v>644</v>
      </c>
      <c r="Z188" s="1">
        <v>1E-3</v>
      </c>
      <c r="AA188" s="1">
        <v>2E-3</v>
      </c>
      <c r="AB188" s="1">
        <v>1E-3</v>
      </c>
      <c r="AC188" s="1">
        <v>7.0000000000000001E-3</v>
      </c>
      <c r="AD188" s="1">
        <v>2E-3</v>
      </c>
      <c r="AE188" s="1">
        <v>1E-3</v>
      </c>
      <c r="AF188" s="1">
        <v>3.0000000000000001E-3</v>
      </c>
      <c r="AG188" s="1">
        <v>0</v>
      </c>
      <c r="AH188" s="1">
        <v>4.0000000000000001E-3</v>
      </c>
      <c r="AI188" s="1">
        <v>1E-3</v>
      </c>
      <c r="AJ188" s="1">
        <v>1E-3</v>
      </c>
      <c r="AK188" s="1">
        <v>6.0000000000000001E-3</v>
      </c>
      <c r="AL188" s="1">
        <v>0.48099999999999998</v>
      </c>
      <c r="AM188" s="1">
        <v>1.2E-2</v>
      </c>
      <c r="AN188" s="1">
        <v>4.0000000000000001E-3</v>
      </c>
      <c r="AO188" s="1">
        <v>2E-3</v>
      </c>
      <c r="AP188" s="1">
        <v>1E-3</v>
      </c>
      <c r="AQ188" s="1">
        <v>1E-3</v>
      </c>
      <c r="AR188" s="1">
        <v>2E-3</v>
      </c>
      <c r="AS188" s="1">
        <v>6.0000000000000001E-3</v>
      </c>
      <c r="AT188" s="1">
        <v>3.0000000000000001E-3</v>
      </c>
      <c r="AU188" s="1">
        <v>2E-3</v>
      </c>
      <c r="AV188" s="1">
        <v>2E-3</v>
      </c>
      <c r="AW188" s="1">
        <v>1.4999999999999999E-2</v>
      </c>
      <c r="AX188" s="1">
        <v>5.0000000000000001E-3</v>
      </c>
      <c r="AY188" s="1">
        <v>1.0999999999999999E-2</v>
      </c>
      <c r="AZ188" s="1">
        <v>6.0000000000000001E-3</v>
      </c>
      <c r="BA188" s="1">
        <v>4.0000000000000001E-3</v>
      </c>
      <c r="BB188" s="1">
        <v>1E-3</v>
      </c>
      <c r="BC188" s="1">
        <v>1E-3</v>
      </c>
      <c r="BD188" s="1">
        <v>4.0000000000000001E-3</v>
      </c>
      <c r="BE188" s="1">
        <v>3.0000000000000001E-3</v>
      </c>
      <c r="BF188" s="1">
        <v>1E-3</v>
      </c>
      <c r="BG188" s="1">
        <v>1E-3</v>
      </c>
      <c r="BH188" s="1">
        <v>1E-3</v>
      </c>
      <c r="BI188" s="1">
        <v>1E-3</v>
      </c>
      <c r="BJ188" s="1">
        <v>1E-3</v>
      </c>
      <c r="BK188" s="1">
        <v>1E-3</v>
      </c>
      <c r="BL188" s="1">
        <v>3.3000000000000002E-2</v>
      </c>
      <c r="BM188" s="1">
        <v>3.0000000000000001E-3</v>
      </c>
      <c r="BN188" s="1">
        <v>5.0000000000000001E-3</v>
      </c>
      <c r="BO188" s="1">
        <v>1E-3</v>
      </c>
      <c r="BP188" s="1">
        <v>1E-3</v>
      </c>
      <c r="BQ188" s="1">
        <v>0.192</v>
      </c>
      <c r="BR188" s="1">
        <v>2E-3</v>
      </c>
      <c r="BS188" s="1">
        <v>1E-3</v>
      </c>
      <c r="BT188" s="1">
        <v>1E-3</v>
      </c>
      <c r="BU188" s="1">
        <v>1E-3</v>
      </c>
      <c r="BV188" s="1">
        <v>1E-3</v>
      </c>
      <c r="BW188" s="1">
        <v>3.0000000000000001E-3</v>
      </c>
      <c r="BX188" s="1">
        <v>4.0000000000000001E-3</v>
      </c>
      <c r="BY188" s="1">
        <v>3.0000000000000001E-3</v>
      </c>
      <c r="BZ188" s="1">
        <v>0.04</v>
      </c>
      <c r="CA188" s="1">
        <v>4.0000000000000001E-3</v>
      </c>
      <c r="CB188" s="1">
        <v>7.0000000000000001E-3</v>
      </c>
      <c r="CC188" s="1">
        <v>5.0000000000000001E-3</v>
      </c>
      <c r="CD188" s="1">
        <v>1E-3</v>
      </c>
      <c r="CE188" s="1">
        <v>2E-3</v>
      </c>
      <c r="CF188" s="1">
        <v>2E-3</v>
      </c>
      <c r="CG188" s="1">
        <v>1.4999999999999999E-2</v>
      </c>
      <c r="CH188" s="1">
        <v>3.0000000000000001E-3</v>
      </c>
      <c r="CI188" s="1">
        <v>2E-3</v>
      </c>
      <c r="CJ188" s="1">
        <v>5.0000000000000001E-3</v>
      </c>
      <c r="CK188" s="1">
        <v>1.7999999999999999E-2</v>
      </c>
      <c r="CL188" s="1">
        <v>4.4999999999999998E-2</v>
      </c>
      <c r="CM188" s="1">
        <v>-54.70157365</v>
      </c>
      <c r="CN188" s="83">
        <v>48.675553819999998</v>
      </c>
    </row>
    <row r="189" spans="1:92" s="3" customFormat="1" x14ac:dyDescent="0.25">
      <c r="A189" s="72">
        <v>188</v>
      </c>
      <c r="B189" s="81" t="s">
        <v>1227</v>
      </c>
      <c r="C189" s="1" t="s">
        <v>83</v>
      </c>
      <c r="D189" s="1" t="s">
        <v>79</v>
      </c>
      <c r="E189" s="1" t="s">
        <v>74</v>
      </c>
      <c r="F189" s="1" t="s">
        <v>669</v>
      </c>
      <c r="G189" s="1" t="s">
        <v>219</v>
      </c>
      <c r="H189" s="1" t="s">
        <v>68</v>
      </c>
      <c r="I189" s="1"/>
      <c r="J189" s="9" t="s">
        <v>544</v>
      </c>
      <c r="K189" s="10">
        <v>0.498103666666667</v>
      </c>
      <c r="L189" s="1" t="s">
        <v>76</v>
      </c>
      <c r="M189" s="1" t="s">
        <v>506</v>
      </c>
      <c r="N189" s="1" t="s">
        <v>645</v>
      </c>
      <c r="O189" s="1" t="s">
        <v>68</v>
      </c>
      <c r="P189" s="82">
        <v>0.94299999999999995</v>
      </c>
      <c r="Q189" s="1" t="s">
        <v>76</v>
      </c>
      <c r="R189" s="81" t="s">
        <v>177</v>
      </c>
      <c r="S189" s="1">
        <v>3</v>
      </c>
      <c r="T189" s="1" t="s">
        <v>120</v>
      </c>
      <c r="U189" s="1" t="s">
        <v>658</v>
      </c>
      <c r="V189" s="1" t="s">
        <v>655</v>
      </c>
      <c r="W189" s="1">
        <v>38</v>
      </c>
      <c r="X189" s="1" t="s">
        <v>76</v>
      </c>
      <c r="Y189" s="1" t="s">
        <v>645</v>
      </c>
      <c r="Z189" s="1">
        <v>1E-3</v>
      </c>
      <c r="AA189" s="1">
        <v>0</v>
      </c>
      <c r="AB189" s="1">
        <v>0</v>
      </c>
      <c r="AC189" s="1">
        <v>1E-3</v>
      </c>
      <c r="AD189" s="1">
        <v>1E-3</v>
      </c>
      <c r="AE189" s="1">
        <v>1E-3</v>
      </c>
      <c r="AF189" s="1">
        <v>1E-3</v>
      </c>
      <c r="AG189" s="1">
        <v>0</v>
      </c>
      <c r="AH189" s="1">
        <v>1E-3</v>
      </c>
      <c r="AI189" s="1">
        <v>0</v>
      </c>
      <c r="AJ189" s="1">
        <v>1E-3</v>
      </c>
      <c r="AK189" s="1">
        <v>1E-3</v>
      </c>
      <c r="AL189" s="1">
        <v>0</v>
      </c>
      <c r="AM189" s="1">
        <v>0</v>
      </c>
      <c r="AN189" s="1">
        <v>1E-3</v>
      </c>
      <c r="AO189" s="1">
        <v>0</v>
      </c>
      <c r="AP189" s="1">
        <v>0</v>
      </c>
      <c r="AQ189" s="1">
        <v>0</v>
      </c>
      <c r="AR189" s="1">
        <v>8.0000000000000002E-3</v>
      </c>
      <c r="AS189" s="1">
        <v>1E-3</v>
      </c>
      <c r="AT189" s="1">
        <v>0</v>
      </c>
      <c r="AU189" s="1">
        <v>2E-3</v>
      </c>
      <c r="AV189" s="1">
        <v>0</v>
      </c>
      <c r="AW189" s="1">
        <v>0</v>
      </c>
      <c r="AX189" s="1">
        <v>2E-3</v>
      </c>
      <c r="AY189" s="1">
        <v>1E-3</v>
      </c>
      <c r="AZ189" s="1">
        <v>1E-3</v>
      </c>
      <c r="BA189" s="1">
        <v>1E-3</v>
      </c>
      <c r="BB189" s="1">
        <v>0</v>
      </c>
      <c r="BC189" s="1">
        <v>0</v>
      </c>
      <c r="BD189" s="1">
        <v>1E-3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1E-3</v>
      </c>
      <c r="BM189" s="1">
        <v>0</v>
      </c>
      <c r="BN189" s="1">
        <v>0</v>
      </c>
      <c r="BO189" s="1">
        <v>2E-3</v>
      </c>
      <c r="BP189" s="1">
        <v>1E-3</v>
      </c>
      <c r="BQ189" s="1">
        <v>0</v>
      </c>
      <c r="BR189" s="1">
        <v>0</v>
      </c>
      <c r="BS189" s="1">
        <v>1.2E-2</v>
      </c>
      <c r="BT189" s="1">
        <v>0</v>
      </c>
      <c r="BU189" s="1">
        <v>0</v>
      </c>
      <c r="BV189" s="1">
        <v>0</v>
      </c>
      <c r="BW189" s="1">
        <v>0</v>
      </c>
      <c r="BX189" s="1">
        <v>6.0000000000000001E-3</v>
      </c>
      <c r="BY189" s="1">
        <v>1E-3</v>
      </c>
      <c r="BZ189" s="1">
        <v>1E-3</v>
      </c>
      <c r="CA189" s="1">
        <v>0</v>
      </c>
      <c r="CB189" s="1">
        <v>1E-3</v>
      </c>
      <c r="CC189" s="1">
        <v>1E-3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0.94299999999999995</v>
      </c>
      <c r="CL189" s="1">
        <v>1E-3</v>
      </c>
      <c r="CM189" s="1">
        <v>55.633914189999999</v>
      </c>
      <c r="CN189" s="83">
        <v>-52.274328060000002</v>
      </c>
    </row>
    <row r="190" spans="1:92" s="3" customFormat="1" x14ac:dyDescent="0.25">
      <c r="A190" s="72">
        <v>189</v>
      </c>
      <c r="B190" s="81" t="s">
        <v>1463</v>
      </c>
      <c r="C190" s="1" t="s">
        <v>83</v>
      </c>
      <c r="D190" s="1" t="s">
        <v>79</v>
      </c>
      <c r="E190" s="1" t="s">
        <v>195</v>
      </c>
      <c r="F190" s="1" t="s">
        <v>665</v>
      </c>
      <c r="G190" s="1" t="s">
        <v>200</v>
      </c>
      <c r="H190" s="1" t="s">
        <v>48</v>
      </c>
      <c r="I190" s="1"/>
      <c r="J190" s="9" t="s">
        <v>544</v>
      </c>
      <c r="K190" s="10">
        <v>0.39135116666666703</v>
      </c>
      <c r="L190" s="1" t="s">
        <v>641</v>
      </c>
      <c r="M190" s="1" t="s">
        <v>76</v>
      </c>
      <c r="N190" s="1" t="s">
        <v>644</v>
      </c>
      <c r="O190" s="1" t="s">
        <v>69</v>
      </c>
      <c r="P190" s="82">
        <v>0.33900000000000002</v>
      </c>
      <c r="Q190" s="1" t="s">
        <v>76</v>
      </c>
      <c r="R190" s="81" t="s">
        <v>193</v>
      </c>
      <c r="S190" s="1">
        <v>3</v>
      </c>
      <c r="T190" s="1" t="s">
        <v>120</v>
      </c>
      <c r="U190" s="1" t="s">
        <v>658</v>
      </c>
      <c r="V190" s="1" t="s">
        <v>655</v>
      </c>
      <c r="W190" s="1">
        <v>29</v>
      </c>
      <c r="X190" s="1" t="s">
        <v>76</v>
      </c>
      <c r="Y190" s="1" t="s">
        <v>644</v>
      </c>
      <c r="Z190" s="1">
        <v>1.0999999999999999E-2</v>
      </c>
      <c r="AA190" s="1">
        <v>4.0000000000000001E-3</v>
      </c>
      <c r="AB190" s="1">
        <v>4.0000000000000001E-3</v>
      </c>
      <c r="AC190" s="1">
        <v>1.2999999999999999E-2</v>
      </c>
      <c r="AD190" s="1">
        <v>5.0999999999999997E-2</v>
      </c>
      <c r="AE190" s="1">
        <v>4.0000000000000001E-3</v>
      </c>
      <c r="AF190" s="1">
        <v>5.0000000000000001E-3</v>
      </c>
      <c r="AG190" s="1">
        <v>0</v>
      </c>
      <c r="AH190" s="1">
        <v>8.0000000000000002E-3</v>
      </c>
      <c r="AI190" s="1">
        <v>1E-3</v>
      </c>
      <c r="AJ190" s="1">
        <v>4.0000000000000001E-3</v>
      </c>
      <c r="AK190" s="1">
        <v>6.0000000000000001E-3</v>
      </c>
      <c r="AL190" s="1">
        <v>0</v>
      </c>
      <c r="AM190" s="1">
        <v>2E-3</v>
      </c>
      <c r="AN190" s="1">
        <v>5.0000000000000001E-3</v>
      </c>
      <c r="AO190" s="1">
        <v>2E-3</v>
      </c>
      <c r="AP190" s="1">
        <v>2E-3</v>
      </c>
      <c r="AQ190" s="1">
        <v>2E-3</v>
      </c>
      <c r="AR190" s="1">
        <v>1.4999999999999999E-2</v>
      </c>
      <c r="AS190" s="1">
        <v>1.4E-2</v>
      </c>
      <c r="AT190" s="1">
        <v>4.0000000000000001E-3</v>
      </c>
      <c r="AU190" s="1">
        <v>8.0000000000000002E-3</v>
      </c>
      <c r="AV190" s="1">
        <v>3.0000000000000001E-3</v>
      </c>
      <c r="AW190" s="1">
        <v>3.0000000000000001E-3</v>
      </c>
      <c r="AX190" s="1">
        <v>1.2E-2</v>
      </c>
      <c r="AY190" s="1">
        <v>6.0000000000000001E-3</v>
      </c>
      <c r="AZ190" s="1">
        <v>1.2999999999999999E-2</v>
      </c>
      <c r="BA190" s="1">
        <v>0.01</v>
      </c>
      <c r="BB190" s="1">
        <v>3.0000000000000001E-3</v>
      </c>
      <c r="BC190" s="1">
        <v>2E-3</v>
      </c>
      <c r="BD190" s="1">
        <v>1.7000000000000001E-2</v>
      </c>
      <c r="BE190" s="1">
        <v>6.0000000000000001E-3</v>
      </c>
      <c r="BF190" s="1">
        <v>4.0000000000000001E-3</v>
      </c>
      <c r="BG190" s="1">
        <v>1E-3</v>
      </c>
      <c r="BH190" s="1">
        <v>2E-3</v>
      </c>
      <c r="BI190" s="1">
        <v>2E-3</v>
      </c>
      <c r="BJ190" s="1">
        <v>6.0000000000000001E-3</v>
      </c>
      <c r="BK190" s="1">
        <v>2E-3</v>
      </c>
      <c r="BL190" s="1">
        <v>4.0000000000000001E-3</v>
      </c>
      <c r="BM190" s="1">
        <v>2E-3</v>
      </c>
      <c r="BN190" s="1">
        <v>0.01</v>
      </c>
      <c r="BO190" s="1">
        <v>0.01</v>
      </c>
      <c r="BP190" s="1">
        <v>1.2999999999999999E-2</v>
      </c>
      <c r="BQ190" s="1">
        <v>8.0000000000000002E-3</v>
      </c>
      <c r="BR190" s="1">
        <v>3.0000000000000001E-3</v>
      </c>
      <c r="BS190" s="1">
        <v>1.4999999999999999E-2</v>
      </c>
      <c r="BT190" s="1">
        <v>2E-3</v>
      </c>
      <c r="BU190" s="1">
        <v>0.01</v>
      </c>
      <c r="BV190" s="1">
        <v>3.0000000000000001E-3</v>
      </c>
      <c r="BW190" s="1">
        <v>4.0000000000000001E-3</v>
      </c>
      <c r="BX190" s="1">
        <v>1.2999999999999999E-2</v>
      </c>
      <c r="BY190" s="1">
        <v>0.01</v>
      </c>
      <c r="BZ190" s="1">
        <v>8.4000000000000005E-2</v>
      </c>
      <c r="CA190" s="1">
        <v>8.9999999999999993E-3</v>
      </c>
      <c r="CB190" s="1">
        <v>1.4999999999999999E-2</v>
      </c>
      <c r="CC190" s="1">
        <v>8.9999999999999993E-3</v>
      </c>
      <c r="CD190" s="1">
        <v>0</v>
      </c>
      <c r="CE190" s="1">
        <v>3.0000000000000001E-3</v>
      </c>
      <c r="CF190" s="1">
        <v>3.0000000000000001E-3</v>
      </c>
      <c r="CG190" s="1">
        <v>5.0000000000000001E-3</v>
      </c>
      <c r="CH190" s="1">
        <v>5.0000000000000001E-3</v>
      </c>
      <c r="CI190" s="1">
        <v>3.0000000000000001E-3</v>
      </c>
      <c r="CJ190" s="1">
        <v>6.0000000000000001E-3</v>
      </c>
      <c r="CK190" s="1">
        <v>0.154</v>
      </c>
      <c r="CL190" s="1">
        <v>0.33900000000000002</v>
      </c>
      <c r="CM190" s="1">
        <v>-47.226931180000001</v>
      </c>
      <c r="CN190" s="83">
        <v>-8.5493020000000008</v>
      </c>
    </row>
    <row r="191" spans="1:92" s="3" customFormat="1" x14ac:dyDescent="0.25">
      <c r="A191" s="72">
        <v>190</v>
      </c>
      <c r="B191" s="81" t="s">
        <v>1034</v>
      </c>
      <c r="C191" s="1" t="s">
        <v>83</v>
      </c>
      <c r="D191" s="1" t="s">
        <v>79</v>
      </c>
      <c r="E191" s="1" t="s">
        <v>99</v>
      </c>
      <c r="F191" s="1" t="s">
        <v>665</v>
      </c>
      <c r="G191" s="1" t="s">
        <v>226</v>
      </c>
      <c r="H191" s="1" t="s">
        <v>48</v>
      </c>
      <c r="I191" s="1"/>
      <c r="J191" s="9" t="s">
        <v>544</v>
      </c>
      <c r="K191" s="10">
        <v>0.56407883333333397</v>
      </c>
      <c r="L191" s="1" t="s">
        <v>641</v>
      </c>
      <c r="M191" s="1" t="s">
        <v>76</v>
      </c>
      <c r="N191" s="1" t="s">
        <v>644</v>
      </c>
      <c r="O191" s="1" t="s">
        <v>44</v>
      </c>
      <c r="P191" s="82">
        <v>0.42199999999999999</v>
      </c>
      <c r="Q191" s="1" t="s">
        <v>76</v>
      </c>
      <c r="R191" s="81" t="s">
        <v>227</v>
      </c>
      <c r="S191" s="1">
        <v>2</v>
      </c>
      <c r="T191" s="1" t="s">
        <v>120</v>
      </c>
      <c r="U191" s="1" t="s">
        <v>658</v>
      </c>
      <c r="V191" s="1" t="s">
        <v>655</v>
      </c>
      <c r="W191" s="1">
        <v>24</v>
      </c>
      <c r="X191" s="1" t="s">
        <v>1726</v>
      </c>
      <c r="Y191" s="1" t="s">
        <v>644</v>
      </c>
      <c r="Z191" s="1">
        <v>1E-3</v>
      </c>
      <c r="AA191" s="1">
        <v>5.0000000000000001E-3</v>
      </c>
      <c r="AB191" s="1">
        <v>3.0000000000000001E-3</v>
      </c>
      <c r="AC191" s="1">
        <v>1.9E-2</v>
      </c>
      <c r="AD191" s="1">
        <v>7.0000000000000001E-3</v>
      </c>
      <c r="AE191" s="1">
        <v>2E-3</v>
      </c>
      <c r="AF191" s="1">
        <v>5.8999999999999997E-2</v>
      </c>
      <c r="AG191" s="1">
        <v>0</v>
      </c>
      <c r="AH191" s="1">
        <v>1.2E-2</v>
      </c>
      <c r="AI191" s="1">
        <v>5.0000000000000001E-3</v>
      </c>
      <c r="AJ191" s="1">
        <v>2E-3</v>
      </c>
      <c r="AK191" s="1">
        <v>7.0000000000000001E-3</v>
      </c>
      <c r="AL191" s="1">
        <v>8.9999999999999993E-3</v>
      </c>
      <c r="AM191" s="1">
        <v>2E-3</v>
      </c>
      <c r="AN191" s="1">
        <v>2E-3</v>
      </c>
      <c r="AO191" s="1">
        <v>3.0000000000000001E-3</v>
      </c>
      <c r="AP191" s="1">
        <v>3.0000000000000001E-3</v>
      </c>
      <c r="AQ191" s="1">
        <v>2E-3</v>
      </c>
      <c r="AR191" s="1">
        <v>1E-3</v>
      </c>
      <c r="AS191" s="1">
        <v>0.01</v>
      </c>
      <c r="AT191" s="1">
        <v>6.0000000000000001E-3</v>
      </c>
      <c r="AU191" s="1">
        <v>4.0000000000000001E-3</v>
      </c>
      <c r="AV191" s="1">
        <v>2E-3</v>
      </c>
      <c r="AW191" s="1">
        <v>8.0000000000000002E-3</v>
      </c>
      <c r="AX191" s="1">
        <v>1.6E-2</v>
      </c>
      <c r="AY191" s="1">
        <v>8.0000000000000002E-3</v>
      </c>
      <c r="AZ191" s="1">
        <v>4.0000000000000001E-3</v>
      </c>
      <c r="BA191" s="1">
        <v>1.6E-2</v>
      </c>
      <c r="BB191" s="1">
        <v>2E-3</v>
      </c>
      <c r="BC191" s="1">
        <v>2E-3</v>
      </c>
      <c r="BD191" s="1">
        <v>1.2999999999999999E-2</v>
      </c>
      <c r="BE191" s="1">
        <v>2E-3</v>
      </c>
      <c r="BF191" s="1">
        <v>1E-3</v>
      </c>
      <c r="BG191" s="1">
        <v>4.0000000000000001E-3</v>
      </c>
      <c r="BH191" s="1">
        <v>2E-3</v>
      </c>
      <c r="BI191" s="1">
        <v>2E-3</v>
      </c>
      <c r="BJ191" s="1">
        <v>1E-3</v>
      </c>
      <c r="BK191" s="1">
        <v>2E-3</v>
      </c>
      <c r="BL191" s="1">
        <v>2.7E-2</v>
      </c>
      <c r="BM191" s="1">
        <v>0.42199999999999999</v>
      </c>
      <c r="BN191" s="1">
        <v>4.0000000000000001E-3</v>
      </c>
      <c r="BO191" s="1">
        <v>1E-3</v>
      </c>
      <c r="BP191" s="1">
        <v>1E-3</v>
      </c>
      <c r="BQ191" s="1">
        <v>1.4E-2</v>
      </c>
      <c r="BR191" s="1">
        <v>0.123</v>
      </c>
      <c r="BS191" s="1">
        <v>2E-3</v>
      </c>
      <c r="BT191" s="1">
        <v>5.0000000000000001E-3</v>
      </c>
      <c r="BU191" s="1">
        <v>2E-3</v>
      </c>
      <c r="BV191" s="1">
        <v>2E-3</v>
      </c>
      <c r="BW191" s="1">
        <v>4.0000000000000001E-3</v>
      </c>
      <c r="BX191" s="1">
        <v>8.0000000000000002E-3</v>
      </c>
      <c r="BY191" s="1">
        <v>1.6E-2</v>
      </c>
      <c r="BZ191" s="1">
        <v>1.0999999999999999E-2</v>
      </c>
      <c r="CA191" s="1">
        <v>4.0000000000000001E-3</v>
      </c>
      <c r="CB191" s="1">
        <v>1E-3</v>
      </c>
      <c r="CC191" s="1">
        <v>3.0000000000000001E-3</v>
      </c>
      <c r="CD191" s="1">
        <v>0</v>
      </c>
      <c r="CE191" s="1">
        <v>3.0000000000000001E-3</v>
      </c>
      <c r="CF191" s="1">
        <v>3.0000000000000001E-3</v>
      </c>
      <c r="CG191" s="1">
        <v>1.0999999999999999E-2</v>
      </c>
      <c r="CH191" s="1">
        <v>6.0000000000000001E-3</v>
      </c>
      <c r="CI191" s="1">
        <v>1.9E-2</v>
      </c>
      <c r="CJ191" s="1">
        <v>2.7E-2</v>
      </c>
      <c r="CK191" s="1">
        <v>1.6E-2</v>
      </c>
      <c r="CL191" s="1">
        <v>0.01</v>
      </c>
      <c r="CM191" s="1">
        <v>-20.186701100000001</v>
      </c>
      <c r="CN191" s="83">
        <v>60.719739670000003</v>
      </c>
    </row>
    <row r="192" spans="1:92" s="3" customFormat="1" x14ac:dyDescent="0.25">
      <c r="A192" s="72">
        <v>191</v>
      </c>
      <c r="B192" s="81" t="s">
        <v>1333</v>
      </c>
      <c r="C192" s="1" t="s">
        <v>83</v>
      </c>
      <c r="D192" s="1" t="s">
        <v>79</v>
      </c>
      <c r="E192" s="1" t="s">
        <v>74</v>
      </c>
      <c r="F192" s="1" t="s">
        <v>202</v>
      </c>
      <c r="G192" s="1" t="s">
        <v>235</v>
      </c>
      <c r="H192" s="1" t="s">
        <v>203</v>
      </c>
      <c r="I192" s="1"/>
      <c r="J192" s="9" t="s">
        <v>544</v>
      </c>
      <c r="K192" s="10">
        <v>0.49554666666666702</v>
      </c>
      <c r="L192" s="1" t="s">
        <v>76</v>
      </c>
      <c r="M192" s="1" t="s">
        <v>506</v>
      </c>
      <c r="N192" s="1" t="s">
        <v>645</v>
      </c>
      <c r="O192" s="1" t="s">
        <v>58</v>
      </c>
      <c r="P192" s="82">
        <v>1</v>
      </c>
      <c r="Q192" s="1" t="s">
        <v>76</v>
      </c>
      <c r="R192" s="81" t="s">
        <v>129</v>
      </c>
      <c r="S192" s="1">
        <v>3</v>
      </c>
      <c r="T192" s="1" t="s">
        <v>120</v>
      </c>
      <c r="U192" s="1" t="s">
        <v>658</v>
      </c>
      <c r="V192" s="1" t="s">
        <v>655</v>
      </c>
      <c r="W192" s="1">
        <v>4</v>
      </c>
      <c r="X192" s="1" t="s">
        <v>1782</v>
      </c>
      <c r="Y192" s="1" t="s">
        <v>645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1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-42.52849484</v>
      </c>
      <c r="CN192" s="83">
        <v>42.430169210000003</v>
      </c>
    </row>
    <row r="193" spans="1:92" s="3" customFormat="1" x14ac:dyDescent="0.25">
      <c r="A193" s="72">
        <v>192</v>
      </c>
      <c r="B193" s="81" t="s">
        <v>1127</v>
      </c>
      <c r="C193" s="1" t="s">
        <v>83</v>
      </c>
      <c r="D193" s="1" t="s">
        <v>79</v>
      </c>
      <c r="E193" s="1" t="s">
        <v>99</v>
      </c>
      <c r="F193" s="1" t="s">
        <v>202</v>
      </c>
      <c r="G193" s="1" t="s">
        <v>507</v>
      </c>
      <c r="H193" s="1" t="s">
        <v>203</v>
      </c>
      <c r="I193" s="1"/>
      <c r="J193" s="9" t="s">
        <v>544</v>
      </c>
      <c r="K193" s="10">
        <v>0.43694316666666599</v>
      </c>
      <c r="L193" s="1" t="s">
        <v>76</v>
      </c>
      <c r="M193" s="1" t="s">
        <v>506</v>
      </c>
      <c r="N193" s="1" t="s">
        <v>645</v>
      </c>
      <c r="O193" s="1" t="s">
        <v>58</v>
      </c>
      <c r="P193" s="82">
        <v>1</v>
      </c>
      <c r="Q193" s="1" t="s">
        <v>76</v>
      </c>
      <c r="R193" s="81" t="s">
        <v>178</v>
      </c>
      <c r="S193" s="1">
        <v>3</v>
      </c>
      <c r="T193" s="1" t="s">
        <v>120</v>
      </c>
      <c r="U193" s="1" t="s">
        <v>658</v>
      </c>
      <c r="V193" s="1" t="s">
        <v>655</v>
      </c>
      <c r="W193" s="1">
        <v>41</v>
      </c>
      <c r="X193" s="1" t="s">
        <v>76</v>
      </c>
      <c r="Y193" s="1" t="s">
        <v>645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1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-37.167488990000003</v>
      </c>
      <c r="CN193" s="83">
        <v>43.485494930000002</v>
      </c>
    </row>
    <row r="194" spans="1:92" s="3" customFormat="1" x14ac:dyDescent="0.25">
      <c r="A194" s="72">
        <v>193</v>
      </c>
      <c r="B194" s="81" t="s">
        <v>1415</v>
      </c>
      <c r="C194" s="1" t="s">
        <v>83</v>
      </c>
      <c r="D194" s="1" t="s">
        <v>79</v>
      </c>
      <c r="E194" s="1" t="s">
        <v>74</v>
      </c>
      <c r="F194" s="1" t="s">
        <v>665</v>
      </c>
      <c r="G194" s="1" t="s">
        <v>200</v>
      </c>
      <c r="H194" s="1" t="s">
        <v>48</v>
      </c>
      <c r="I194" s="1"/>
      <c r="J194" s="9" t="s">
        <v>544</v>
      </c>
      <c r="K194" s="10">
        <v>0.57721383333333298</v>
      </c>
      <c r="L194" s="1" t="s">
        <v>641</v>
      </c>
      <c r="M194" s="1" t="s">
        <v>76</v>
      </c>
      <c r="N194" s="1" t="s">
        <v>644</v>
      </c>
      <c r="O194" s="1" t="s">
        <v>57</v>
      </c>
      <c r="P194" s="82">
        <v>0.626</v>
      </c>
      <c r="Q194" s="1" t="s">
        <v>76</v>
      </c>
      <c r="R194" s="81" t="s">
        <v>129</v>
      </c>
      <c r="S194" s="1">
        <v>3</v>
      </c>
      <c r="T194" s="1" t="s">
        <v>120</v>
      </c>
      <c r="U194" s="1" t="s">
        <v>658</v>
      </c>
      <c r="V194" s="1" t="s">
        <v>655</v>
      </c>
      <c r="W194" s="1">
        <v>56</v>
      </c>
      <c r="X194" s="1" t="s">
        <v>76</v>
      </c>
      <c r="Y194" s="1" t="s">
        <v>644</v>
      </c>
      <c r="Z194" s="1">
        <v>0</v>
      </c>
      <c r="AA194" s="1">
        <v>1E-3</v>
      </c>
      <c r="AB194" s="1">
        <v>1E-3</v>
      </c>
      <c r="AC194" s="1">
        <v>1.2999999999999999E-2</v>
      </c>
      <c r="AD194" s="1">
        <v>2E-3</v>
      </c>
      <c r="AE194" s="1">
        <v>1E-3</v>
      </c>
      <c r="AF194" s="1">
        <v>1E-3</v>
      </c>
      <c r="AG194" s="1">
        <v>0</v>
      </c>
      <c r="AH194" s="1">
        <v>2E-3</v>
      </c>
      <c r="AI194" s="1">
        <v>0</v>
      </c>
      <c r="AJ194" s="1">
        <v>1E-3</v>
      </c>
      <c r="AK194" s="1">
        <v>2E-3</v>
      </c>
      <c r="AL194" s="1">
        <v>1E-3</v>
      </c>
      <c r="AM194" s="1">
        <v>0</v>
      </c>
      <c r="AN194" s="1">
        <v>1E-3</v>
      </c>
      <c r="AO194" s="1">
        <v>1E-3</v>
      </c>
      <c r="AP194" s="1">
        <v>1E-3</v>
      </c>
      <c r="AQ194" s="1">
        <v>1E-3</v>
      </c>
      <c r="AR194" s="1">
        <v>1E-3</v>
      </c>
      <c r="AS194" s="1">
        <v>5.0000000000000001E-3</v>
      </c>
      <c r="AT194" s="1">
        <v>2E-3</v>
      </c>
      <c r="AU194" s="1">
        <v>1E-3</v>
      </c>
      <c r="AV194" s="1">
        <v>1E-3</v>
      </c>
      <c r="AW194" s="1">
        <v>1E-3</v>
      </c>
      <c r="AX194" s="1">
        <v>1E-3</v>
      </c>
      <c r="AY194" s="1">
        <v>1E-3</v>
      </c>
      <c r="AZ194" s="1">
        <v>3.0000000000000001E-3</v>
      </c>
      <c r="BA194" s="1">
        <v>3.0000000000000001E-3</v>
      </c>
      <c r="BB194" s="1">
        <v>1E-3</v>
      </c>
      <c r="BC194" s="1">
        <v>1E-3</v>
      </c>
      <c r="BD194" s="1">
        <v>5.0000000000000001E-3</v>
      </c>
      <c r="BE194" s="1">
        <v>2E-3</v>
      </c>
      <c r="BF194" s="1">
        <v>0</v>
      </c>
      <c r="BG194" s="1">
        <v>1E-3</v>
      </c>
      <c r="BH194" s="1">
        <v>1E-3</v>
      </c>
      <c r="BI194" s="1">
        <v>1E-3</v>
      </c>
      <c r="BJ194" s="1">
        <v>0</v>
      </c>
      <c r="BK194" s="1">
        <v>1E-3</v>
      </c>
      <c r="BL194" s="1">
        <v>4.0000000000000001E-3</v>
      </c>
      <c r="BM194" s="1">
        <v>1E-3</v>
      </c>
      <c r="BN194" s="1">
        <v>7.0000000000000001E-3</v>
      </c>
      <c r="BO194" s="1">
        <v>1E-3</v>
      </c>
      <c r="BP194" s="1">
        <v>0</v>
      </c>
      <c r="BQ194" s="1">
        <v>0.215</v>
      </c>
      <c r="BR194" s="1">
        <v>1E-3</v>
      </c>
      <c r="BS194" s="1">
        <v>1E-3</v>
      </c>
      <c r="BT194" s="1">
        <v>1E-3</v>
      </c>
      <c r="BU194" s="1">
        <v>1E-3</v>
      </c>
      <c r="BV194" s="1">
        <v>1E-3</v>
      </c>
      <c r="BW194" s="1">
        <v>1E-3</v>
      </c>
      <c r="BX194" s="1">
        <v>2E-3</v>
      </c>
      <c r="BY194" s="1">
        <v>5.0000000000000001E-3</v>
      </c>
      <c r="BZ194" s="1">
        <v>0.626</v>
      </c>
      <c r="CA194" s="1">
        <v>5.0000000000000001E-3</v>
      </c>
      <c r="CB194" s="1">
        <v>4.0000000000000001E-3</v>
      </c>
      <c r="CC194" s="1">
        <v>4.2000000000000003E-2</v>
      </c>
      <c r="CD194" s="1">
        <v>0</v>
      </c>
      <c r="CE194" s="1">
        <v>1E-3</v>
      </c>
      <c r="CF194" s="1">
        <v>1E-3</v>
      </c>
      <c r="CG194" s="1">
        <v>2E-3</v>
      </c>
      <c r="CH194" s="1">
        <v>2E-3</v>
      </c>
      <c r="CI194" s="1">
        <v>1E-3</v>
      </c>
      <c r="CJ194" s="1">
        <v>4.0000000000000001E-3</v>
      </c>
      <c r="CK194" s="1">
        <v>4.0000000000000001E-3</v>
      </c>
      <c r="CL194" s="1">
        <v>8.9999999999999993E-3</v>
      </c>
      <c r="CM194" s="1">
        <v>-58.66737741</v>
      </c>
      <c r="CN194" s="83">
        <v>49.810680210000001</v>
      </c>
    </row>
    <row r="195" spans="1:92" s="3" customFormat="1" x14ac:dyDescent="0.25">
      <c r="A195" s="72">
        <v>194</v>
      </c>
      <c r="B195" s="81" t="s">
        <v>987</v>
      </c>
      <c r="C195" s="1" t="s">
        <v>83</v>
      </c>
      <c r="D195" s="1" t="s">
        <v>79</v>
      </c>
      <c r="E195" s="1" t="s">
        <v>74</v>
      </c>
      <c r="F195" s="1" t="s">
        <v>665</v>
      </c>
      <c r="G195" s="1" t="s">
        <v>228</v>
      </c>
      <c r="H195" s="1" t="s">
        <v>48</v>
      </c>
      <c r="I195" s="1"/>
      <c r="J195" s="9" t="s">
        <v>544</v>
      </c>
      <c r="K195" s="10">
        <v>0.554975000000001</v>
      </c>
      <c r="L195" s="1" t="s">
        <v>641</v>
      </c>
      <c r="M195" s="1" t="s">
        <v>76</v>
      </c>
      <c r="N195" s="1" t="s">
        <v>644</v>
      </c>
      <c r="O195" s="1" t="s">
        <v>43</v>
      </c>
      <c r="P195" s="82">
        <v>0.61399999999999999</v>
      </c>
      <c r="Q195" s="1" t="s">
        <v>76</v>
      </c>
      <c r="R195" s="81" t="s">
        <v>193</v>
      </c>
      <c r="S195" s="1">
        <v>3</v>
      </c>
      <c r="T195" s="1" t="s">
        <v>120</v>
      </c>
      <c r="U195" s="1" t="s">
        <v>658</v>
      </c>
      <c r="V195" s="1" t="s">
        <v>655</v>
      </c>
      <c r="W195" s="1">
        <v>54</v>
      </c>
      <c r="X195" s="1" t="s">
        <v>76</v>
      </c>
      <c r="Y195" s="1" t="s">
        <v>644</v>
      </c>
      <c r="Z195" s="1">
        <v>1E-3</v>
      </c>
      <c r="AA195" s="1">
        <v>1E-3</v>
      </c>
      <c r="AB195" s="1">
        <v>2E-3</v>
      </c>
      <c r="AC195" s="1">
        <v>3.0000000000000001E-3</v>
      </c>
      <c r="AD195" s="1">
        <v>1E-3</v>
      </c>
      <c r="AE195" s="1">
        <v>1E-3</v>
      </c>
      <c r="AF195" s="1">
        <v>1E-3</v>
      </c>
      <c r="AG195" s="1">
        <v>0</v>
      </c>
      <c r="AH195" s="1">
        <v>2E-3</v>
      </c>
      <c r="AI195" s="1">
        <v>0</v>
      </c>
      <c r="AJ195" s="1">
        <v>0</v>
      </c>
      <c r="AK195" s="1">
        <v>2E-3</v>
      </c>
      <c r="AL195" s="1">
        <v>0</v>
      </c>
      <c r="AM195" s="1">
        <v>0</v>
      </c>
      <c r="AN195" s="1">
        <v>0</v>
      </c>
      <c r="AO195" s="1">
        <v>1E-3</v>
      </c>
      <c r="AP195" s="1">
        <v>0</v>
      </c>
      <c r="AQ195" s="1">
        <v>0</v>
      </c>
      <c r="AR195" s="1">
        <v>2E-3</v>
      </c>
      <c r="AS195" s="1">
        <v>2E-3</v>
      </c>
      <c r="AT195" s="1">
        <v>1E-3</v>
      </c>
      <c r="AU195" s="1">
        <v>4.0000000000000001E-3</v>
      </c>
      <c r="AV195" s="1">
        <v>1E-3</v>
      </c>
      <c r="AW195" s="1">
        <v>1E-3</v>
      </c>
      <c r="AX195" s="1">
        <v>2E-3</v>
      </c>
      <c r="AY195" s="1">
        <v>1E-3</v>
      </c>
      <c r="AZ195" s="1">
        <v>2E-3</v>
      </c>
      <c r="BA195" s="1">
        <v>3.0000000000000001E-3</v>
      </c>
      <c r="BB195" s="1">
        <v>1E-3</v>
      </c>
      <c r="BC195" s="1">
        <v>0</v>
      </c>
      <c r="BD195" s="1">
        <v>4.0000000000000001E-3</v>
      </c>
      <c r="BE195" s="1">
        <v>0</v>
      </c>
      <c r="BF195" s="1">
        <v>1E-3</v>
      </c>
      <c r="BG195" s="1">
        <v>1E-3</v>
      </c>
      <c r="BH195" s="1">
        <v>0</v>
      </c>
      <c r="BI195" s="1">
        <v>0</v>
      </c>
      <c r="BJ195" s="1">
        <v>0</v>
      </c>
      <c r="BK195" s="1">
        <v>1E-3</v>
      </c>
      <c r="BL195" s="1">
        <v>0.61399999999999999</v>
      </c>
      <c r="BM195" s="1">
        <v>1E-3</v>
      </c>
      <c r="BN195" s="1">
        <v>1E-3</v>
      </c>
      <c r="BO195" s="1">
        <v>0</v>
      </c>
      <c r="BP195" s="1">
        <v>1E-3</v>
      </c>
      <c r="BQ195" s="1">
        <v>1E-3</v>
      </c>
      <c r="BR195" s="1">
        <v>1E-3</v>
      </c>
      <c r="BS195" s="1">
        <v>2E-3</v>
      </c>
      <c r="BT195" s="1">
        <v>0</v>
      </c>
      <c r="BU195" s="1">
        <v>0</v>
      </c>
      <c r="BV195" s="1">
        <v>0</v>
      </c>
      <c r="BW195" s="1">
        <v>1E-3</v>
      </c>
      <c r="BX195" s="1">
        <v>3.0000000000000001E-3</v>
      </c>
      <c r="BY195" s="1">
        <v>2E-3</v>
      </c>
      <c r="BZ195" s="1">
        <v>2E-3</v>
      </c>
      <c r="CA195" s="1">
        <v>1E-3</v>
      </c>
      <c r="CB195" s="1">
        <v>0</v>
      </c>
      <c r="CC195" s="1">
        <v>1E-3</v>
      </c>
      <c r="CD195" s="1">
        <v>0</v>
      </c>
      <c r="CE195" s="1">
        <v>1E-3</v>
      </c>
      <c r="CF195" s="1">
        <v>1E-3</v>
      </c>
      <c r="CG195" s="1">
        <v>1E-3</v>
      </c>
      <c r="CH195" s="1">
        <v>1E-3</v>
      </c>
      <c r="CI195" s="1">
        <v>1E-3</v>
      </c>
      <c r="CJ195" s="1">
        <v>1E-3</v>
      </c>
      <c r="CK195" s="1">
        <v>0.312</v>
      </c>
      <c r="CL195" s="1">
        <v>7.0000000000000001E-3</v>
      </c>
      <c r="CM195" s="1">
        <v>45.38787739</v>
      </c>
      <c r="CN195" s="83">
        <v>-46.112063130000003</v>
      </c>
    </row>
    <row r="196" spans="1:92" s="3" customFormat="1" x14ac:dyDescent="0.25">
      <c r="A196" s="97">
        <v>195</v>
      </c>
      <c r="B196" s="81" t="s">
        <v>1035</v>
      </c>
      <c r="C196" s="1" t="s">
        <v>83</v>
      </c>
      <c r="D196" s="1" t="s">
        <v>79</v>
      </c>
      <c r="E196" s="1" t="s">
        <v>74</v>
      </c>
      <c r="F196" s="1" t="s">
        <v>665</v>
      </c>
      <c r="G196" s="1" t="s">
        <v>226</v>
      </c>
      <c r="H196" s="1" t="s">
        <v>48</v>
      </c>
      <c r="I196" s="1"/>
      <c r="J196" s="9" t="s">
        <v>544</v>
      </c>
      <c r="K196" s="10">
        <v>0.28494550000000002</v>
      </c>
      <c r="L196" s="1" t="s">
        <v>513</v>
      </c>
      <c r="M196" s="1" t="s">
        <v>76</v>
      </c>
      <c r="N196" s="1" t="s">
        <v>644</v>
      </c>
      <c r="O196" s="1" t="s">
        <v>5</v>
      </c>
      <c r="P196" s="82">
        <v>0.89300000000000002</v>
      </c>
      <c r="Q196" s="1" t="s">
        <v>76</v>
      </c>
      <c r="R196" s="81" t="s">
        <v>194</v>
      </c>
      <c r="S196" s="1">
        <v>3</v>
      </c>
      <c r="T196" s="1" t="s">
        <v>120</v>
      </c>
      <c r="U196" s="1" t="s">
        <v>658</v>
      </c>
      <c r="V196" s="1" t="s">
        <v>655</v>
      </c>
      <c r="W196" s="1">
        <v>67</v>
      </c>
      <c r="X196" s="1" t="s">
        <v>1726</v>
      </c>
      <c r="Y196" s="1" t="s">
        <v>648</v>
      </c>
      <c r="Z196" s="1">
        <v>0.89300000000000002</v>
      </c>
      <c r="AA196" s="1">
        <v>0</v>
      </c>
      <c r="AB196" s="1">
        <v>0</v>
      </c>
      <c r="AC196" s="1">
        <v>1.0999999999999999E-2</v>
      </c>
      <c r="AD196" s="1">
        <v>1E-3</v>
      </c>
      <c r="AE196" s="1">
        <v>0</v>
      </c>
      <c r="AF196" s="1">
        <v>0</v>
      </c>
      <c r="AG196" s="1">
        <v>0</v>
      </c>
      <c r="AH196" s="1">
        <v>1.6E-2</v>
      </c>
      <c r="AI196" s="1">
        <v>1E-3</v>
      </c>
      <c r="AJ196" s="1">
        <v>0</v>
      </c>
      <c r="AK196" s="1">
        <v>0</v>
      </c>
      <c r="AL196" s="1">
        <v>0</v>
      </c>
      <c r="AM196" s="1">
        <v>0</v>
      </c>
      <c r="AN196" s="1">
        <v>6.0000000000000001E-3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1E-3</v>
      </c>
      <c r="AV196" s="1">
        <v>1E-3</v>
      </c>
      <c r="AW196" s="1">
        <v>0</v>
      </c>
      <c r="AX196" s="1">
        <v>1E-3</v>
      </c>
      <c r="AY196" s="1">
        <v>1E-3</v>
      </c>
      <c r="AZ196" s="1">
        <v>1E-3</v>
      </c>
      <c r="BA196" s="1">
        <v>1E-3</v>
      </c>
      <c r="BB196" s="1">
        <v>0</v>
      </c>
      <c r="BC196" s="1">
        <v>0</v>
      </c>
      <c r="BD196" s="1">
        <v>2E-3</v>
      </c>
      <c r="BE196" s="1">
        <v>0</v>
      </c>
      <c r="BF196" s="1">
        <v>2.9000000000000001E-2</v>
      </c>
      <c r="BG196" s="1">
        <v>0</v>
      </c>
      <c r="BH196" s="1">
        <v>1E-3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1E-3</v>
      </c>
      <c r="BS196" s="1">
        <v>1E-3</v>
      </c>
      <c r="BT196" s="1">
        <v>0</v>
      </c>
      <c r="BU196" s="1">
        <v>1E-3</v>
      </c>
      <c r="BV196" s="1">
        <v>0</v>
      </c>
      <c r="BW196" s="1">
        <v>0</v>
      </c>
      <c r="BX196" s="1">
        <v>2E-3</v>
      </c>
      <c r="BY196" s="1">
        <v>1E-3</v>
      </c>
      <c r="BZ196" s="1">
        <v>1E-3</v>
      </c>
      <c r="CA196" s="1">
        <v>1E-3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1E-3</v>
      </c>
      <c r="CH196" s="1">
        <v>0</v>
      </c>
      <c r="CI196" s="1">
        <v>0</v>
      </c>
      <c r="CJ196" s="1">
        <v>1E-3</v>
      </c>
      <c r="CK196" s="1">
        <v>1.6E-2</v>
      </c>
      <c r="CL196" s="1">
        <v>2E-3</v>
      </c>
      <c r="CM196" s="1">
        <v>-19.856416249999999</v>
      </c>
      <c r="CN196" s="83">
        <v>-51.187958989999998</v>
      </c>
    </row>
    <row r="197" spans="1:92" s="3" customFormat="1" x14ac:dyDescent="0.25">
      <c r="A197" s="72">
        <v>196</v>
      </c>
      <c r="B197" s="81" t="s">
        <v>1047</v>
      </c>
      <c r="C197" s="1" t="s">
        <v>83</v>
      </c>
      <c r="D197" s="1" t="s">
        <v>79</v>
      </c>
      <c r="E197" s="1" t="s">
        <v>74</v>
      </c>
      <c r="F197" s="1" t="s">
        <v>665</v>
      </c>
      <c r="G197" s="1" t="s">
        <v>98</v>
      </c>
      <c r="H197" s="1" t="s">
        <v>48</v>
      </c>
      <c r="I197" s="1"/>
      <c r="J197" s="9" t="s">
        <v>544</v>
      </c>
      <c r="K197" s="10">
        <v>0.48508849999999998</v>
      </c>
      <c r="L197" s="1" t="s">
        <v>641</v>
      </c>
      <c r="M197" s="1" t="s">
        <v>76</v>
      </c>
      <c r="N197" s="1" t="s">
        <v>644</v>
      </c>
      <c r="O197" s="1" t="s">
        <v>68</v>
      </c>
      <c r="P197" s="82">
        <v>0.40400000000000003</v>
      </c>
      <c r="Q197" s="1" t="s">
        <v>76</v>
      </c>
      <c r="R197" s="81" t="s">
        <v>129</v>
      </c>
      <c r="S197" s="1">
        <v>3</v>
      </c>
      <c r="T197" s="1" t="s">
        <v>120</v>
      </c>
      <c r="U197" s="1" t="s">
        <v>658</v>
      </c>
      <c r="V197" s="1" t="s">
        <v>655</v>
      </c>
      <c r="W197" s="1">
        <v>48</v>
      </c>
      <c r="X197" s="1" t="s">
        <v>76</v>
      </c>
      <c r="Y197" s="1" t="s">
        <v>644</v>
      </c>
      <c r="Z197" s="1">
        <v>1.7999999999999999E-2</v>
      </c>
      <c r="AA197" s="1">
        <v>6.0000000000000001E-3</v>
      </c>
      <c r="AB197" s="1">
        <v>3.0000000000000001E-3</v>
      </c>
      <c r="AC197" s="1">
        <v>0.02</v>
      </c>
      <c r="AD197" s="1">
        <v>7.0000000000000001E-3</v>
      </c>
      <c r="AE197" s="1">
        <v>4.0000000000000001E-3</v>
      </c>
      <c r="AF197" s="1">
        <v>5.0000000000000001E-3</v>
      </c>
      <c r="AG197" s="1">
        <v>0</v>
      </c>
      <c r="AH197" s="1">
        <v>0.02</v>
      </c>
      <c r="AI197" s="1">
        <v>3.0000000000000001E-3</v>
      </c>
      <c r="AJ197" s="1">
        <v>4.0000000000000001E-3</v>
      </c>
      <c r="AK197" s="1">
        <v>3.0000000000000001E-3</v>
      </c>
      <c r="AL197" s="1">
        <v>3.0000000000000001E-3</v>
      </c>
      <c r="AM197" s="1">
        <v>2E-3</v>
      </c>
      <c r="AN197" s="1">
        <v>7.0000000000000001E-3</v>
      </c>
      <c r="AO197" s="1">
        <v>3.0000000000000001E-3</v>
      </c>
      <c r="AP197" s="1">
        <v>3.0000000000000001E-3</v>
      </c>
      <c r="AQ197" s="1">
        <v>2E-3</v>
      </c>
      <c r="AR197" s="1">
        <v>6.0000000000000001E-3</v>
      </c>
      <c r="AS197" s="1">
        <v>1.2999999999999999E-2</v>
      </c>
      <c r="AT197" s="1">
        <v>7.0000000000000001E-3</v>
      </c>
      <c r="AU197" s="1">
        <v>6.0000000000000001E-3</v>
      </c>
      <c r="AV197" s="1">
        <v>4.0000000000000001E-3</v>
      </c>
      <c r="AW197" s="1">
        <v>5.0000000000000001E-3</v>
      </c>
      <c r="AX197" s="1">
        <v>8.9999999999999993E-3</v>
      </c>
      <c r="AY197" s="1">
        <v>1.4E-2</v>
      </c>
      <c r="AZ197" s="1">
        <v>1.0999999999999999E-2</v>
      </c>
      <c r="BA197" s="1">
        <v>1.2E-2</v>
      </c>
      <c r="BB197" s="1">
        <v>3.0000000000000001E-3</v>
      </c>
      <c r="BC197" s="1">
        <v>2E-3</v>
      </c>
      <c r="BD197" s="1">
        <v>1.6E-2</v>
      </c>
      <c r="BE197" s="1">
        <v>8.0000000000000002E-3</v>
      </c>
      <c r="BF197" s="1">
        <v>4.0000000000000001E-3</v>
      </c>
      <c r="BG197" s="1">
        <v>1E-3</v>
      </c>
      <c r="BH197" s="1">
        <v>3.0000000000000001E-3</v>
      </c>
      <c r="BI197" s="1">
        <v>3.0000000000000001E-3</v>
      </c>
      <c r="BJ197" s="1">
        <v>2E-3</v>
      </c>
      <c r="BK197" s="1">
        <v>2E-3</v>
      </c>
      <c r="BL197" s="1">
        <v>1.0999999999999999E-2</v>
      </c>
      <c r="BM197" s="1">
        <v>3.0000000000000001E-3</v>
      </c>
      <c r="BN197" s="1">
        <v>1.2999999999999999E-2</v>
      </c>
      <c r="BO197" s="1">
        <v>3.0000000000000001E-3</v>
      </c>
      <c r="BP197" s="1">
        <v>2E-3</v>
      </c>
      <c r="BQ197" s="1">
        <v>9.6000000000000002E-2</v>
      </c>
      <c r="BR197" s="1">
        <v>5.0000000000000001E-3</v>
      </c>
      <c r="BS197" s="1">
        <v>5.0000000000000001E-3</v>
      </c>
      <c r="BT197" s="1">
        <v>2E-3</v>
      </c>
      <c r="BU197" s="1">
        <v>7.0000000000000001E-3</v>
      </c>
      <c r="BV197" s="1">
        <v>2E-3</v>
      </c>
      <c r="BW197" s="1">
        <v>4.0000000000000001E-3</v>
      </c>
      <c r="BX197" s="1">
        <v>1.2999999999999999E-2</v>
      </c>
      <c r="BY197" s="1">
        <v>8.9999999999999993E-3</v>
      </c>
      <c r="BZ197" s="1">
        <v>1.7999999999999999E-2</v>
      </c>
      <c r="CA197" s="1">
        <v>5.0000000000000001E-3</v>
      </c>
      <c r="CB197" s="1">
        <v>2.3E-2</v>
      </c>
      <c r="CC197" s="1">
        <v>7.0000000000000001E-3</v>
      </c>
      <c r="CD197" s="1">
        <v>1E-3</v>
      </c>
      <c r="CE197" s="1">
        <v>4.0000000000000001E-3</v>
      </c>
      <c r="CF197" s="1">
        <v>4.0000000000000001E-3</v>
      </c>
      <c r="CG197" s="1">
        <v>2.3E-2</v>
      </c>
      <c r="CH197" s="1">
        <v>6.0000000000000001E-3</v>
      </c>
      <c r="CI197" s="1">
        <v>4.0000000000000001E-3</v>
      </c>
      <c r="CJ197" s="1">
        <v>1.4E-2</v>
      </c>
      <c r="CK197" s="1">
        <v>0.40400000000000003</v>
      </c>
      <c r="CL197" s="1">
        <v>6.6000000000000003E-2</v>
      </c>
      <c r="CM197" s="1">
        <v>-34.7632738</v>
      </c>
      <c r="CN197" s="83">
        <v>39.524277060000003</v>
      </c>
    </row>
    <row r="198" spans="1:92" s="3" customFormat="1" x14ac:dyDescent="0.25">
      <c r="A198" s="72">
        <v>197</v>
      </c>
      <c r="B198" s="81" t="s">
        <v>1050</v>
      </c>
      <c r="C198" s="1" t="s">
        <v>83</v>
      </c>
      <c r="D198" s="1" t="s">
        <v>79</v>
      </c>
      <c r="E198" s="1" t="s">
        <v>99</v>
      </c>
      <c r="F198" s="1" t="s">
        <v>665</v>
      </c>
      <c r="G198" s="1" t="s">
        <v>200</v>
      </c>
      <c r="H198" s="1" t="s">
        <v>48</v>
      </c>
      <c r="I198" s="1"/>
      <c r="J198" s="9" t="s">
        <v>544</v>
      </c>
      <c r="K198" s="10">
        <v>0.59561466666666696</v>
      </c>
      <c r="L198" s="1" t="s">
        <v>641</v>
      </c>
      <c r="M198" s="1" t="s">
        <v>76</v>
      </c>
      <c r="N198" s="1" t="s">
        <v>644</v>
      </c>
      <c r="O198" s="1" t="s">
        <v>57</v>
      </c>
      <c r="P198" s="82">
        <v>0.45600000000000002</v>
      </c>
      <c r="Q198" s="1" t="s">
        <v>76</v>
      </c>
      <c r="R198" s="81" t="s">
        <v>193</v>
      </c>
      <c r="S198" s="1">
        <v>3</v>
      </c>
      <c r="T198" s="1" t="s">
        <v>120</v>
      </c>
      <c r="U198" s="1" t="s">
        <v>658</v>
      </c>
      <c r="V198" s="1" t="s">
        <v>655</v>
      </c>
      <c r="W198" s="1">
        <v>29</v>
      </c>
      <c r="X198" s="1" t="s">
        <v>76</v>
      </c>
      <c r="Y198" s="1" t="s">
        <v>644</v>
      </c>
      <c r="Z198" s="1">
        <v>0</v>
      </c>
      <c r="AA198" s="1">
        <v>1E-3</v>
      </c>
      <c r="AB198" s="1">
        <v>1E-3</v>
      </c>
      <c r="AC198" s="1">
        <v>1.2999999999999999E-2</v>
      </c>
      <c r="AD198" s="1">
        <v>2E-3</v>
      </c>
      <c r="AE198" s="1">
        <v>1E-3</v>
      </c>
      <c r="AF198" s="1">
        <v>1E-3</v>
      </c>
      <c r="AG198" s="1">
        <v>0</v>
      </c>
      <c r="AH198" s="1">
        <v>2E-3</v>
      </c>
      <c r="AI198" s="1">
        <v>0</v>
      </c>
      <c r="AJ198" s="1">
        <v>1E-3</v>
      </c>
      <c r="AK198" s="1">
        <v>5.0000000000000001E-3</v>
      </c>
      <c r="AL198" s="1">
        <v>0</v>
      </c>
      <c r="AM198" s="1">
        <v>0</v>
      </c>
      <c r="AN198" s="1">
        <v>1E-3</v>
      </c>
      <c r="AO198" s="1">
        <v>1E-3</v>
      </c>
      <c r="AP198" s="1">
        <v>1E-3</v>
      </c>
      <c r="AQ198" s="1">
        <v>1E-3</v>
      </c>
      <c r="AR198" s="1">
        <v>1E-3</v>
      </c>
      <c r="AS198" s="1">
        <v>6.0000000000000001E-3</v>
      </c>
      <c r="AT198" s="1">
        <v>2E-3</v>
      </c>
      <c r="AU198" s="1">
        <v>1E-3</v>
      </c>
      <c r="AV198" s="1">
        <v>1E-3</v>
      </c>
      <c r="AW198" s="1">
        <v>1E-3</v>
      </c>
      <c r="AX198" s="1">
        <v>1E-3</v>
      </c>
      <c r="AY198" s="1">
        <v>1E-3</v>
      </c>
      <c r="AZ198" s="1">
        <v>3.0000000000000001E-3</v>
      </c>
      <c r="BA198" s="1">
        <v>5.0000000000000001E-3</v>
      </c>
      <c r="BB198" s="1">
        <v>1E-3</v>
      </c>
      <c r="BC198" s="1">
        <v>1E-3</v>
      </c>
      <c r="BD198" s="1">
        <v>7.0000000000000001E-3</v>
      </c>
      <c r="BE198" s="1">
        <v>3.0000000000000001E-3</v>
      </c>
      <c r="BF198" s="1">
        <v>0</v>
      </c>
      <c r="BG198" s="1">
        <v>1E-3</v>
      </c>
      <c r="BH198" s="1">
        <v>1E-3</v>
      </c>
      <c r="BI198" s="1">
        <v>1E-3</v>
      </c>
      <c r="BJ198" s="1">
        <v>0</v>
      </c>
      <c r="BK198" s="1">
        <v>1E-3</v>
      </c>
      <c r="BL198" s="1">
        <v>2E-3</v>
      </c>
      <c r="BM198" s="1">
        <v>1E-3</v>
      </c>
      <c r="BN198" s="1">
        <v>5.0000000000000001E-3</v>
      </c>
      <c r="BO198" s="1">
        <v>1E-3</v>
      </c>
      <c r="BP198" s="1">
        <v>0</v>
      </c>
      <c r="BQ198" s="1">
        <v>0.10299999999999999</v>
      </c>
      <c r="BR198" s="1">
        <v>2E-3</v>
      </c>
      <c r="BS198" s="1">
        <v>1E-3</v>
      </c>
      <c r="BT198" s="1">
        <v>1E-3</v>
      </c>
      <c r="BU198" s="1">
        <v>1E-3</v>
      </c>
      <c r="BV198" s="1">
        <v>1E-3</v>
      </c>
      <c r="BW198" s="1">
        <v>1E-3</v>
      </c>
      <c r="BX198" s="1">
        <v>3.0000000000000001E-3</v>
      </c>
      <c r="BY198" s="1">
        <v>6.0000000000000001E-3</v>
      </c>
      <c r="BZ198" s="1">
        <v>0.45600000000000002</v>
      </c>
      <c r="CA198" s="1">
        <v>8.9999999999999993E-3</v>
      </c>
      <c r="CB198" s="1">
        <v>5.0000000000000001E-3</v>
      </c>
      <c r="CC198" s="1">
        <v>0.307</v>
      </c>
      <c r="CD198" s="1">
        <v>0</v>
      </c>
      <c r="CE198" s="1">
        <v>1E-3</v>
      </c>
      <c r="CF198" s="1">
        <v>1E-3</v>
      </c>
      <c r="CG198" s="1">
        <v>3.0000000000000001E-3</v>
      </c>
      <c r="CH198" s="1">
        <v>2E-3</v>
      </c>
      <c r="CI198" s="1">
        <v>1E-3</v>
      </c>
      <c r="CJ198" s="1">
        <v>8.0000000000000002E-3</v>
      </c>
      <c r="CK198" s="1">
        <v>5.0000000000000001E-3</v>
      </c>
      <c r="CL198" s="1">
        <v>6.0000000000000001E-3</v>
      </c>
      <c r="CM198" s="1">
        <v>-61.595606779999997</v>
      </c>
      <c r="CN198" s="83">
        <v>36.476655309999998</v>
      </c>
    </row>
    <row r="199" spans="1:92" s="3" customFormat="1" x14ac:dyDescent="0.25">
      <c r="A199" s="72">
        <v>198</v>
      </c>
      <c r="B199" s="81" t="s">
        <v>1069</v>
      </c>
      <c r="C199" s="1" t="s">
        <v>83</v>
      </c>
      <c r="D199" s="1" t="s">
        <v>79</v>
      </c>
      <c r="E199" s="1" t="s">
        <v>74</v>
      </c>
      <c r="F199" s="1" t="s">
        <v>665</v>
      </c>
      <c r="G199" s="1" t="s">
        <v>219</v>
      </c>
      <c r="H199" s="1" t="s">
        <v>48</v>
      </c>
      <c r="I199" s="1"/>
      <c r="J199" s="9" t="s">
        <v>544</v>
      </c>
      <c r="K199" s="10">
        <v>0.53177050000000103</v>
      </c>
      <c r="L199" s="1" t="s">
        <v>641</v>
      </c>
      <c r="M199" s="1" t="s">
        <v>76</v>
      </c>
      <c r="N199" s="1" t="s">
        <v>644</v>
      </c>
      <c r="O199" s="1" t="s">
        <v>68</v>
      </c>
      <c r="P199" s="82">
        <v>0.35899999999999999</v>
      </c>
      <c r="Q199" s="1" t="s">
        <v>76</v>
      </c>
      <c r="R199" s="81" t="s">
        <v>129</v>
      </c>
      <c r="S199" s="1">
        <v>3</v>
      </c>
      <c r="T199" s="1" t="s">
        <v>120</v>
      </c>
      <c r="U199" s="1" t="s">
        <v>658</v>
      </c>
      <c r="V199" s="1" t="s">
        <v>655</v>
      </c>
      <c r="W199" s="1">
        <v>59</v>
      </c>
      <c r="X199" s="1" t="s">
        <v>76</v>
      </c>
      <c r="Y199" s="1" t="s">
        <v>644</v>
      </c>
      <c r="Z199" s="1">
        <v>4.0000000000000001E-3</v>
      </c>
      <c r="AA199" s="1">
        <v>6.0000000000000001E-3</v>
      </c>
      <c r="AB199" s="1">
        <v>8.9999999999999993E-3</v>
      </c>
      <c r="AC199" s="1">
        <v>4.2000000000000003E-2</v>
      </c>
      <c r="AD199" s="1">
        <v>6.0000000000000001E-3</v>
      </c>
      <c r="AE199" s="1">
        <v>6.0000000000000001E-3</v>
      </c>
      <c r="AF199" s="1">
        <v>8.0000000000000002E-3</v>
      </c>
      <c r="AG199" s="1">
        <v>1E-3</v>
      </c>
      <c r="AH199" s="1">
        <v>1.9E-2</v>
      </c>
      <c r="AI199" s="1">
        <v>2E-3</v>
      </c>
      <c r="AJ199" s="1">
        <v>3.0000000000000001E-3</v>
      </c>
      <c r="AK199" s="1">
        <v>1.7999999999999999E-2</v>
      </c>
      <c r="AL199" s="1">
        <v>1E-3</v>
      </c>
      <c r="AM199" s="1">
        <v>2E-3</v>
      </c>
      <c r="AN199" s="1">
        <v>3.0000000000000001E-3</v>
      </c>
      <c r="AO199" s="1">
        <v>0.01</v>
      </c>
      <c r="AP199" s="1">
        <v>4.0000000000000001E-3</v>
      </c>
      <c r="AQ199" s="1">
        <v>4.0000000000000001E-3</v>
      </c>
      <c r="AR199" s="1">
        <v>5.0000000000000001E-3</v>
      </c>
      <c r="AS199" s="1">
        <v>2.9000000000000001E-2</v>
      </c>
      <c r="AT199" s="1">
        <v>1.7000000000000001E-2</v>
      </c>
      <c r="AU199" s="1">
        <v>6.0000000000000001E-3</v>
      </c>
      <c r="AV199" s="1">
        <v>4.0000000000000001E-3</v>
      </c>
      <c r="AW199" s="1">
        <v>8.9999999999999993E-3</v>
      </c>
      <c r="AX199" s="1">
        <v>8.9999999999999993E-3</v>
      </c>
      <c r="AY199" s="1">
        <v>1.0999999999999999E-2</v>
      </c>
      <c r="AZ199" s="1">
        <v>1.2999999999999999E-2</v>
      </c>
      <c r="BA199" s="1">
        <v>2.7E-2</v>
      </c>
      <c r="BB199" s="1">
        <v>5.0000000000000001E-3</v>
      </c>
      <c r="BC199" s="1">
        <v>3.0000000000000001E-3</v>
      </c>
      <c r="BD199" s="1">
        <v>0.03</v>
      </c>
      <c r="BE199" s="1">
        <v>8.0000000000000002E-3</v>
      </c>
      <c r="BF199" s="1">
        <v>3.0000000000000001E-3</v>
      </c>
      <c r="BG199" s="1">
        <v>6.0000000000000001E-3</v>
      </c>
      <c r="BH199" s="1">
        <v>4.0000000000000001E-3</v>
      </c>
      <c r="BI199" s="1">
        <v>4.0000000000000001E-3</v>
      </c>
      <c r="BJ199" s="1">
        <v>2E-3</v>
      </c>
      <c r="BK199" s="1">
        <v>3.0000000000000001E-3</v>
      </c>
      <c r="BL199" s="1">
        <v>2.1000000000000001E-2</v>
      </c>
      <c r="BM199" s="1">
        <v>5.0000000000000001E-3</v>
      </c>
      <c r="BN199" s="1">
        <v>1.4E-2</v>
      </c>
      <c r="BO199" s="1">
        <v>3.0000000000000001E-3</v>
      </c>
      <c r="BP199" s="1">
        <v>3.0000000000000001E-3</v>
      </c>
      <c r="BQ199" s="1">
        <v>1.4999999999999999E-2</v>
      </c>
      <c r="BR199" s="1">
        <v>6.0000000000000001E-3</v>
      </c>
      <c r="BS199" s="1">
        <v>5.0000000000000001E-3</v>
      </c>
      <c r="BT199" s="1">
        <v>4.0000000000000001E-3</v>
      </c>
      <c r="BU199" s="1">
        <v>3.0000000000000001E-3</v>
      </c>
      <c r="BV199" s="1">
        <v>4.0000000000000001E-3</v>
      </c>
      <c r="BW199" s="1">
        <v>7.0000000000000001E-3</v>
      </c>
      <c r="BX199" s="1">
        <v>2.1000000000000001E-2</v>
      </c>
      <c r="BY199" s="1">
        <v>2.7E-2</v>
      </c>
      <c r="BZ199" s="1">
        <v>1.2999999999999999E-2</v>
      </c>
      <c r="CA199" s="1">
        <v>1.0999999999999999E-2</v>
      </c>
      <c r="CB199" s="1">
        <v>4.0000000000000001E-3</v>
      </c>
      <c r="CC199" s="1">
        <v>0.02</v>
      </c>
      <c r="CD199" s="1">
        <v>0</v>
      </c>
      <c r="CE199" s="1">
        <v>5.0000000000000001E-3</v>
      </c>
      <c r="CF199" s="1">
        <v>5.0000000000000001E-3</v>
      </c>
      <c r="CG199" s="1">
        <v>1.7999999999999999E-2</v>
      </c>
      <c r="CH199" s="1">
        <v>1.4999999999999999E-2</v>
      </c>
      <c r="CI199" s="1">
        <v>0.01</v>
      </c>
      <c r="CJ199" s="1">
        <v>2.5999999999999999E-2</v>
      </c>
      <c r="CK199" s="1">
        <v>0.35899999999999999</v>
      </c>
      <c r="CL199" s="1">
        <v>3.1E-2</v>
      </c>
      <c r="CM199" s="1">
        <v>57.17175237</v>
      </c>
      <c r="CN199" s="83">
        <v>-64.062732769999997</v>
      </c>
    </row>
    <row r="200" spans="1:92" s="3" customFormat="1" x14ac:dyDescent="0.25">
      <c r="A200" s="72">
        <v>200</v>
      </c>
      <c r="B200" s="81" t="s">
        <v>1387</v>
      </c>
      <c r="C200" s="1" t="s">
        <v>83</v>
      </c>
      <c r="D200" s="1" t="s">
        <v>79</v>
      </c>
      <c r="E200" s="1" t="s">
        <v>74</v>
      </c>
      <c r="F200" s="1" t="s">
        <v>665</v>
      </c>
      <c r="G200" s="1" t="s">
        <v>226</v>
      </c>
      <c r="H200" s="1" t="s">
        <v>48</v>
      </c>
      <c r="I200" s="1"/>
      <c r="J200" s="9" t="s">
        <v>544</v>
      </c>
      <c r="K200" s="10">
        <v>0.39744166666666703</v>
      </c>
      <c r="L200" s="1" t="s">
        <v>641</v>
      </c>
      <c r="M200" s="1" t="s">
        <v>76</v>
      </c>
      <c r="N200" s="1" t="s">
        <v>644</v>
      </c>
      <c r="O200" s="1" t="s">
        <v>39</v>
      </c>
      <c r="P200" s="82">
        <v>0.24299999999999999</v>
      </c>
      <c r="Q200" s="1" t="s">
        <v>76</v>
      </c>
      <c r="R200" s="81" t="s">
        <v>229</v>
      </c>
      <c r="S200" s="1">
        <v>3</v>
      </c>
      <c r="T200" s="1" t="s">
        <v>120</v>
      </c>
      <c r="U200" s="1" t="s">
        <v>658</v>
      </c>
      <c r="V200" s="1" t="s">
        <v>655</v>
      </c>
      <c r="W200" s="1">
        <v>28</v>
      </c>
      <c r="X200" s="1" t="s">
        <v>1726</v>
      </c>
      <c r="Y200" s="1" t="s">
        <v>644</v>
      </c>
      <c r="Z200" s="1">
        <v>3.0000000000000001E-3</v>
      </c>
      <c r="AA200" s="1">
        <v>7.0000000000000001E-3</v>
      </c>
      <c r="AB200" s="1">
        <v>5.0000000000000001E-3</v>
      </c>
      <c r="AC200" s="1">
        <v>0.10199999999999999</v>
      </c>
      <c r="AD200" s="1">
        <v>2.5000000000000001E-2</v>
      </c>
      <c r="AE200" s="1">
        <v>6.0000000000000001E-3</v>
      </c>
      <c r="AF200" s="1">
        <v>6.0000000000000001E-3</v>
      </c>
      <c r="AG200" s="1">
        <v>1E-3</v>
      </c>
      <c r="AH200" s="1">
        <v>4.3999999999999997E-2</v>
      </c>
      <c r="AI200" s="1">
        <v>3.5999999999999997E-2</v>
      </c>
      <c r="AJ200" s="1">
        <v>2E-3</v>
      </c>
      <c r="AK200" s="1">
        <v>0.01</v>
      </c>
      <c r="AL200" s="1">
        <v>2E-3</v>
      </c>
      <c r="AM200" s="1">
        <v>4.0000000000000001E-3</v>
      </c>
      <c r="AN200" s="1">
        <v>1.7000000000000001E-2</v>
      </c>
      <c r="AO200" s="1">
        <v>7.0000000000000001E-3</v>
      </c>
      <c r="AP200" s="1">
        <v>2.3E-2</v>
      </c>
      <c r="AQ200" s="1">
        <v>5.0000000000000001E-3</v>
      </c>
      <c r="AR200" s="1">
        <v>2E-3</v>
      </c>
      <c r="AS200" s="1">
        <v>1.4E-2</v>
      </c>
      <c r="AT200" s="1">
        <v>1.0999999999999999E-2</v>
      </c>
      <c r="AU200" s="1">
        <v>5.0000000000000001E-3</v>
      </c>
      <c r="AV200" s="1">
        <v>3.0000000000000001E-3</v>
      </c>
      <c r="AW200" s="1">
        <v>7.0000000000000001E-3</v>
      </c>
      <c r="AX200" s="1">
        <v>1.0999999999999999E-2</v>
      </c>
      <c r="AY200" s="1">
        <v>1.0999999999999999E-2</v>
      </c>
      <c r="AZ200" s="1">
        <v>8.0000000000000002E-3</v>
      </c>
      <c r="BA200" s="1">
        <v>2.5000000000000001E-2</v>
      </c>
      <c r="BB200" s="1">
        <v>4.0000000000000001E-3</v>
      </c>
      <c r="BC200" s="1">
        <v>3.0000000000000001E-3</v>
      </c>
      <c r="BD200" s="1">
        <v>0.03</v>
      </c>
      <c r="BE200" s="1">
        <v>4.0000000000000001E-3</v>
      </c>
      <c r="BF200" s="1">
        <v>2.8000000000000001E-2</v>
      </c>
      <c r="BG200" s="1">
        <v>3.0000000000000001E-3</v>
      </c>
      <c r="BH200" s="1">
        <v>0.24299999999999999</v>
      </c>
      <c r="BI200" s="1">
        <v>3.0000000000000001E-3</v>
      </c>
      <c r="BJ200" s="1">
        <v>2E-3</v>
      </c>
      <c r="BK200" s="1">
        <v>3.0000000000000001E-3</v>
      </c>
      <c r="BL200" s="1">
        <v>1.2E-2</v>
      </c>
      <c r="BM200" s="1">
        <v>1.2999999999999999E-2</v>
      </c>
      <c r="BN200" s="1">
        <v>8.0000000000000002E-3</v>
      </c>
      <c r="BO200" s="1">
        <v>2E-3</v>
      </c>
      <c r="BP200" s="1">
        <v>1E-3</v>
      </c>
      <c r="BQ200" s="1">
        <v>1.0999999999999999E-2</v>
      </c>
      <c r="BR200" s="1">
        <v>3.5000000000000003E-2</v>
      </c>
      <c r="BS200" s="1">
        <v>3.0000000000000001E-3</v>
      </c>
      <c r="BT200" s="1">
        <v>3.0000000000000001E-3</v>
      </c>
      <c r="BU200" s="1">
        <v>3.0000000000000001E-3</v>
      </c>
      <c r="BV200" s="1">
        <v>3.0000000000000001E-3</v>
      </c>
      <c r="BW200" s="1">
        <v>5.0000000000000001E-3</v>
      </c>
      <c r="BX200" s="1">
        <v>2.4E-2</v>
      </c>
      <c r="BY200" s="1">
        <v>2.3E-2</v>
      </c>
      <c r="BZ200" s="1">
        <v>1.0999999999999999E-2</v>
      </c>
      <c r="CA200" s="1">
        <v>6.0000000000000001E-3</v>
      </c>
      <c r="CB200" s="1">
        <v>1E-3</v>
      </c>
      <c r="CC200" s="1">
        <v>5.0000000000000001E-3</v>
      </c>
      <c r="CD200" s="1">
        <v>0</v>
      </c>
      <c r="CE200" s="1">
        <v>5.0000000000000001E-3</v>
      </c>
      <c r="CF200" s="1">
        <v>8.9999999999999993E-3</v>
      </c>
      <c r="CG200" s="1">
        <v>1.6E-2</v>
      </c>
      <c r="CH200" s="1">
        <v>0.01</v>
      </c>
      <c r="CI200" s="1">
        <v>1.4E-2</v>
      </c>
      <c r="CJ200" s="1">
        <v>2.3E-2</v>
      </c>
      <c r="CK200" s="1">
        <v>1.7999999999999999E-2</v>
      </c>
      <c r="CL200" s="1">
        <v>1.2999999999999999E-2</v>
      </c>
      <c r="CM200" s="1">
        <v>-19.648600800000001</v>
      </c>
      <c r="CN200" s="83">
        <v>-62.397120139999998</v>
      </c>
    </row>
    <row r="201" spans="1:92" s="3" customFormat="1" x14ac:dyDescent="0.25">
      <c r="A201" s="72">
        <v>399</v>
      </c>
      <c r="B201" s="81" t="s">
        <v>1176</v>
      </c>
      <c r="C201" s="1" t="s">
        <v>83</v>
      </c>
      <c r="D201" s="1" t="s">
        <v>79</v>
      </c>
      <c r="E201" s="1" t="s">
        <v>74</v>
      </c>
      <c r="F201" s="1" t="s">
        <v>84</v>
      </c>
      <c r="G201" s="1" t="s">
        <v>1717</v>
      </c>
      <c r="H201" s="1" t="s">
        <v>85</v>
      </c>
      <c r="I201" s="1"/>
      <c r="J201" s="9" t="s">
        <v>544</v>
      </c>
      <c r="K201" s="10">
        <v>0.35961549999999998</v>
      </c>
      <c r="L201" s="1" t="s">
        <v>613</v>
      </c>
      <c r="M201" s="1" t="s">
        <v>506</v>
      </c>
      <c r="N201" s="96" t="s">
        <v>647</v>
      </c>
      <c r="O201" s="1" t="s">
        <v>68</v>
      </c>
      <c r="P201" s="82">
        <v>0.92800000000000005</v>
      </c>
      <c r="Q201" s="1" t="s">
        <v>76</v>
      </c>
      <c r="R201" s="81" t="s">
        <v>298</v>
      </c>
      <c r="S201" s="1">
        <v>2</v>
      </c>
      <c r="T201" s="1" t="s">
        <v>120</v>
      </c>
      <c r="U201" s="1" t="s">
        <v>659</v>
      </c>
      <c r="V201" s="1" t="s">
        <v>655</v>
      </c>
      <c r="W201" s="1">
        <v>31</v>
      </c>
      <c r="X201" s="1" t="s">
        <v>288</v>
      </c>
      <c r="Y201" s="1" t="s">
        <v>647</v>
      </c>
      <c r="Z201" s="1">
        <v>6.0000000000000001E-3</v>
      </c>
      <c r="AA201" s="1">
        <v>0</v>
      </c>
      <c r="AB201" s="1">
        <v>0</v>
      </c>
      <c r="AC201" s="1">
        <v>0</v>
      </c>
      <c r="AD201" s="1">
        <v>1E-3</v>
      </c>
      <c r="AE201" s="1">
        <v>0</v>
      </c>
      <c r="AF201" s="1">
        <v>0</v>
      </c>
      <c r="AG201" s="1">
        <v>0</v>
      </c>
      <c r="AH201" s="1">
        <v>1E-3</v>
      </c>
      <c r="AI201" s="1">
        <v>0</v>
      </c>
      <c r="AJ201" s="1">
        <v>1E-3</v>
      </c>
      <c r="AK201" s="1">
        <v>0</v>
      </c>
      <c r="AL201" s="1">
        <v>0</v>
      </c>
      <c r="AM201" s="1">
        <v>1E-3</v>
      </c>
      <c r="AN201" s="1">
        <v>8.0000000000000002E-3</v>
      </c>
      <c r="AO201" s="1">
        <v>0</v>
      </c>
      <c r="AP201" s="1">
        <v>0</v>
      </c>
      <c r="AQ201" s="1">
        <v>0</v>
      </c>
      <c r="AR201" s="1">
        <v>8.0000000000000002E-3</v>
      </c>
      <c r="AS201" s="1">
        <v>0</v>
      </c>
      <c r="AT201" s="1">
        <v>0</v>
      </c>
      <c r="AU201" s="1">
        <v>1E-3</v>
      </c>
      <c r="AV201" s="1">
        <v>1E-3</v>
      </c>
      <c r="AW201" s="1">
        <v>0</v>
      </c>
      <c r="AX201" s="1">
        <v>5.0000000000000001E-3</v>
      </c>
      <c r="AY201" s="1">
        <v>1E-3</v>
      </c>
      <c r="AZ201" s="1">
        <v>1E-3</v>
      </c>
      <c r="BA201" s="1">
        <v>1E-3</v>
      </c>
      <c r="BB201" s="1">
        <v>0</v>
      </c>
      <c r="BC201" s="1">
        <v>0</v>
      </c>
      <c r="BD201" s="1">
        <v>1E-3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1E-3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2E-3</v>
      </c>
      <c r="BQ201" s="1">
        <v>0</v>
      </c>
      <c r="BR201" s="1">
        <v>0</v>
      </c>
      <c r="BS201" s="1">
        <v>3.0000000000000001E-3</v>
      </c>
      <c r="BT201" s="1">
        <v>0</v>
      </c>
      <c r="BU201" s="1">
        <v>4.0000000000000001E-3</v>
      </c>
      <c r="BV201" s="1">
        <v>0</v>
      </c>
      <c r="BW201" s="1">
        <v>0</v>
      </c>
      <c r="BX201" s="1">
        <v>1E-3</v>
      </c>
      <c r="BY201" s="1">
        <v>1E-3</v>
      </c>
      <c r="BZ201" s="1">
        <v>1E-3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0.92800000000000005</v>
      </c>
      <c r="CL201" s="1">
        <v>1.7000000000000001E-2</v>
      </c>
      <c r="CM201" s="1">
        <v>-55.520195409999999</v>
      </c>
      <c r="CN201" s="83">
        <v>-11.257998150000001</v>
      </c>
    </row>
    <row r="202" spans="1:92" s="3" customFormat="1" x14ac:dyDescent="0.25">
      <c r="A202" s="72">
        <v>619</v>
      </c>
      <c r="B202" s="81" t="s">
        <v>1193</v>
      </c>
      <c r="C202" s="1" t="s">
        <v>83</v>
      </c>
      <c r="D202" s="1" t="s">
        <v>73</v>
      </c>
      <c r="E202" s="1" t="s">
        <v>99</v>
      </c>
      <c r="F202" s="1" t="s">
        <v>84</v>
      </c>
      <c r="G202" s="1" t="s">
        <v>355</v>
      </c>
      <c r="H202" s="1" t="s">
        <v>539</v>
      </c>
      <c r="I202" s="1"/>
      <c r="J202" s="9" t="s">
        <v>544</v>
      </c>
      <c r="K202" s="10">
        <v>0.48591050000000002</v>
      </c>
      <c r="L202" s="1" t="s">
        <v>594</v>
      </c>
      <c r="M202" s="1" t="s">
        <v>506</v>
      </c>
      <c r="N202" s="1" t="s">
        <v>648</v>
      </c>
      <c r="O202" s="1" t="s">
        <v>16</v>
      </c>
      <c r="P202" s="82">
        <v>0.98</v>
      </c>
      <c r="Q202" s="1" t="s">
        <v>76</v>
      </c>
      <c r="R202" s="81" t="s">
        <v>95</v>
      </c>
      <c r="S202" s="1" t="s">
        <v>76</v>
      </c>
      <c r="T202" s="1" t="s">
        <v>78</v>
      </c>
      <c r="U202" s="1" t="s">
        <v>660</v>
      </c>
      <c r="V202" s="1" t="s">
        <v>655</v>
      </c>
      <c r="W202" s="1">
        <v>55</v>
      </c>
      <c r="X202" s="1" t="s">
        <v>434</v>
      </c>
      <c r="Y202" s="1" t="s">
        <v>648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1E-3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0.98</v>
      </c>
      <c r="AL202" s="1">
        <v>1.2E-2</v>
      </c>
      <c r="AM202" s="1">
        <v>1E-3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-77.258739539999993</v>
      </c>
      <c r="CN202" s="83">
        <v>5.0263798619999998</v>
      </c>
    </row>
    <row r="203" spans="1:92" s="3" customFormat="1" x14ac:dyDescent="0.25">
      <c r="A203" s="72">
        <v>205</v>
      </c>
      <c r="B203" s="81" t="s">
        <v>1259</v>
      </c>
      <c r="C203" s="1" t="s">
        <v>83</v>
      </c>
      <c r="D203" s="1" t="s">
        <v>79</v>
      </c>
      <c r="E203" s="1" t="s">
        <v>195</v>
      </c>
      <c r="F203" s="1" t="s">
        <v>665</v>
      </c>
      <c r="G203" s="1" t="s">
        <v>234</v>
      </c>
      <c r="H203" s="1" t="s">
        <v>48</v>
      </c>
      <c r="I203" s="1"/>
      <c r="J203" s="9" t="s">
        <v>544</v>
      </c>
      <c r="K203" s="10">
        <v>0.560653333333334</v>
      </c>
      <c r="L203" s="1" t="s">
        <v>76</v>
      </c>
      <c r="M203" s="1" t="s">
        <v>506</v>
      </c>
      <c r="N203" s="1" t="s">
        <v>645</v>
      </c>
      <c r="O203" s="1" t="s">
        <v>48</v>
      </c>
      <c r="P203" s="82">
        <v>0.99299999999999999</v>
      </c>
      <c r="Q203" s="1" t="s">
        <v>76</v>
      </c>
      <c r="R203" s="81" t="s">
        <v>171</v>
      </c>
      <c r="S203" s="1">
        <v>3</v>
      </c>
      <c r="T203" s="1" t="s">
        <v>120</v>
      </c>
      <c r="U203" s="1" t="s">
        <v>658</v>
      </c>
      <c r="V203" s="1" t="s">
        <v>655</v>
      </c>
      <c r="W203" s="1">
        <v>38</v>
      </c>
      <c r="X203" s="1" t="s">
        <v>76</v>
      </c>
      <c r="Y203" s="1" t="s">
        <v>645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0.99299999999999999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1E-3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-58.956379920000003</v>
      </c>
      <c r="CN203" s="83">
        <v>55.705098149999998</v>
      </c>
    </row>
    <row r="204" spans="1:92" s="3" customFormat="1" x14ac:dyDescent="0.25">
      <c r="A204" s="72">
        <v>207</v>
      </c>
      <c r="B204" s="81" t="s">
        <v>1094</v>
      </c>
      <c r="C204" s="1" t="s">
        <v>83</v>
      </c>
      <c r="D204" s="1" t="s">
        <v>79</v>
      </c>
      <c r="E204" s="1" t="s">
        <v>195</v>
      </c>
      <c r="F204" s="1" t="s">
        <v>196</v>
      </c>
      <c r="G204" s="1" t="s">
        <v>76</v>
      </c>
      <c r="H204" s="1" t="s">
        <v>51</v>
      </c>
      <c r="I204" s="1"/>
      <c r="J204" s="9" t="s">
        <v>544</v>
      </c>
      <c r="K204" s="10">
        <v>0.333208333333333</v>
      </c>
      <c r="L204" s="1" t="s">
        <v>641</v>
      </c>
      <c r="M204" s="1" t="s">
        <v>76</v>
      </c>
      <c r="N204" s="1" t="s">
        <v>644</v>
      </c>
      <c r="O204" s="1" t="s">
        <v>37</v>
      </c>
      <c r="P204" s="82">
        <v>0.57899999999999996</v>
      </c>
      <c r="Q204" s="1" t="s">
        <v>76</v>
      </c>
      <c r="R204" s="81" t="s">
        <v>194</v>
      </c>
      <c r="S204" s="1" t="s">
        <v>103</v>
      </c>
      <c r="T204" s="1" t="s">
        <v>120</v>
      </c>
      <c r="U204" s="1" t="s">
        <v>658</v>
      </c>
      <c r="V204" s="1" t="s">
        <v>655</v>
      </c>
      <c r="W204" s="1">
        <v>16</v>
      </c>
      <c r="X204" s="1" t="s">
        <v>76</v>
      </c>
      <c r="Y204" s="1" t="s">
        <v>644</v>
      </c>
      <c r="Z204" s="1">
        <v>4.0000000000000001E-3</v>
      </c>
      <c r="AA204" s="1">
        <v>2E-3</v>
      </c>
      <c r="AB204" s="1">
        <v>3.0000000000000001E-3</v>
      </c>
      <c r="AC204" s="1">
        <v>0.04</v>
      </c>
      <c r="AD204" s="1">
        <v>4.0000000000000001E-3</v>
      </c>
      <c r="AE204" s="1">
        <v>3.0000000000000001E-3</v>
      </c>
      <c r="AF204" s="1">
        <v>7.0000000000000001E-3</v>
      </c>
      <c r="AG204" s="1">
        <v>0</v>
      </c>
      <c r="AH204" s="1">
        <v>7.0000000000000001E-3</v>
      </c>
      <c r="AI204" s="1">
        <v>5.0000000000000001E-3</v>
      </c>
      <c r="AJ204" s="1">
        <v>1E-3</v>
      </c>
      <c r="AK204" s="1">
        <v>6.0000000000000001E-3</v>
      </c>
      <c r="AL204" s="1">
        <v>1E-3</v>
      </c>
      <c r="AM204" s="1">
        <v>2E-3</v>
      </c>
      <c r="AN204" s="1">
        <v>0.06</v>
      </c>
      <c r="AO204" s="1">
        <v>2E-3</v>
      </c>
      <c r="AP204" s="1">
        <v>2E-3</v>
      </c>
      <c r="AQ204" s="1">
        <v>1E-3</v>
      </c>
      <c r="AR204" s="1">
        <v>1E-3</v>
      </c>
      <c r="AS204" s="1">
        <v>8.9999999999999993E-3</v>
      </c>
      <c r="AT204" s="1">
        <v>4.0000000000000001E-3</v>
      </c>
      <c r="AU204" s="1">
        <v>2E-3</v>
      </c>
      <c r="AV204" s="1">
        <v>2E-3</v>
      </c>
      <c r="AW204" s="1">
        <v>3.0000000000000001E-3</v>
      </c>
      <c r="AX204" s="1">
        <v>1E-3</v>
      </c>
      <c r="AY204" s="1">
        <v>4.0000000000000001E-3</v>
      </c>
      <c r="AZ204" s="1">
        <v>6.0000000000000001E-3</v>
      </c>
      <c r="BA204" s="1">
        <v>8.9999999999999993E-3</v>
      </c>
      <c r="BB204" s="1">
        <v>2E-3</v>
      </c>
      <c r="BC204" s="1">
        <v>1E-3</v>
      </c>
      <c r="BD204" s="1">
        <v>1.0999999999999999E-2</v>
      </c>
      <c r="BE204" s="1">
        <v>5.0000000000000001E-3</v>
      </c>
      <c r="BF204" s="1">
        <v>0.57899999999999996</v>
      </c>
      <c r="BG204" s="1">
        <v>0</v>
      </c>
      <c r="BH204" s="1">
        <v>1.6E-2</v>
      </c>
      <c r="BI204" s="1">
        <v>1E-3</v>
      </c>
      <c r="BJ204" s="1">
        <v>1E-3</v>
      </c>
      <c r="BK204" s="1">
        <v>1E-3</v>
      </c>
      <c r="BL204" s="1">
        <v>4.0000000000000001E-3</v>
      </c>
      <c r="BM204" s="1">
        <v>3.0000000000000001E-3</v>
      </c>
      <c r="BN204" s="1">
        <v>7.0000000000000001E-3</v>
      </c>
      <c r="BO204" s="1">
        <v>1E-3</v>
      </c>
      <c r="BP204" s="1">
        <v>1E-3</v>
      </c>
      <c r="BQ204" s="1">
        <v>7.0000000000000001E-3</v>
      </c>
      <c r="BR204" s="1">
        <v>3.0000000000000001E-3</v>
      </c>
      <c r="BS204" s="1">
        <v>1E-3</v>
      </c>
      <c r="BT204" s="1">
        <v>5.0000000000000001E-3</v>
      </c>
      <c r="BU204" s="1">
        <v>3.5999999999999997E-2</v>
      </c>
      <c r="BV204" s="1">
        <v>1E-3</v>
      </c>
      <c r="BW204" s="1">
        <v>2E-3</v>
      </c>
      <c r="BX204" s="1">
        <v>1.9E-2</v>
      </c>
      <c r="BY204" s="1">
        <v>6.0000000000000001E-3</v>
      </c>
      <c r="BZ204" s="1">
        <v>5.0000000000000001E-3</v>
      </c>
      <c r="CA204" s="1">
        <v>3.0000000000000001E-3</v>
      </c>
      <c r="CB204" s="1">
        <v>6.0000000000000001E-3</v>
      </c>
      <c r="CC204" s="1">
        <v>3.0000000000000001E-3</v>
      </c>
      <c r="CD204" s="1">
        <v>0</v>
      </c>
      <c r="CE204" s="1">
        <v>2E-3</v>
      </c>
      <c r="CF204" s="1">
        <v>3.0000000000000001E-3</v>
      </c>
      <c r="CG204" s="1">
        <v>4.0000000000000001E-3</v>
      </c>
      <c r="CH204" s="1">
        <v>4.0000000000000001E-3</v>
      </c>
      <c r="CI204" s="1">
        <v>1.9E-2</v>
      </c>
      <c r="CJ204" s="1">
        <v>6.0000000000000001E-3</v>
      </c>
      <c r="CK204" s="1">
        <v>1.9E-2</v>
      </c>
      <c r="CL204" s="1">
        <v>0.02</v>
      </c>
      <c r="CM204" s="1">
        <v>-26.900327229999998</v>
      </c>
      <c r="CN204" s="83">
        <v>-46.000779909999999</v>
      </c>
    </row>
    <row r="205" spans="1:92" s="3" customFormat="1" x14ac:dyDescent="0.25">
      <c r="A205" s="72">
        <v>209</v>
      </c>
      <c r="B205" s="81" t="s">
        <v>963</v>
      </c>
      <c r="C205" s="1" t="s">
        <v>83</v>
      </c>
      <c r="D205" s="1" t="s">
        <v>79</v>
      </c>
      <c r="E205" s="1" t="s">
        <v>215</v>
      </c>
      <c r="F205" s="1" t="s">
        <v>223</v>
      </c>
      <c r="G205" s="1" t="s">
        <v>198</v>
      </c>
      <c r="H205" s="1" t="s">
        <v>224</v>
      </c>
      <c r="I205" s="1"/>
      <c r="J205" s="9" t="s">
        <v>544</v>
      </c>
      <c r="K205" s="10">
        <v>0.53207466666666703</v>
      </c>
      <c r="L205" s="1" t="s">
        <v>641</v>
      </c>
      <c r="M205" s="1" t="s">
        <v>76</v>
      </c>
      <c r="N205" s="1" t="s">
        <v>644</v>
      </c>
      <c r="O205" s="1" t="s">
        <v>62</v>
      </c>
      <c r="P205" s="82">
        <v>0.13800000000000001</v>
      </c>
      <c r="Q205" s="1" t="s">
        <v>76</v>
      </c>
      <c r="R205" s="81" t="s">
        <v>193</v>
      </c>
      <c r="S205" s="1">
        <v>3</v>
      </c>
      <c r="T205" s="1" t="s">
        <v>120</v>
      </c>
      <c r="U205" s="1" t="s">
        <v>658</v>
      </c>
      <c r="V205" s="1" t="s">
        <v>655</v>
      </c>
      <c r="W205" s="1">
        <v>25</v>
      </c>
      <c r="X205" s="1" t="s">
        <v>216</v>
      </c>
      <c r="Y205" s="1" t="s">
        <v>644</v>
      </c>
      <c r="Z205" s="1">
        <v>2E-3</v>
      </c>
      <c r="AA205" s="1">
        <v>6.0000000000000001E-3</v>
      </c>
      <c r="AB205" s="1">
        <v>5.0000000000000001E-3</v>
      </c>
      <c r="AC205" s="1">
        <v>0.05</v>
      </c>
      <c r="AD205" s="1">
        <v>5.0000000000000001E-3</v>
      </c>
      <c r="AE205" s="1">
        <v>6.0000000000000001E-3</v>
      </c>
      <c r="AF205" s="1">
        <v>6.0000000000000001E-3</v>
      </c>
      <c r="AG205" s="1">
        <v>1E-3</v>
      </c>
      <c r="AH205" s="1">
        <v>1.7000000000000001E-2</v>
      </c>
      <c r="AI205" s="1">
        <v>3.0000000000000001E-3</v>
      </c>
      <c r="AJ205" s="1">
        <v>3.0000000000000001E-3</v>
      </c>
      <c r="AK205" s="1">
        <v>2.8000000000000001E-2</v>
      </c>
      <c r="AL205" s="1">
        <v>4.0000000000000001E-3</v>
      </c>
      <c r="AM205" s="1">
        <v>2E-3</v>
      </c>
      <c r="AN205" s="1">
        <v>4.0000000000000001E-3</v>
      </c>
      <c r="AO205" s="1">
        <v>2.7E-2</v>
      </c>
      <c r="AP205" s="1">
        <v>5.0000000000000001E-3</v>
      </c>
      <c r="AQ205" s="1">
        <v>3.0000000000000001E-3</v>
      </c>
      <c r="AR205" s="1">
        <v>3.0000000000000001E-3</v>
      </c>
      <c r="AS205" s="1">
        <v>3.1E-2</v>
      </c>
      <c r="AT205" s="1">
        <v>4.2000000000000003E-2</v>
      </c>
      <c r="AU205" s="1">
        <v>5.0000000000000001E-3</v>
      </c>
      <c r="AV205" s="1">
        <v>4.0000000000000001E-3</v>
      </c>
      <c r="AW205" s="1">
        <v>1.6E-2</v>
      </c>
      <c r="AX205" s="1">
        <v>5.0000000000000001E-3</v>
      </c>
      <c r="AY205" s="1">
        <v>2.1999999999999999E-2</v>
      </c>
      <c r="AZ205" s="1">
        <v>1.4E-2</v>
      </c>
      <c r="BA205" s="1">
        <v>3.6999999999999998E-2</v>
      </c>
      <c r="BB205" s="1">
        <v>5.0000000000000001E-3</v>
      </c>
      <c r="BC205" s="1">
        <v>3.0000000000000001E-3</v>
      </c>
      <c r="BD205" s="1">
        <v>0.04</v>
      </c>
      <c r="BE205" s="1">
        <v>1.6E-2</v>
      </c>
      <c r="BF205" s="1">
        <v>2E-3</v>
      </c>
      <c r="BG205" s="1">
        <v>1.6E-2</v>
      </c>
      <c r="BH205" s="1">
        <v>5.0000000000000001E-3</v>
      </c>
      <c r="BI205" s="1">
        <v>8.0000000000000002E-3</v>
      </c>
      <c r="BJ205" s="1">
        <v>2E-3</v>
      </c>
      <c r="BK205" s="1">
        <v>3.0000000000000001E-3</v>
      </c>
      <c r="BL205" s="1">
        <v>1.2E-2</v>
      </c>
      <c r="BM205" s="1">
        <v>5.0000000000000001E-3</v>
      </c>
      <c r="BN205" s="1">
        <v>1.4999999999999999E-2</v>
      </c>
      <c r="BO205" s="1">
        <v>3.0000000000000001E-3</v>
      </c>
      <c r="BP205" s="1">
        <v>2E-3</v>
      </c>
      <c r="BQ205" s="1">
        <v>2.5000000000000001E-2</v>
      </c>
      <c r="BR205" s="1">
        <v>6.0000000000000001E-3</v>
      </c>
      <c r="BS205" s="1">
        <v>3.0000000000000001E-3</v>
      </c>
      <c r="BT205" s="1">
        <v>3.0000000000000001E-3</v>
      </c>
      <c r="BU205" s="1">
        <v>3.0000000000000001E-3</v>
      </c>
      <c r="BV205" s="1">
        <v>4.0000000000000001E-3</v>
      </c>
      <c r="BW205" s="1">
        <v>8.9999999999999993E-3</v>
      </c>
      <c r="BX205" s="1">
        <v>1.4999999999999999E-2</v>
      </c>
      <c r="BY205" s="1">
        <v>0.02</v>
      </c>
      <c r="BZ205" s="1">
        <v>1.4999999999999999E-2</v>
      </c>
      <c r="CA205" s="1">
        <v>8.0000000000000002E-3</v>
      </c>
      <c r="CB205" s="1">
        <v>5.0000000000000001E-3</v>
      </c>
      <c r="CC205" s="1">
        <v>2.5000000000000001E-2</v>
      </c>
      <c r="CD205" s="1">
        <v>1E-3</v>
      </c>
      <c r="CE205" s="1">
        <v>0.13800000000000001</v>
      </c>
      <c r="CF205" s="1">
        <v>6.0000000000000001E-3</v>
      </c>
      <c r="CG205" s="1">
        <v>0.05</v>
      </c>
      <c r="CH205" s="1">
        <v>1.2999999999999999E-2</v>
      </c>
      <c r="CI205" s="1">
        <v>8.9999999999999993E-3</v>
      </c>
      <c r="CJ205" s="1">
        <v>3.4000000000000002E-2</v>
      </c>
      <c r="CK205" s="1">
        <v>8.5999999999999993E-2</v>
      </c>
      <c r="CL205" s="1">
        <v>2.9000000000000001E-2</v>
      </c>
      <c r="CM205" s="1">
        <v>-51.886393470000002</v>
      </c>
      <c r="CN205" s="83">
        <v>30.406898219999999</v>
      </c>
    </row>
    <row r="206" spans="1:92" s="3" customFormat="1" x14ac:dyDescent="0.25">
      <c r="A206" s="72">
        <v>210</v>
      </c>
      <c r="B206" s="81" t="s">
        <v>924</v>
      </c>
      <c r="C206" s="1" t="s">
        <v>83</v>
      </c>
      <c r="D206" s="1" t="s">
        <v>79</v>
      </c>
      <c r="E206" s="1" t="s">
        <v>99</v>
      </c>
      <c r="F206" s="1" t="s">
        <v>202</v>
      </c>
      <c r="G206" s="1" t="s">
        <v>235</v>
      </c>
      <c r="H206" s="1" t="s">
        <v>203</v>
      </c>
      <c r="I206" s="1"/>
      <c r="J206" s="9" t="s">
        <v>544</v>
      </c>
      <c r="K206" s="10">
        <v>0.36837049999999999</v>
      </c>
      <c r="L206" s="1" t="s">
        <v>641</v>
      </c>
      <c r="M206" s="1" t="s">
        <v>76</v>
      </c>
      <c r="N206" s="1" t="s">
        <v>644</v>
      </c>
      <c r="O206" s="1" t="s">
        <v>37</v>
      </c>
      <c r="P206" s="82">
        <v>0.78400000000000003</v>
      </c>
      <c r="Q206" s="1" t="s">
        <v>76</v>
      </c>
      <c r="R206" s="81" t="s">
        <v>87</v>
      </c>
      <c r="S206" s="1">
        <v>3</v>
      </c>
      <c r="T206" s="1" t="s">
        <v>78</v>
      </c>
      <c r="U206" s="1" t="s">
        <v>658</v>
      </c>
      <c r="V206" s="1" t="s">
        <v>655</v>
      </c>
      <c r="W206" s="1">
        <v>35</v>
      </c>
      <c r="X206" s="1" t="s">
        <v>236</v>
      </c>
      <c r="Y206" s="1" t="s">
        <v>644</v>
      </c>
      <c r="Z206" s="1">
        <v>1E-3</v>
      </c>
      <c r="AA206" s="1">
        <v>1E-3</v>
      </c>
      <c r="AB206" s="1">
        <v>1E-3</v>
      </c>
      <c r="AC206" s="1">
        <v>1.9E-2</v>
      </c>
      <c r="AD206" s="1">
        <v>3.0000000000000001E-3</v>
      </c>
      <c r="AE206" s="1">
        <v>2E-3</v>
      </c>
      <c r="AF206" s="1">
        <v>1E-3</v>
      </c>
      <c r="AG206" s="1">
        <v>0</v>
      </c>
      <c r="AH206" s="1">
        <v>2E-3</v>
      </c>
      <c r="AI206" s="1">
        <v>3.0000000000000001E-3</v>
      </c>
      <c r="AJ206" s="1">
        <v>0</v>
      </c>
      <c r="AK206" s="1">
        <v>2E-3</v>
      </c>
      <c r="AL206" s="1">
        <v>0</v>
      </c>
      <c r="AM206" s="1">
        <v>0</v>
      </c>
      <c r="AN206" s="1">
        <v>2.1000000000000001E-2</v>
      </c>
      <c r="AO206" s="1">
        <v>1E-3</v>
      </c>
      <c r="AP206" s="1">
        <v>2E-3</v>
      </c>
      <c r="AQ206" s="1">
        <v>0</v>
      </c>
      <c r="AR206" s="1">
        <v>0</v>
      </c>
      <c r="AS206" s="1">
        <v>2E-3</v>
      </c>
      <c r="AT206" s="1">
        <v>1E-3</v>
      </c>
      <c r="AU206" s="1">
        <v>1E-3</v>
      </c>
      <c r="AV206" s="1">
        <v>0</v>
      </c>
      <c r="AW206" s="1">
        <v>1E-3</v>
      </c>
      <c r="AX206" s="1">
        <v>0</v>
      </c>
      <c r="AY206" s="1">
        <v>1E-3</v>
      </c>
      <c r="AZ206" s="1">
        <v>1E-3</v>
      </c>
      <c r="BA206" s="1">
        <v>3.0000000000000001E-3</v>
      </c>
      <c r="BB206" s="1">
        <v>1E-3</v>
      </c>
      <c r="BC206" s="1">
        <v>1E-3</v>
      </c>
      <c r="BD206" s="1">
        <v>4.0000000000000001E-3</v>
      </c>
      <c r="BE206" s="1">
        <v>1E-3</v>
      </c>
      <c r="BF206" s="1">
        <v>0.78400000000000003</v>
      </c>
      <c r="BG206" s="1">
        <v>0</v>
      </c>
      <c r="BH206" s="1">
        <v>9.9000000000000005E-2</v>
      </c>
      <c r="BI206" s="1">
        <v>0</v>
      </c>
      <c r="BJ206" s="1">
        <v>0</v>
      </c>
      <c r="BK206" s="1">
        <v>0</v>
      </c>
      <c r="BL206" s="1">
        <v>1E-3</v>
      </c>
      <c r="BM206" s="1">
        <v>1E-3</v>
      </c>
      <c r="BN206" s="1">
        <v>1E-3</v>
      </c>
      <c r="BO206" s="1">
        <v>0</v>
      </c>
      <c r="BP206" s="1">
        <v>0</v>
      </c>
      <c r="BQ206" s="1">
        <v>1E-3</v>
      </c>
      <c r="BR206" s="1">
        <v>1E-3</v>
      </c>
      <c r="BS206" s="1">
        <v>0</v>
      </c>
      <c r="BT206" s="1">
        <v>0</v>
      </c>
      <c r="BU206" s="1">
        <v>1E-3</v>
      </c>
      <c r="BV206" s="1">
        <v>0</v>
      </c>
      <c r="BW206" s="1">
        <v>1E-3</v>
      </c>
      <c r="BX206" s="1">
        <v>1.2999999999999999E-2</v>
      </c>
      <c r="BY206" s="1">
        <v>2E-3</v>
      </c>
      <c r="BZ206" s="1">
        <v>1E-3</v>
      </c>
      <c r="CA206" s="1">
        <v>1E-3</v>
      </c>
      <c r="CB206" s="1">
        <v>0</v>
      </c>
      <c r="CC206" s="1">
        <v>1E-3</v>
      </c>
      <c r="CD206" s="1">
        <v>0</v>
      </c>
      <c r="CE206" s="1">
        <v>1E-3</v>
      </c>
      <c r="CF206" s="1">
        <v>1E-3</v>
      </c>
      <c r="CG206" s="1">
        <v>1E-3</v>
      </c>
      <c r="CH206" s="1">
        <v>1E-3</v>
      </c>
      <c r="CI206" s="1">
        <v>2E-3</v>
      </c>
      <c r="CJ206" s="1">
        <v>2E-3</v>
      </c>
      <c r="CK206" s="1">
        <v>5.0000000000000001E-3</v>
      </c>
      <c r="CL206" s="1">
        <v>3.0000000000000001E-3</v>
      </c>
      <c r="CM206" s="1">
        <v>-24.971432289999999</v>
      </c>
      <c r="CN206" s="83">
        <v>-49.975102399999997</v>
      </c>
    </row>
    <row r="207" spans="1:92" s="3" customFormat="1" x14ac:dyDescent="0.25">
      <c r="A207" s="72">
        <v>212</v>
      </c>
      <c r="B207" s="81" t="s">
        <v>1456</v>
      </c>
      <c r="C207" s="1" t="s">
        <v>83</v>
      </c>
      <c r="D207" s="1" t="s">
        <v>79</v>
      </c>
      <c r="E207" s="1" t="s">
        <v>195</v>
      </c>
      <c r="F207" s="1" t="s">
        <v>665</v>
      </c>
      <c r="G207" s="1" t="s">
        <v>237</v>
      </c>
      <c r="H207" s="1" t="s">
        <v>48</v>
      </c>
      <c r="I207" s="1"/>
      <c r="J207" s="9" t="s">
        <v>544</v>
      </c>
      <c r="K207" s="10">
        <v>0.51791633333333298</v>
      </c>
      <c r="L207" s="1" t="s">
        <v>641</v>
      </c>
      <c r="M207" s="1" t="s">
        <v>76</v>
      </c>
      <c r="N207" s="1" t="s">
        <v>644</v>
      </c>
      <c r="O207" s="1" t="s">
        <v>66</v>
      </c>
      <c r="P207" s="82">
        <v>0.40300000000000002</v>
      </c>
      <c r="Q207" s="1" t="s">
        <v>76</v>
      </c>
      <c r="R207" s="81" t="s">
        <v>129</v>
      </c>
      <c r="S207" s="1">
        <v>1</v>
      </c>
      <c r="T207" s="1" t="s">
        <v>120</v>
      </c>
      <c r="U207" s="1" t="s">
        <v>658</v>
      </c>
      <c r="V207" s="1" t="s">
        <v>655</v>
      </c>
      <c r="W207" s="1">
        <v>30</v>
      </c>
      <c r="X207" s="1" t="s">
        <v>238</v>
      </c>
      <c r="Y207" s="1" t="s">
        <v>644</v>
      </c>
      <c r="Z207" s="1">
        <v>1E-3</v>
      </c>
      <c r="AA207" s="1">
        <v>4.0000000000000001E-3</v>
      </c>
      <c r="AB207" s="1">
        <v>3.0000000000000001E-3</v>
      </c>
      <c r="AC207" s="1">
        <v>3.5000000000000003E-2</v>
      </c>
      <c r="AD207" s="1">
        <v>3.0000000000000001E-3</v>
      </c>
      <c r="AE207" s="1">
        <v>3.0000000000000001E-3</v>
      </c>
      <c r="AF207" s="1">
        <v>9.6000000000000002E-2</v>
      </c>
      <c r="AG207" s="1">
        <v>0</v>
      </c>
      <c r="AH207" s="1">
        <v>1.6E-2</v>
      </c>
      <c r="AI207" s="1">
        <v>4.0000000000000001E-3</v>
      </c>
      <c r="AJ207" s="1">
        <v>2E-3</v>
      </c>
      <c r="AK207" s="1">
        <v>1.2999999999999999E-2</v>
      </c>
      <c r="AL207" s="1">
        <v>2E-3</v>
      </c>
      <c r="AM207" s="1">
        <v>3.0000000000000001E-3</v>
      </c>
      <c r="AN207" s="1">
        <v>3.0000000000000001E-3</v>
      </c>
      <c r="AO207" s="1">
        <v>4.0000000000000001E-3</v>
      </c>
      <c r="AP207" s="1">
        <v>3.0000000000000001E-3</v>
      </c>
      <c r="AQ207" s="1">
        <v>4.0000000000000001E-3</v>
      </c>
      <c r="AR207" s="1">
        <v>2E-3</v>
      </c>
      <c r="AS207" s="1">
        <v>1.0999999999999999E-2</v>
      </c>
      <c r="AT207" s="1">
        <v>7.0000000000000001E-3</v>
      </c>
      <c r="AU207" s="1">
        <v>4.0000000000000001E-3</v>
      </c>
      <c r="AV207" s="1">
        <v>2E-3</v>
      </c>
      <c r="AW207" s="1">
        <v>5.0000000000000001E-3</v>
      </c>
      <c r="AX207" s="1">
        <v>7.0000000000000001E-3</v>
      </c>
      <c r="AY207" s="1">
        <v>6.0000000000000001E-3</v>
      </c>
      <c r="AZ207" s="1">
        <v>5.0000000000000001E-3</v>
      </c>
      <c r="BA207" s="1">
        <v>1.9E-2</v>
      </c>
      <c r="BB207" s="1">
        <v>3.0000000000000001E-3</v>
      </c>
      <c r="BC207" s="1">
        <v>2E-3</v>
      </c>
      <c r="BD207" s="1">
        <v>1.7000000000000001E-2</v>
      </c>
      <c r="BE207" s="1">
        <v>2E-3</v>
      </c>
      <c r="BF207" s="1">
        <v>2E-3</v>
      </c>
      <c r="BG207" s="1">
        <v>4.0000000000000001E-3</v>
      </c>
      <c r="BH207" s="1">
        <v>3.0000000000000001E-3</v>
      </c>
      <c r="BI207" s="1">
        <v>2E-3</v>
      </c>
      <c r="BJ207" s="1">
        <v>1E-3</v>
      </c>
      <c r="BK207" s="1">
        <v>2E-3</v>
      </c>
      <c r="BL207" s="1">
        <v>1.4999999999999999E-2</v>
      </c>
      <c r="BM207" s="1">
        <v>1.9E-2</v>
      </c>
      <c r="BN207" s="1">
        <v>5.0000000000000001E-3</v>
      </c>
      <c r="BO207" s="1">
        <v>2E-3</v>
      </c>
      <c r="BP207" s="1">
        <v>1E-3</v>
      </c>
      <c r="BQ207" s="1">
        <v>1.0999999999999999E-2</v>
      </c>
      <c r="BR207" s="1">
        <v>0.09</v>
      </c>
      <c r="BS207" s="1">
        <v>2E-3</v>
      </c>
      <c r="BT207" s="1">
        <v>8.0000000000000002E-3</v>
      </c>
      <c r="BU207" s="1">
        <v>3.0000000000000001E-3</v>
      </c>
      <c r="BV207" s="1">
        <v>2E-3</v>
      </c>
      <c r="BW207" s="1">
        <v>5.0000000000000001E-3</v>
      </c>
      <c r="BX207" s="1">
        <v>8.0000000000000002E-3</v>
      </c>
      <c r="BY207" s="1">
        <v>1.4999999999999999E-2</v>
      </c>
      <c r="BZ207" s="1">
        <v>8.0000000000000002E-3</v>
      </c>
      <c r="CA207" s="1">
        <v>4.0000000000000001E-3</v>
      </c>
      <c r="CB207" s="1">
        <v>1E-3</v>
      </c>
      <c r="CC207" s="1">
        <v>4.0000000000000001E-3</v>
      </c>
      <c r="CD207" s="1">
        <v>0</v>
      </c>
      <c r="CE207" s="1">
        <v>3.0000000000000001E-3</v>
      </c>
      <c r="CF207" s="1">
        <v>3.0000000000000001E-3</v>
      </c>
      <c r="CG207" s="1">
        <v>0.01</v>
      </c>
      <c r="CH207" s="1">
        <v>8.0000000000000002E-3</v>
      </c>
      <c r="CI207" s="1">
        <v>0.40300000000000002</v>
      </c>
      <c r="CJ207" s="1">
        <v>0.03</v>
      </c>
      <c r="CK207" s="1">
        <v>1.9E-2</v>
      </c>
      <c r="CL207" s="1">
        <v>1.4E-2</v>
      </c>
      <c r="CM207" s="1">
        <v>-69.779567589999999</v>
      </c>
      <c r="CN207" s="83">
        <v>-16.05413712</v>
      </c>
    </row>
    <row r="208" spans="1:92" s="3" customFormat="1" x14ac:dyDescent="0.25">
      <c r="A208" s="72">
        <v>213</v>
      </c>
      <c r="B208" s="81" t="s">
        <v>914</v>
      </c>
      <c r="C208" s="1" t="s">
        <v>83</v>
      </c>
      <c r="D208" s="1" t="s">
        <v>79</v>
      </c>
      <c r="E208" s="1" t="s">
        <v>99</v>
      </c>
      <c r="F208" s="1" t="s">
        <v>202</v>
      </c>
      <c r="G208" s="1" t="s">
        <v>235</v>
      </c>
      <c r="H208" s="1" t="s">
        <v>203</v>
      </c>
      <c r="I208" s="1"/>
      <c r="J208" s="9" t="s">
        <v>544</v>
      </c>
      <c r="K208" s="10">
        <v>0.521027666666667</v>
      </c>
      <c r="L208" s="1" t="s">
        <v>76</v>
      </c>
      <c r="M208" s="1" t="s">
        <v>506</v>
      </c>
      <c r="N208" s="1" t="s">
        <v>645</v>
      </c>
      <c r="O208" s="1" t="s">
        <v>58</v>
      </c>
      <c r="P208" s="82">
        <v>1</v>
      </c>
      <c r="Q208" s="1" t="s">
        <v>76</v>
      </c>
      <c r="R208" s="81" t="s">
        <v>227</v>
      </c>
      <c r="S208" s="1">
        <v>3</v>
      </c>
      <c r="T208" s="1" t="s">
        <v>120</v>
      </c>
      <c r="U208" s="1" t="s">
        <v>658</v>
      </c>
      <c r="V208" s="1" t="s">
        <v>655</v>
      </c>
      <c r="W208" s="1">
        <v>11</v>
      </c>
      <c r="X208" s="1" t="s">
        <v>239</v>
      </c>
      <c r="Y208" s="1" t="s">
        <v>645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1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-57.723591929999998</v>
      </c>
      <c r="CN208" s="83">
        <v>26.603008500000001</v>
      </c>
    </row>
    <row r="209" spans="1:92" s="3" customFormat="1" x14ac:dyDescent="0.25">
      <c r="A209" s="72">
        <v>620</v>
      </c>
      <c r="B209" s="81" t="s">
        <v>1175</v>
      </c>
      <c r="C209" s="1" t="s">
        <v>83</v>
      </c>
      <c r="D209" s="1" t="s">
        <v>73</v>
      </c>
      <c r="E209" s="1" t="s">
        <v>99</v>
      </c>
      <c r="F209" s="1" t="s">
        <v>84</v>
      </c>
      <c r="G209" s="1" t="s">
        <v>355</v>
      </c>
      <c r="H209" s="1" t="s">
        <v>539</v>
      </c>
      <c r="I209" s="1"/>
      <c r="J209" s="9" t="s">
        <v>544</v>
      </c>
      <c r="K209" s="10">
        <v>0.423256666666666</v>
      </c>
      <c r="L209" s="1" t="s">
        <v>594</v>
      </c>
      <c r="M209" s="1" t="s">
        <v>506</v>
      </c>
      <c r="N209" s="1" t="s">
        <v>648</v>
      </c>
      <c r="O209" s="1" t="s">
        <v>16</v>
      </c>
      <c r="P209" s="82">
        <v>0.96699999999999997</v>
      </c>
      <c r="Q209" s="1" t="s">
        <v>76</v>
      </c>
      <c r="R209" s="81" t="s">
        <v>357</v>
      </c>
      <c r="S209" s="1" t="s">
        <v>76</v>
      </c>
      <c r="T209" s="1" t="s">
        <v>78</v>
      </c>
      <c r="U209" s="1" t="s">
        <v>658</v>
      </c>
      <c r="V209" s="1" t="s">
        <v>655</v>
      </c>
      <c r="W209" s="1">
        <v>31</v>
      </c>
      <c r="X209" s="1" t="s">
        <v>358</v>
      </c>
      <c r="Y209" s="1" t="s">
        <v>648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3.0000000000000001E-3</v>
      </c>
      <c r="AF209" s="1">
        <v>0</v>
      </c>
      <c r="AG209" s="1">
        <v>0</v>
      </c>
      <c r="AH209" s="1">
        <v>1E-3</v>
      </c>
      <c r="AI209" s="1">
        <v>0</v>
      </c>
      <c r="AJ209" s="1">
        <v>7.0000000000000001E-3</v>
      </c>
      <c r="AK209" s="1">
        <v>0.96699999999999997</v>
      </c>
      <c r="AL209" s="1">
        <v>1.2E-2</v>
      </c>
      <c r="AM209" s="1">
        <v>1E-3</v>
      </c>
      <c r="AN209" s="1">
        <v>2E-3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1E-3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1E-3</v>
      </c>
      <c r="CL209" s="1">
        <v>0</v>
      </c>
      <c r="CM209" s="1">
        <v>-11.7434376</v>
      </c>
      <c r="CN209" s="83">
        <v>-0.69596846999999995</v>
      </c>
    </row>
    <row r="210" spans="1:92" s="3" customFormat="1" x14ac:dyDescent="0.25">
      <c r="A210" s="72">
        <v>216</v>
      </c>
      <c r="B210" s="81" t="s">
        <v>854</v>
      </c>
      <c r="C210" s="1" t="s">
        <v>83</v>
      </c>
      <c r="D210" s="1" t="s">
        <v>79</v>
      </c>
      <c r="E210" s="1" t="s">
        <v>99</v>
      </c>
      <c r="F210" s="1" t="s">
        <v>208</v>
      </c>
      <c r="G210" s="1" t="s">
        <v>98</v>
      </c>
      <c r="H210" s="1" t="s">
        <v>29</v>
      </c>
      <c r="I210" s="1"/>
      <c r="J210" s="9" t="s">
        <v>544</v>
      </c>
      <c r="K210" s="10">
        <v>0.46950483333333398</v>
      </c>
      <c r="L210" s="1" t="s">
        <v>76</v>
      </c>
      <c r="M210" s="1" t="s">
        <v>506</v>
      </c>
      <c r="N210" s="1" t="s">
        <v>645</v>
      </c>
      <c r="O210" s="1" t="s">
        <v>29</v>
      </c>
      <c r="P210" s="82">
        <v>0.999</v>
      </c>
      <c r="Q210" s="1" t="s">
        <v>76</v>
      </c>
      <c r="R210" s="81" t="s">
        <v>241</v>
      </c>
      <c r="S210" s="1">
        <v>3</v>
      </c>
      <c r="T210" s="1" t="s">
        <v>120</v>
      </c>
      <c r="U210" s="1" t="s">
        <v>658</v>
      </c>
      <c r="V210" s="1" t="s">
        <v>655</v>
      </c>
      <c r="W210" s="1">
        <v>24</v>
      </c>
      <c r="X210" s="1" t="s">
        <v>76</v>
      </c>
      <c r="Y210" s="1" t="s">
        <v>645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0.999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1E-3</v>
      </c>
      <c r="CL210" s="1">
        <v>0</v>
      </c>
      <c r="CM210" s="1">
        <v>19.00981406</v>
      </c>
      <c r="CN210" s="83">
        <v>-23.548186959999999</v>
      </c>
    </row>
    <row r="211" spans="1:92" s="3" customFormat="1" x14ac:dyDescent="0.25">
      <c r="A211" s="72">
        <v>217</v>
      </c>
      <c r="B211" s="81" t="s">
        <v>1290</v>
      </c>
      <c r="C211" s="1" t="s">
        <v>83</v>
      </c>
      <c r="D211" s="1" t="s">
        <v>79</v>
      </c>
      <c r="E211" s="1" t="s">
        <v>74</v>
      </c>
      <c r="F211" s="1" t="s">
        <v>665</v>
      </c>
      <c r="G211" s="1" t="s">
        <v>98</v>
      </c>
      <c r="H211" s="1" t="s">
        <v>48</v>
      </c>
      <c r="I211" s="1"/>
      <c r="J211" s="9" t="s">
        <v>544</v>
      </c>
      <c r="K211" s="10">
        <v>0.61666949999999898</v>
      </c>
      <c r="L211" s="1" t="s">
        <v>641</v>
      </c>
      <c r="M211" s="1" t="s">
        <v>76</v>
      </c>
      <c r="N211" s="1" t="s">
        <v>644</v>
      </c>
      <c r="O211" s="1" t="s">
        <v>44</v>
      </c>
      <c r="P211" s="82">
        <v>0.18</v>
      </c>
      <c r="Q211" s="1" t="s">
        <v>76</v>
      </c>
      <c r="R211" s="81" t="s">
        <v>193</v>
      </c>
      <c r="S211" s="1">
        <v>3</v>
      </c>
      <c r="T211" s="1" t="s">
        <v>120</v>
      </c>
      <c r="U211" s="1" t="s">
        <v>658</v>
      </c>
      <c r="V211" s="1" t="s">
        <v>655</v>
      </c>
      <c r="W211" s="1">
        <v>34</v>
      </c>
      <c r="X211" s="1" t="s">
        <v>76</v>
      </c>
      <c r="Y211" s="1" t="s">
        <v>644</v>
      </c>
      <c r="Z211" s="1">
        <v>1E-3</v>
      </c>
      <c r="AA211" s="1">
        <v>0.122</v>
      </c>
      <c r="AB211" s="1">
        <v>3.0000000000000001E-3</v>
      </c>
      <c r="AC211" s="1">
        <v>1.0999999999999999E-2</v>
      </c>
      <c r="AD211" s="1">
        <v>3.0000000000000001E-3</v>
      </c>
      <c r="AE211" s="1">
        <v>2E-3</v>
      </c>
      <c r="AF211" s="1">
        <v>7.0000000000000001E-3</v>
      </c>
      <c r="AG211" s="1">
        <v>1E-3</v>
      </c>
      <c r="AH211" s="1">
        <v>7.0000000000000001E-3</v>
      </c>
      <c r="AI211" s="1">
        <v>1E-3</v>
      </c>
      <c r="AJ211" s="1">
        <v>2E-3</v>
      </c>
      <c r="AK211" s="1">
        <v>5.0000000000000001E-3</v>
      </c>
      <c r="AL211" s="1">
        <v>0.155</v>
      </c>
      <c r="AM211" s="1">
        <v>4.0000000000000001E-3</v>
      </c>
      <c r="AN211" s="1">
        <v>2E-3</v>
      </c>
      <c r="AO211" s="1">
        <v>3.0000000000000001E-3</v>
      </c>
      <c r="AP211" s="1">
        <v>3.0000000000000001E-3</v>
      </c>
      <c r="AQ211" s="1">
        <v>2E-3</v>
      </c>
      <c r="AR211" s="1">
        <v>2E-3</v>
      </c>
      <c r="AS211" s="1">
        <v>8.0000000000000002E-3</v>
      </c>
      <c r="AT211" s="1">
        <v>7.0000000000000001E-3</v>
      </c>
      <c r="AU211" s="1">
        <v>4.0000000000000001E-3</v>
      </c>
      <c r="AV211" s="1">
        <v>2E-3</v>
      </c>
      <c r="AW211" s="1">
        <v>8.0000000000000002E-3</v>
      </c>
      <c r="AX211" s="1">
        <v>7.0000000000000001E-3</v>
      </c>
      <c r="AY211" s="1">
        <v>2.1000000000000001E-2</v>
      </c>
      <c r="AZ211" s="1">
        <v>6.0000000000000001E-3</v>
      </c>
      <c r="BA211" s="1">
        <v>1.0999999999999999E-2</v>
      </c>
      <c r="BB211" s="1">
        <v>2E-3</v>
      </c>
      <c r="BC211" s="1">
        <v>2E-3</v>
      </c>
      <c r="BD211" s="1">
        <v>8.0000000000000002E-3</v>
      </c>
      <c r="BE211" s="1">
        <v>2E-3</v>
      </c>
      <c r="BF211" s="1">
        <v>1E-3</v>
      </c>
      <c r="BG211" s="1">
        <v>4.0000000000000001E-3</v>
      </c>
      <c r="BH211" s="1">
        <v>2E-3</v>
      </c>
      <c r="BI211" s="1">
        <v>2E-3</v>
      </c>
      <c r="BJ211" s="1">
        <v>1E-3</v>
      </c>
      <c r="BK211" s="1">
        <v>3.0000000000000001E-3</v>
      </c>
      <c r="BL211" s="1">
        <v>5.8999999999999997E-2</v>
      </c>
      <c r="BM211" s="1">
        <v>0.18</v>
      </c>
      <c r="BN211" s="1">
        <v>5.0000000000000001E-3</v>
      </c>
      <c r="BO211" s="1">
        <v>1E-3</v>
      </c>
      <c r="BP211" s="1">
        <v>1E-3</v>
      </c>
      <c r="BQ211" s="1">
        <v>6.8000000000000005E-2</v>
      </c>
      <c r="BR211" s="1">
        <v>1.0999999999999999E-2</v>
      </c>
      <c r="BS211" s="1">
        <v>2E-3</v>
      </c>
      <c r="BT211" s="1">
        <v>2E-3</v>
      </c>
      <c r="BU211" s="1">
        <v>1E-3</v>
      </c>
      <c r="BV211" s="1">
        <v>2E-3</v>
      </c>
      <c r="BW211" s="1">
        <v>5.0000000000000001E-3</v>
      </c>
      <c r="BX211" s="1">
        <v>8.9999999999999993E-3</v>
      </c>
      <c r="BY211" s="1">
        <v>1.7999999999999999E-2</v>
      </c>
      <c r="BZ211" s="1">
        <v>0.115</v>
      </c>
      <c r="CA211" s="1">
        <v>4.0000000000000001E-3</v>
      </c>
      <c r="CB211" s="1">
        <v>1E-3</v>
      </c>
      <c r="CC211" s="1">
        <v>3.0000000000000001E-3</v>
      </c>
      <c r="CD211" s="1">
        <v>2E-3</v>
      </c>
      <c r="CE211" s="1">
        <v>7.0000000000000001E-3</v>
      </c>
      <c r="CF211" s="1">
        <v>4.0000000000000001E-3</v>
      </c>
      <c r="CG211" s="1">
        <v>1.4E-2</v>
      </c>
      <c r="CH211" s="1">
        <v>6.0000000000000001E-3</v>
      </c>
      <c r="CI211" s="1">
        <v>6.0000000000000001E-3</v>
      </c>
      <c r="CJ211" s="1">
        <v>1.0999999999999999E-2</v>
      </c>
      <c r="CK211" s="1">
        <v>1.7000000000000001E-2</v>
      </c>
      <c r="CL211" s="1">
        <v>8.0000000000000002E-3</v>
      </c>
      <c r="CM211" s="1">
        <v>-56.71835952</v>
      </c>
      <c r="CN211" s="83">
        <v>56.995695249999997</v>
      </c>
    </row>
    <row r="212" spans="1:92" s="3" customFormat="1" x14ac:dyDescent="0.25">
      <c r="A212" s="72">
        <v>218</v>
      </c>
      <c r="B212" s="81" t="s">
        <v>1302</v>
      </c>
      <c r="C212" s="1" t="s">
        <v>83</v>
      </c>
      <c r="D212" s="1" t="s">
        <v>79</v>
      </c>
      <c r="E212" s="1" t="s">
        <v>74</v>
      </c>
      <c r="F212" s="1" t="s">
        <v>221</v>
      </c>
      <c r="G212" s="1" t="s">
        <v>94</v>
      </c>
      <c r="H212" s="1" t="s">
        <v>569</v>
      </c>
      <c r="I212" s="1"/>
      <c r="J212" s="9" t="s">
        <v>544</v>
      </c>
      <c r="K212" s="10">
        <v>0.631996</v>
      </c>
      <c r="L212" s="1" t="s">
        <v>76</v>
      </c>
      <c r="M212" s="1" t="s">
        <v>506</v>
      </c>
      <c r="N212" s="1" t="s">
        <v>645</v>
      </c>
      <c r="O212" s="1" t="s">
        <v>44</v>
      </c>
      <c r="P212" s="82">
        <v>0.998</v>
      </c>
      <c r="Q212" s="1" t="s">
        <v>76</v>
      </c>
      <c r="R212" s="81" t="s">
        <v>174</v>
      </c>
      <c r="S212" s="1">
        <v>3</v>
      </c>
      <c r="T212" s="1" t="s">
        <v>120</v>
      </c>
      <c r="U212" s="1" t="s">
        <v>658</v>
      </c>
      <c r="V212" s="1" t="s">
        <v>655</v>
      </c>
      <c r="W212" s="1">
        <v>84</v>
      </c>
      <c r="X212" s="1" t="s">
        <v>199</v>
      </c>
      <c r="Y212" s="1" t="s">
        <v>645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1E-3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0.998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37.446580179999998</v>
      </c>
      <c r="CN212" s="83">
        <v>-26.72532794</v>
      </c>
    </row>
    <row r="213" spans="1:92" s="3" customFormat="1" x14ac:dyDescent="0.25">
      <c r="A213" s="72">
        <v>219</v>
      </c>
      <c r="B213" s="81" t="s">
        <v>1153</v>
      </c>
      <c r="C213" s="1" t="s">
        <v>83</v>
      </c>
      <c r="D213" s="1" t="s">
        <v>79</v>
      </c>
      <c r="E213" s="1" t="s">
        <v>195</v>
      </c>
      <c r="F213" s="1" t="s">
        <v>665</v>
      </c>
      <c r="G213" s="1" t="s">
        <v>98</v>
      </c>
      <c r="H213" s="1" t="s">
        <v>48</v>
      </c>
      <c r="I213" s="1"/>
      <c r="J213" s="9" t="s">
        <v>544</v>
      </c>
      <c r="K213" s="10">
        <v>0.623183499999999</v>
      </c>
      <c r="L213" s="1" t="s">
        <v>76</v>
      </c>
      <c r="M213" s="1" t="s">
        <v>506</v>
      </c>
      <c r="N213" s="1" t="s">
        <v>645</v>
      </c>
      <c r="O213" s="1" t="s">
        <v>48</v>
      </c>
      <c r="P213" s="82">
        <v>0.999</v>
      </c>
      <c r="Q213" s="1" t="s">
        <v>76</v>
      </c>
      <c r="R213" s="81" t="s">
        <v>193</v>
      </c>
      <c r="S213" s="1">
        <v>3</v>
      </c>
      <c r="T213" s="1" t="s">
        <v>120</v>
      </c>
      <c r="U213" s="1" t="s">
        <v>658</v>
      </c>
      <c r="V213" s="1" t="s">
        <v>655</v>
      </c>
      <c r="W213" s="1">
        <v>77</v>
      </c>
      <c r="X213" s="1" t="s">
        <v>76</v>
      </c>
      <c r="Y213" s="1" t="s">
        <v>645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0.999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-65.673516239999998</v>
      </c>
      <c r="CN213" s="83">
        <v>52.079492899999998</v>
      </c>
    </row>
    <row r="214" spans="1:92" s="3" customFormat="1" x14ac:dyDescent="0.25">
      <c r="A214" s="72">
        <v>221</v>
      </c>
      <c r="B214" s="81" t="s">
        <v>863</v>
      </c>
      <c r="C214" s="1" t="s">
        <v>83</v>
      </c>
      <c r="D214" s="1" t="s">
        <v>79</v>
      </c>
      <c r="E214" s="1" t="s">
        <v>195</v>
      </c>
      <c r="F214" s="1" t="s">
        <v>665</v>
      </c>
      <c r="G214" s="1" t="s">
        <v>98</v>
      </c>
      <c r="H214" s="1" t="s">
        <v>48</v>
      </c>
      <c r="I214" s="1"/>
      <c r="J214" s="9" t="s">
        <v>544</v>
      </c>
      <c r="K214" s="10">
        <v>0.49103433333333302</v>
      </c>
      <c r="L214" s="1" t="s">
        <v>641</v>
      </c>
      <c r="M214" s="1" t="s">
        <v>76</v>
      </c>
      <c r="N214" s="1" t="s">
        <v>649</v>
      </c>
      <c r="O214" s="1" t="s">
        <v>48</v>
      </c>
      <c r="P214" s="82">
        <v>0.871</v>
      </c>
      <c r="Q214" s="1" t="s">
        <v>76</v>
      </c>
      <c r="R214" s="81" t="s">
        <v>242</v>
      </c>
      <c r="S214" s="1">
        <v>3</v>
      </c>
      <c r="T214" s="1" t="s">
        <v>78</v>
      </c>
      <c r="U214" s="1" t="s">
        <v>658</v>
      </c>
      <c r="V214" s="1" t="s">
        <v>655</v>
      </c>
      <c r="W214" s="1">
        <v>29</v>
      </c>
      <c r="X214" s="1" t="s">
        <v>76</v>
      </c>
      <c r="Y214" s="1" t="s">
        <v>645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1E-3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1E-3</v>
      </c>
      <c r="BO214" s="1">
        <v>0</v>
      </c>
      <c r="BP214" s="1">
        <v>0</v>
      </c>
      <c r="BQ214" s="1">
        <v>0.871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0.123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1E-3</v>
      </c>
      <c r="CL214" s="1">
        <v>1E-3</v>
      </c>
      <c r="CM214" s="1">
        <v>-42.015744769999998</v>
      </c>
      <c r="CN214" s="83">
        <v>48.558592160000003</v>
      </c>
    </row>
    <row r="215" spans="1:92" s="3" customFormat="1" x14ac:dyDescent="0.25">
      <c r="A215" s="72">
        <v>621</v>
      </c>
      <c r="B215" s="81" t="s">
        <v>846</v>
      </c>
      <c r="C215" s="1" t="s">
        <v>83</v>
      </c>
      <c r="D215" s="1" t="s">
        <v>73</v>
      </c>
      <c r="E215" s="1" t="s">
        <v>99</v>
      </c>
      <c r="F215" s="1" t="s">
        <v>84</v>
      </c>
      <c r="G215" s="1" t="s">
        <v>355</v>
      </c>
      <c r="H215" s="1" t="s">
        <v>539</v>
      </c>
      <c r="I215" s="1"/>
      <c r="J215" s="9" t="s">
        <v>544</v>
      </c>
      <c r="K215" s="10">
        <v>0.45955000000000001</v>
      </c>
      <c r="L215" s="1" t="s">
        <v>594</v>
      </c>
      <c r="M215" s="1" t="s">
        <v>506</v>
      </c>
      <c r="N215" s="1" t="s">
        <v>648</v>
      </c>
      <c r="O215" s="1" t="s">
        <v>16</v>
      </c>
      <c r="P215" s="82">
        <v>0.96099999999999997</v>
      </c>
      <c r="Q215" s="1" t="s">
        <v>76</v>
      </c>
      <c r="R215" s="81" t="s">
        <v>87</v>
      </c>
      <c r="S215" s="1" t="s">
        <v>76</v>
      </c>
      <c r="T215" s="1" t="s">
        <v>78</v>
      </c>
      <c r="U215" s="1" t="s">
        <v>658</v>
      </c>
      <c r="V215" s="1" t="s">
        <v>655</v>
      </c>
      <c r="W215" s="1">
        <v>47</v>
      </c>
      <c r="X215" s="1" t="s">
        <v>76</v>
      </c>
      <c r="Y215" s="1" t="s">
        <v>648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7.0000000000000001E-3</v>
      </c>
      <c r="AF215" s="1">
        <v>0</v>
      </c>
      <c r="AG215" s="1">
        <v>0</v>
      </c>
      <c r="AH215" s="1">
        <v>1E-3</v>
      </c>
      <c r="AI215" s="1">
        <v>0</v>
      </c>
      <c r="AJ215" s="1">
        <v>1E-3</v>
      </c>
      <c r="AK215" s="1">
        <v>0.96099999999999997</v>
      </c>
      <c r="AL215" s="1">
        <v>5.0000000000000001E-3</v>
      </c>
      <c r="AM215" s="1">
        <v>1E-3</v>
      </c>
      <c r="AN215" s="1">
        <v>1E-3</v>
      </c>
      <c r="AO215" s="1">
        <v>0</v>
      </c>
      <c r="AP215" s="1">
        <v>0</v>
      </c>
      <c r="AQ215" s="1">
        <v>0</v>
      </c>
      <c r="AR215" s="1">
        <v>0</v>
      </c>
      <c r="AS215" s="1">
        <v>1E-3</v>
      </c>
      <c r="AT215" s="1">
        <v>0</v>
      </c>
      <c r="AU215" s="1">
        <v>0</v>
      </c>
      <c r="AV215" s="1">
        <v>0</v>
      </c>
      <c r="AW215" s="1">
        <v>1E-3</v>
      </c>
      <c r="AX215" s="1">
        <v>0</v>
      </c>
      <c r="AY215" s="1">
        <v>0</v>
      </c>
      <c r="AZ215" s="1">
        <v>1E-3</v>
      </c>
      <c r="BA215" s="1">
        <v>1E-3</v>
      </c>
      <c r="BB215" s="1">
        <v>1E-3</v>
      </c>
      <c r="BC215" s="1">
        <v>0</v>
      </c>
      <c r="BD215" s="1">
        <v>1E-3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4.0000000000000001E-3</v>
      </c>
      <c r="BW215" s="1">
        <v>0</v>
      </c>
      <c r="BX215" s="1">
        <v>1E-3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3.0000000000000001E-3</v>
      </c>
      <c r="CL215" s="1">
        <v>1E-3</v>
      </c>
      <c r="CM215" s="1">
        <v>-11.40254637</v>
      </c>
      <c r="CN215" s="83">
        <v>0.81296944000000004</v>
      </c>
    </row>
    <row r="216" spans="1:92" s="3" customFormat="1" x14ac:dyDescent="0.25">
      <c r="A216" s="72">
        <v>223</v>
      </c>
      <c r="B216" s="81" t="s">
        <v>1448</v>
      </c>
      <c r="C216" s="1" t="s">
        <v>83</v>
      </c>
      <c r="D216" s="1" t="s">
        <v>79</v>
      </c>
      <c r="E216" s="1" t="s">
        <v>99</v>
      </c>
      <c r="F216" s="1" t="s">
        <v>669</v>
      </c>
      <c r="G216" s="1" t="s">
        <v>76</v>
      </c>
      <c r="H216" s="1" t="s">
        <v>68</v>
      </c>
      <c r="I216" s="1"/>
      <c r="J216" s="9" t="s">
        <v>544</v>
      </c>
      <c r="K216" s="10">
        <v>0.44693250000000001</v>
      </c>
      <c r="L216" s="1" t="s">
        <v>76</v>
      </c>
      <c r="M216" s="1" t="s">
        <v>506</v>
      </c>
      <c r="N216" s="1" t="s">
        <v>645</v>
      </c>
      <c r="O216" s="1" t="s">
        <v>68</v>
      </c>
      <c r="P216" s="82">
        <v>0.96799999999999997</v>
      </c>
      <c r="Q216" s="1" t="s">
        <v>76</v>
      </c>
      <c r="R216" s="81" t="s">
        <v>193</v>
      </c>
      <c r="S216" s="1">
        <v>3</v>
      </c>
      <c r="T216" s="1" t="s">
        <v>120</v>
      </c>
      <c r="U216" s="1" t="s">
        <v>658</v>
      </c>
      <c r="V216" s="1" t="s">
        <v>655</v>
      </c>
      <c r="W216" s="1">
        <v>64</v>
      </c>
      <c r="X216" s="1" t="s">
        <v>76</v>
      </c>
      <c r="Y216" s="1" t="s">
        <v>645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0.02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1E-3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0.96799999999999997</v>
      </c>
      <c r="CL216" s="1">
        <v>1E-3</v>
      </c>
      <c r="CM216" s="1">
        <v>39.047547479999999</v>
      </c>
      <c r="CN216" s="83">
        <v>-53.690816750000003</v>
      </c>
    </row>
    <row r="217" spans="1:92" s="3" customFormat="1" x14ac:dyDescent="0.25">
      <c r="A217" s="72">
        <v>1022</v>
      </c>
      <c r="B217" s="81" t="s">
        <v>999</v>
      </c>
      <c r="C217" s="1" t="s">
        <v>162</v>
      </c>
      <c r="D217" s="1" t="s">
        <v>73</v>
      </c>
      <c r="E217" s="1" t="s">
        <v>74</v>
      </c>
      <c r="F217" s="1" t="s">
        <v>84</v>
      </c>
      <c r="G217" s="1" t="s">
        <v>503</v>
      </c>
      <c r="H217" s="1" t="s">
        <v>85</v>
      </c>
      <c r="I217" s="1"/>
      <c r="J217" s="9" t="s">
        <v>544</v>
      </c>
      <c r="K217" s="10">
        <v>0.547346</v>
      </c>
      <c r="L217" s="1" t="s">
        <v>603</v>
      </c>
      <c r="M217" s="1" t="s">
        <v>506</v>
      </c>
      <c r="N217" s="1" t="s">
        <v>648</v>
      </c>
      <c r="O217" s="1" t="s">
        <v>20</v>
      </c>
      <c r="P217" s="82">
        <v>0.995</v>
      </c>
      <c r="Q217" s="1" t="s">
        <v>76</v>
      </c>
      <c r="R217" s="81" t="s">
        <v>292</v>
      </c>
      <c r="S217" s="1" t="s">
        <v>123</v>
      </c>
      <c r="T217" s="1" t="s">
        <v>78</v>
      </c>
      <c r="U217" s="1" t="s">
        <v>658</v>
      </c>
      <c r="V217" s="1" t="s">
        <v>655</v>
      </c>
      <c r="W217" s="1">
        <v>73</v>
      </c>
      <c r="X217" s="1" t="s">
        <v>288</v>
      </c>
      <c r="Y217" s="1" t="s">
        <v>648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0.995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1E-3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-40.763718019999999</v>
      </c>
      <c r="CN217" s="83">
        <v>27.064500049999999</v>
      </c>
    </row>
    <row r="218" spans="1:92" s="3" customFormat="1" x14ac:dyDescent="0.25">
      <c r="A218" s="72">
        <v>225</v>
      </c>
      <c r="B218" s="81" t="s">
        <v>958</v>
      </c>
      <c r="C218" s="1" t="s">
        <v>83</v>
      </c>
      <c r="D218" s="1" t="s">
        <v>79</v>
      </c>
      <c r="E218" s="1" t="s">
        <v>215</v>
      </c>
      <c r="F218" s="1" t="s">
        <v>665</v>
      </c>
      <c r="G218" s="1" t="s">
        <v>98</v>
      </c>
      <c r="H218" s="1" t="s">
        <v>48</v>
      </c>
      <c r="I218" s="1"/>
      <c r="J218" s="9" t="s">
        <v>544</v>
      </c>
      <c r="K218" s="10">
        <v>0.56302416666666599</v>
      </c>
      <c r="L218" s="1" t="s">
        <v>76</v>
      </c>
      <c r="M218" s="1" t="s">
        <v>506</v>
      </c>
      <c r="N218" s="1" t="s">
        <v>645</v>
      </c>
      <c r="O218" s="1" t="s">
        <v>48</v>
      </c>
      <c r="P218" s="82">
        <v>0.997</v>
      </c>
      <c r="Q218" s="1" t="s">
        <v>76</v>
      </c>
      <c r="R218" s="81" t="s">
        <v>100</v>
      </c>
      <c r="S218" s="1">
        <v>3</v>
      </c>
      <c r="T218" s="1" t="s">
        <v>120</v>
      </c>
      <c r="U218" s="1" t="s">
        <v>658</v>
      </c>
      <c r="V218" s="1" t="s">
        <v>655</v>
      </c>
      <c r="W218" s="1">
        <v>19</v>
      </c>
      <c r="X218" s="1" t="s">
        <v>76</v>
      </c>
      <c r="Y218" s="1" t="s">
        <v>645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0.997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1E-3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-60.617617459999998</v>
      </c>
      <c r="CN218" s="83">
        <v>39.48069383</v>
      </c>
    </row>
    <row r="219" spans="1:92" s="3" customFormat="1" x14ac:dyDescent="0.25">
      <c r="A219" s="72">
        <v>226</v>
      </c>
      <c r="B219" s="81" t="s">
        <v>920</v>
      </c>
      <c r="C219" s="1" t="s">
        <v>83</v>
      </c>
      <c r="D219" s="1" t="s">
        <v>79</v>
      </c>
      <c r="E219" s="1" t="s">
        <v>215</v>
      </c>
      <c r="F219" s="1" t="s">
        <v>665</v>
      </c>
      <c r="G219" s="1" t="s">
        <v>98</v>
      </c>
      <c r="H219" s="1" t="s">
        <v>48</v>
      </c>
      <c r="I219" s="1"/>
      <c r="J219" s="9" t="s">
        <v>544</v>
      </c>
      <c r="K219" s="10">
        <v>0.32842699999999903</v>
      </c>
      <c r="L219" s="1" t="s">
        <v>641</v>
      </c>
      <c r="M219" s="1" t="s">
        <v>76</v>
      </c>
      <c r="N219" s="1" t="s">
        <v>644</v>
      </c>
      <c r="O219" s="1" t="s">
        <v>5</v>
      </c>
      <c r="P219" s="82">
        <v>0.46</v>
      </c>
      <c r="Q219" s="1" t="s">
        <v>76</v>
      </c>
      <c r="R219" s="81" t="s">
        <v>243</v>
      </c>
      <c r="S219" s="1">
        <v>1</v>
      </c>
      <c r="T219" s="1" t="s">
        <v>120</v>
      </c>
      <c r="U219" s="1" t="s">
        <v>658</v>
      </c>
      <c r="V219" s="1" t="s">
        <v>655</v>
      </c>
      <c r="W219" s="1">
        <v>54</v>
      </c>
      <c r="X219" s="1" t="s">
        <v>244</v>
      </c>
      <c r="Y219" s="1" t="s">
        <v>644</v>
      </c>
      <c r="Z219" s="1">
        <v>0.46</v>
      </c>
      <c r="AA219" s="1">
        <v>2E-3</v>
      </c>
      <c r="AB219" s="1">
        <v>2E-3</v>
      </c>
      <c r="AC219" s="1">
        <v>2.1999999999999999E-2</v>
      </c>
      <c r="AD219" s="1">
        <v>5.0000000000000001E-3</v>
      </c>
      <c r="AE219" s="1">
        <v>3.0000000000000001E-3</v>
      </c>
      <c r="AF219" s="1">
        <v>4.0000000000000001E-3</v>
      </c>
      <c r="AG219" s="1">
        <v>0</v>
      </c>
      <c r="AH219" s="1">
        <v>3.3000000000000002E-2</v>
      </c>
      <c r="AI219" s="1">
        <v>4.0000000000000001E-3</v>
      </c>
      <c r="AJ219" s="1">
        <v>2E-3</v>
      </c>
      <c r="AK219" s="1">
        <v>2E-3</v>
      </c>
      <c r="AL219" s="1">
        <v>0</v>
      </c>
      <c r="AM219" s="1">
        <v>2E-3</v>
      </c>
      <c r="AN219" s="1">
        <v>4.3999999999999997E-2</v>
      </c>
      <c r="AO219" s="1">
        <v>1E-3</v>
      </c>
      <c r="AP219" s="1">
        <v>1E-3</v>
      </c>
      <c r="AQ219" s="1">
        <v>1E-3</v>
      </c>
      <c r="AR219" s="1">
        <v>4.0000000000000001E-3</v>
      </c>
      <c r="AS219" s="1">
        <v>4.0000000000000001E-3</v>
      </c>
      <c r="AT219" s="1">
        <v>2E-3</v>
      </c>
      <c r="AU219" s="1">
        <v>3.0000000000000001E-3</v>
      </c>
      <c r="AV219" s="1">
        <v>4.0000000000000001E-3</v>
      </c>
      <c r="AW219" s="1">
        <v>2E-3</v>
      </c>
      <c r="AX219" s="1">
        <v>5.0000000000000001E-3</v>
      </c>
      <c r="AY219" s="1">
        <v>6.0000000000000001E-3</v>
      </c>
      <c r="AZ219" s="1">
        <v>6.0000000000000001E-3</v>
      </c>
      <c r="BA219" s="1">
        <v>8.0000000000000002E-3</v>
      </c>
      <c r="BB219" s="1">
        <v>1E-3</v>
      </c>
      <c r="BC219" s="1">
        <v>1E-3</v>
      </c>
      <c r="BD219" s="1">
        <v>1.0999999999999999E-2</v>
      </c>
      <c r="BE219" s="1">
        <v>2E-3</v>
      </c>
      <c r="BF219" s="1">
        <v>7.9000000000000001E-2</v>
      </c>
      <c r="BG219" s="1">
        <v>0</v>
      </c>
      <c r="BH219" s="1">
        <v>3.0000000000000001E-3</v>
      </c>
      <c r="BI219" s="1">
        <v>1E-3</v>
      </c>
      <c r="BJ219" s="1">
        <v>1E-3</v>
      </c>
      <c r="BK219" s="1">
        <v>1E-3</v>
      </c>
      <c r="BL219" s="1">
        <v>2E-3</v>
      </c>
      <c r="BM219" s="1">
        <v>3.0000000000000001E-3</v>
      </c>
      <c r="BN219" s="1">
        <v>3.0000000000000001E-3</v>
      </c>
      <c r="BO219" s="1">
        <v>1E-3</v>
      </c>
      <c r="BP219" s="1">
        <v>1E-3</v>
      </c>
      <c r="BQ219" s="1">
        <v>3.0000000000000001E-3</v>
      </c>
      <c r="BR219" s="1">
        <v>2E-3</v>
      </c>
      <c r="BS219" s="1">
        <v>4.0000000000000001E-3</v>
      </c>
      <c r="BT219" s="1">
        <v>2E-3</v>
      </c>
      <c r="BU219" s="1">
        <v>2.3E-2</v>
      </c>
      <c r="BV219" s="1">
        <v>1E-3</v>
      </c>
      <c r="BW219" s="1">
        <v>2E-3</v>
      </c>
      <c r="BX219" s="1">
        <v>1.0999999999999999E-2</v>
      </c>
      <c r="BY219" s="1">
        <v>6.0000000000000001E-3</v>
      </c>
      <c r="BZ219" s="1">
        <v>5.0000000000000001E-3</v>
      </c>
      <c r="CA219" s="1">
        <v>3.0000000000000001E-3</v>
      </c>
      <c r="CB219" s="1">
        <v>2E-3</v>
      </c>
      <c r="CC219" s="1">
        <v>2E-3</v>
      </c>
      <c r="CD219" s="1">
        <v>0</v>
      </c>
      <c r="CE219" s="1">
        <v>2E-3</v>
      </c>
      <c r="CF219" s="1">
        <v>2E-3</v>
      </c>
      <c r="CG219" s="1">
        <v>8.0000000000000002E-3</v>
      </c>
      <c r="CH219" s="1">
        <v>2E-3</v>
      </c>
      <c r="CI219" s="1">
        <v>3.0000000000000001E-3</v>
      </c>
      <c r="CJ219" s="1">
        <v>5.0000000000000001E-3</v>
      </c>
      <c r="CK219" s="1">
        <v>0.13</v>
      </c>
      <c r="CL219" s="1">
        <v>3.9E-2</v>
      </c>
      <c r="CM219" s="1">
        <v>0.53130490500000005</v>
      </c>
      <c r="CN219" s="83">
        <v>-30.084302009999998</v>
      </c>
    </row>
    <row r="220" spans="1:92" s="3" customFormat="1" x14ac:dyDescent="0.25">
      <c r="A220" s="72">
        <v>227</v>
      </c>
      <c r="B220" s="81" t="s">
        <v>858</v>
      </c>
      <c r="C220" s="1" t="s">
        <v>83</v>
      </c>
      <c r="D220" s="1" t="s">
        <v>79</v>
      </c>
      <c r="E220" s="1" t="s">
        <v>215</v>
      </c>
      <c r="F220" s="1" t="s">
        <v>205</v>
      </c>
      <c r="G220" s="1" t="s">
        <v>245</v>
      </c>
      <c r="H220" s="1" t="s">
        <v>67</v>
      </c>
      <c r="I220" s="1"/>
      <c r="J220" s="9" t="s">
        <v>544</v>
      </c>
      <c r="K220" s="10">
        <v>0.496010333333333</v>
      </c>
      <c r="L220" s="1" t="s">
        <v>76</v>
      </c>
      <c r="M220" s="1" t="s">
        <v>506</v>
      </c>
      <c r="N220" s="1" t="s">
        <v>645</v>
      </c>
      <c r="O220" s="1" t="s">
        <v>67</v>
      </c>
      <c r="P220" s="82">
        <v>0.997</v>
      </c>
      <c r="Q220" s="1" t="s">
        <v>76</v>
      </c>
      <c r="R220" s="81" t="s">
        <v>114</v>
      </c>
      <c r="S220" s="1">
        <v>3</v>
      </c>
      <c r="T220" s="1" t="s">
        <v>120</v>
      </c>
      <c r="U220" s="1" t="s">
        <v>658</v>
      </c>
      <c r="V220" s="1" t="s">
        <v>655</v>
      </c>
      <c r="W220" s="1">
        <v>19</v>
      </c>
      <c r="X220" s="1" t="s">
        <v>76</v>
      </c>
      <c r="Y220" s="1" t="s">
        <v>645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0.997</v>
      </c>
      <c r="CK220" s="1">
        <v>0</v>
      </c>
      <c r="CL220" s="1">
        <v>0</v>
      </c>
      <c r="CM220" s="1">
        <v>-51.3902158</v>
      </c>
      <c r="CN220" s="83">
        <v>-38.383539069999998</v>
      </c>
    </row>
    <row r="221" spans="1:92" s="3" customFormat="1" x14ac:dyDescent="0.25">
      <c r="A221" s="72">
        <v>1024</v>
      </c>
      <c r="B221" s="81" t="s">
        <v>1150</v>
      </c>
      <c r="C221" s="1" t="s">
        <v>162</v>
      </c>
      <c r="D221" s="1" t="s">
        <v>73</v>
      </c>
      <c r="E221" s="1" t="s">
        <v>99</v>
      </c>
      <c r="F221" s="1" t="s">
        <v>84</v>
      </c>
      <c r="G221" s="1" t="s">
        <v>503</v>
      </c>
      <c r="H221" s="1" t="s">
        <v>85</v>
      </c>
      <c r="I221" s="1"/>
      <c r="J221" s="9" t="s">
        <v>544</v>
      </c>
      <c r="K221" s="10">
        <v>0.5937675</v>
      </c>
      <c r="L221" s="1" t="s">
        <v>603</v>
      </c>
      <c r="M221" s="1" t="s">
        <v>506</v>
      </c>
      <c r="N221" s="96" t="s">
        <v>647</v>
      </c>
      <c r="O221" s="1" t="s">
        <v>55</v>
      </c>
      <c r="P221" s="82">
        <v>0.99099999999999999</v>
      </c>
      <c r="Q221" s="1" t="s">
        <v>76</v>
      </c>
      <c r="R221" s="81" t="s">
        <v>87</v>
      </c>
      <c r="S221" s="1" t="s">
        <v>123</v>
      </c>
      <c r="T221" s="1" t="s">
        <v>78</v>
      </c>
      <c r="U221" s="1" t="s">
        <v>658</v>
      </c>
      <c r="V221" s="1" t="s">
        <v>655</v>
      </c>
      <c r="W221" s="1">
        <v>60</v>
      </c>
      <c r="X221" s="1" t="s">
        <v>288</v>
      </c>
      <c r="Y221" s="1" t="s">
        <v>647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0.99099999999999999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1E-3</v>
      </c>
      <c r="CL221" s="1">
        <v>0</v>
      </c>
      <c r="CM221" s="1">
        <v>45.701012470000002</v>
      </c>
      <c r="CN221" s="83">
        <v>45.06356297</v>
      </c>
    </row>
    <row r="222" spans="1:92" s="3" customFormat="1" x14ac:dyDescent="0.25">
      <c r="A222" s="72">
        <v>229</v>
      </c>
      <c r="B222" s="81" t="s">
        <v>902</v>
      </c>
      <c r="C222" s="1" t="s">
        <v>83</v>
      </c>
      <c r="D222" s="1" t="s">
        <v>73</v>
      </c>
      <c r="E222" s="1" t="s">
        <v>99</v>
      </c>
      <c r="F222" s="1" t="s">
        <v>669</v>
      </c>
      <c r="G222" s="1" t="s">
        <v>76</v>
      </c>
      <c r="H222" s="1" t="s">
        <v>68</v>
      </c>
      <c r="I222" s="1"/>
      <c r="J222" s="9" t="s">
        <v>544</v>
      </c>
      <c r="K222" s="10">
        <v>0.53455283333333303</v>
      </c>
      <c r="L222" s="1" t="s">
        <v>76</v>
      </c>
      <c r="M222" s="1" t="s">
        <v>506</v>
      </c>
      <c r="N222" s="1" t="s">
        <v>645</v>
      </c>
      <c r="O222" s="1" t="s">
        <v>68</v>
      </c>
      <c r="P222" s="82">
        <v>0.99199999999999999</v>
      </c>
      <c r="Q222" s="1" t="s">
        <v>76</v>
      </c>
      <c r="R222" s="81" t="s">
        <v>193</v>
      </c>
      <c r="S222" s="1">
        <v>3</v>
      </c>
      <c r="T222" s="1" t="s">
        <v>120</v>
      </c>
      <c r="U222" s="1" t="s">
        <v>658</v>
      </c>
      <c r="V222" s="1" t="s">
        <v>655</v>
      </c>
      <c r="W222" s="1">
        <v>71</v>
      </c>
      <c r="X222" s="1" t="s">
        <v>76</v>
      </c>
      <c r="Y222" s="1" t="s">
        <v>645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1E-3</v>
      </c>
      <c r="AV222" s="1">
        <v>0</v>
      </c>
      <c r="AW222" s="1">
        <v>0</v>
      </c>
      <c r="AX222" s="1">
        <v>1E-3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2E-3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0.99199999999999999</v>
      </c>
      <c r="CL222" s="1">
        <v>0</v>
      </c>
      <c r="CM222" s="1">
        <v>46.623682510000002</v>
      </c>
      <c r="CN222" s="83">
        <v>-28.586488710000001</v>
      </c>
    </row>
    <row r="223" spans="1:92" s="3" customFormat="1" x14ac:dyDescent="0.25">
      <c r="A223" s="72">
        <v>230</v>
      </c>
      <c r="B223" s="81" t="s">
        <v>1232</v>
      </c>
      <c r="C223" s="1" t="s">
        <v>83</v>
      </c>
      <c r="D223" s="1" t="s">
        <v>73</v>
      </c>
      <c r="E223" s="1" t="s">
        <v>99</v>
      </c>
      <c r="F223" s="1" t="s">
        <v>669</v>
      </c>
      <c r="G223" s="1" t="s">
        <v>76</v>
      </c>
      <c r="H223" s="1" t="s">
        <v>68</v>
      </c>
      <c r="I223" s="1"/>
      <c r="J223" s="9" t="s">
        <v>544</v>
      </c>
      <c r="K223" s="10">
        <v>0.47946699999999998</v>
      </c>
      <c r="L223" s="1" t="s">
        <v>76</v>
      </c>
      <c r="M223" s="1" t="s">
        <v>506</v>
      </c>
      <c r="N223" s="1" t="s">
        <v>645</v>
      </c>
      <c r="O223" s="1" t="s">
        <v>68</v>
      </c>
      <c r="P223" s="82">
        <v>0.96599999999999997</v>
      </c>
      <c r="Q223" s="1" t="s">
        <v>76</v>
      </c>
      <c r="R223" s="81" t="s">
        <v>193</v>
      </c>
      <c r="S223" s="1">
        <v>3</v>
      </c>
      <c r="T223" s="1" t="s">
        <v>120</v>
      </c>
      <c r="U223" s="1" t="s">
        <v>658</v>
      </c>
      <c r="V223" s="1" t="s">
        <v>655</v>
      </c>
      <c r="W223" s="1">
        <v>72</v>
      </c>
      <c r="X223" s="1" t="s">
        <v>76</v>
      </c>
      <c r="Y223" s="1" t="s">
        <v>645</v>
      </c>
      <c r="Z223" s="1">
        <v>1E-3</v>
      </c>
      <c r="AA223" s="1">
        <v>1E-3</v>
      </c>
      <c r="AB223" s="1">
        <v>0</v>
      </c>
      <c r="AC223" s="1">
        <v>1E-3</v>
      </c>
      <c r="AD223" s="1">
        <v>0</v>
      </c>
      <c r="AE223" s="1">
        <v>0</v>
      </c>
      <c r="AF223" s="1">
        <v>0</v>
      </c>
      <c r="AG223" s="1">
        <v>0</v>
      </c>
      <c r="AH223" s="1">
        <v>1E-3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1E-3</v>
      </c>
      <c r="AS223" s="1">
        <v>0</v>
      </c>
      <c r="AT223" s="1">
        <v>0</v>
      </c>
      <c r="AU223" s="1">
        <v>1E-3</v>
      </c>
      <c r="AV223" s="1">
        <v>0</v>
      </c>
      <c r="AW223" s="1">
        <v>0</v>
      </c>
      <c r="AX223" s="1">
        <v>1E-3</v>
      </c>
      <c r="AY223" s="1">
        <v>0</v>
      </c>
      <c r="AZ223" s="1">
        <v>0</v>
      </c>
      <c r="BA223" s="1">
        <v>1E-3</v>
      </c>
      <c r="BB223" s="1">
        <v>0</v>
      </c>
      <c r="BC223" s="1">
        <v>0</v>
      </c>
      <c r="BD223" s="1">
        <v>1E-3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3.0000000000000001E-3</v>
      </c>
      <c r="BT223" s="1">
        <v>0</v>
      </c>
      <c r="BU223" s="1">
        <v>0</v>
      </c>
      <c r="BV223" s="1">
        <v>0</v>
      </c>
      <c r="BW223" s="1">
        <v>0</v>
      </c>
      <c r="BX223" s="1">
        <v>1.2E-2</v>
      </c>
      <c r="BY223" s="1">
        <v>0</v>
      </c>
      <c r="BZ223" s="1">
        <v>1E-3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0.96599999999999997</v>
      </c>
      <c r="CL223" s="1">
        <v>1E-3</v>
      </c>
      <c r="CM223" s="1">
        <v>47.658983919999997</v>
      </c>
      <c r="CN223" s="83">
        <v>-44.787911870000002</v>
      </c>
    </row>
    <row r="224" spans="1:92" s="3" customFormat="1" x14ac:dyDescent="0.25">
      <c r="A224" s="72">
        <v>231</v>
      </c>
      <c r="B224" s="81" t="s">
        <v>1393</v>
      </c>
      <c r="C224" s="1" t="s">
        <v>83</v>
      </c>
      <c r="D224" s="1" t="s">
        <v>73</v>
      </c>
      <c r="E224" s="1" t="s">
        <v>74</v>
      </c>
      <c r="F224" s="1" t="s">
        <v>246</v>
      </c>
      <c r="G224" s="1" t="s">
        <v>139</v>
      </c>
      <c r="H224" s="1" t="s">
        <v>571</v>
      </c>
      <c r="I224" s="1"/>
      <c r="J224" s="9" t="s">
        <v>544</v>
      </c>
      <c r="K224" s="10">
        <v>0.31331616666666701</v>
      </c>
      <c r="L224" s="1" t="s">
        <v>550</v>
      </c>
      <c r="M224" s="1" t="s">
        <v>76</v>
      </c>
      <c r="N224" s="1" t="s">
        <v>644</v>
      </c>
      <c r="O224" s="1" t="s">
        <v>39</v>
      </c>
      <c r="P224" s="82">
        <v>0.69699999999999995</v>
      </c>
      <c r="Q224" s="1" t="s">
        <v>76</v>
      </c>
      <c r="R224" s="81" t="s">
        <v>193</v>
      </c>
      <c r="S224" s="1">
        <v>3</v>
      </c>
      <c r="T224" s="1" t="s">
        <v>120</v>
      </c>
      <c r="U224" s="1" t="s">
        <v>658</v>
      </c>
      <c r="V224" s="1" t="s">
        <v>655</v>
      </c>
      <c r="W224" s="1">
        <v>77</v>
      </c>
      <c r="X224" s="1" t="s">
        <v>167</v>
      </c>
      <c r="Y224" s="1" t="s">
        <v>644</v>
      </c>
      <c r="Z224" s="1">
        <v>1E-3</v>
      </c>
      <c r="AA224" s="1">
        <v>2E-3</v>
      </c>
      <c r="AB224" s="1">
        <v>1E-3</v>
      </c>
      <c r="AC224" s="1">
        <v>1.7000000000000001E-2</v>
      </c>
      <c r="AD224" s="1">
        <v>1E-3</v>
      </c>
      <c r="AE224" s="1">
        <v>1E-3</v>
      </c>
      <c r="AF224" s="1">
        <v>1E-3</v>
      </c>
      <c r="AG224" s="1">
        <v>0</v>
      </c>
      <c r="AH224" s="1">
        <v>5.0000000000000001E-3</v>
      </c>
      <c r="AI224" s="1">
        <v>1E-3</v>
      </c>
      <c r="AJ224" s="1">
        <v>1E-3</v>
      </c>
      <c r="AK224" s="1">
        <v>3.0000000000000001E-3</v>
      </c>
      <c r="AL224" s="1">
        <v>0</v>
      </c>
      <c r="AM224" s="1">
        <v>1E-3</v>
      </c>
      <c r="AN224" s="1">
        <v>1E-3</v>
      </c>
      <c r="AO224" s="1">
        <v>3.0000000000000001E-3</v>
      </c>
      <c r="AP224" s="1">
        <v>0.155</v>
      </c>
      <c r="AQ224" s="1">
        <v>1E-3</v>
      </c>
      <c r="AR224" s="1">
        <v>1E-3</v>
      </c>
      <c r="AS224" s="1">
        <v>5.0000000000000001E-3</v>
      </c>
      <c r="AT224" s="1">
        <v>3.0000000000000001E-3</v>
      </c>
      <c r="AU224" s="1">
        <v>1E-3</v>
      </c>
      <c r="AV224" s="1">
        <v>1E-3</v>
      </c>
      <c r="AW224" s="1">
        <v>3.0000000000000001E-3</v>
      </c>
      <c r="AX224" s="1">
        <v>1E-3</v>
      </c>
      <c r="AY224" s="1">
        <v>3.0000000000000001E-3</v>
      </c>
      <c r="AZ224" s="1">
        <v>2E-3</v>
      </c>
      <c r="BA224" s="1">
        <v>6.0000000000000001E-3</v>
      </c>
      <c r="BB224" s="1">
        <v>1E-3</v>
      </c>
      <c r="BC224" s="1">
        <v>1E-3</v>
      </c>
      <c r="BD224" s="1">
        <v>8.0000000000000002E-3</v>
      </c>
      <c r="BE224" s="1">
        <v>1E-3</v>
      </c>
      <c r="BF224" s="1">
        <v>1E-3</v>
      </c>
      <c r="BG224" s="1">
        <v>2E-3</v>
      </c>
      <c r="BH224" s="1">
        <v>0.69699999999999995</v>
      </c>
      <c r="BI224" s="1">
        <v>1E-3</v>
      </c>
      <c r="BJ224" s="1">
        <v>0</v>
      </c>
      <c r="BK224" s="1">
        <v>1E-3</v>
      </c>
      <c r="BL224" s="1">
        <v>3.0000000000000001E-3</v>
      </c>
      <c r="BM224" s="1">
        <v>2E-3</v>
      </c>
      <c r="BN224" s="1">
        <v>2E-3</v>
      </c>
      <c r="BO224" s="1">
        <v>1E-3</v>
      </c>
      <c r="BP224" s="1">
        <v>0</v>
      </c>
      <c r="BQ224" s="1">
        <v>3.0000000000000001E-3</v>
      </c>
      <c r="BR224" s="1">
        <v>2E-3</v>
      </c>
      <c r="BS224" s="1">
        <v>1E-3</v>
      </c>
      <c r="BT224" s="1">
        <v>1E-3</v>
      </c>
      <c r="BU224" s="1">
        <v>1E-3</v>
      </c>
      <c r="BV224" s="1">
        <v>1E-3</v>
      </c>
      <c r="BW224" s="1">
        <v>2E-3</v>
      </c>
      <c r="BX224" s="1">
        <v>4.0000000000000001E-3</v>
      </c>
      <c r="BY224" s="1">
        <v>5.0000000000000001E-3</v>
      </c>
      <c r="BZ224" s="1">
        <v>2E-3</v>
      </c>
      <c r="CA224" s="1">
        <v>1E-3</v>
      </c>
      <c r="CB224" s="1">
        <v>0</v>
      </c>
      <c r="CC224" s="1">
        <v>1E-3</v>
      </c>
      <c r="CD224" s="1">
        <v>0</v>
      </c>
      <c r="CE224" s="1">
        <v>1E-3</v>
      </c>
      <c r="CF224" s="1">
        <v>1E-3</v>
      </c>
      <c r="CG224" s="1">
        <v>1E-3</v>
      </c>
      <c r="CH224" s="1">
        <v>3.0000000000000001E-3</v>
      </c>
      <c r="CI224" s="1">
        <v>3.0000000000000001E-3</v>
      </c>
      <c r="CJ224" s="1">
        <v>4.0000000000000001E-3</v>
      </c>
      <c r="CK224" s="1">
        <v>1.7000000000000001E-2</v>
      </c>
      <c r="CL224" s="1">
        <v>3.0000000000000001E-3</v>
      </c>
      <c r="CM224" s="1">
        <v>-30.673266380000001</v>
      </c>
      <c r="CN224" s="83">
        <v>-62.912501020000001</v>
      </c>
    </row>
    <row r="225" spans="1:92" s="3" customFormat="1" x14ac:dyDescent="0.25">
      <c r="A225" s="72">
        <v>232</v>
      </c>
      <c r="B225" s="81" t="s">
        <v>839</v>
      </c>
      <c r="C225" s="1" t="s">
        <v>83</v>
      </c>
      <c r="D225" s="1" t="s">
        <v>73</v>
      </c>
      <c r="E225" s="1" t="s">
        <v>74</v>
      </c>
      <c r="F225" s="1" t="s">
        <v>665</v>
      </c>
      <c r="G225" s="1" t="s">
        <v>98</v>
      </c>
      <c r="H225" s="1" t="s">
        <v>48</v>
      </c>
      <c r="I225" s="1"/>
      <c r="J225" s="9" t="s">
        <v>544</v>
      </c>
      <c r="K225" s="10">
        <v>0.62657366666666603</v>
      </c>
      <c r="L225" s="1" t="s">
        <v>76</v>
      </c>
      <c r="M225" s="1" t="s">
        <v>506</v>
      </c>
      <c r="N225" s="1" t="s">
        <v>645</v>
      </c>
      <c r="O225" s="1" t="s">
        <v>48</v>
      </c>
      <c r="P225" s="82">
        <v>1</v>
      </c>
      <c r="Q225" s="1" t="s">
        <v>76</v>
      </c>
      <c r="R225" s="81" t="s">
        <v>177</v>
      </c>
      <c r="S225" s="1">
        <v>3</v>
      </c>
      <c r="T225" s="1" t="s">
        <v>120</v>
      </c>
      <c r="U225" s="1" t="s">
        <v>658</v>
      </c>
      <c r="V225" s="1" t="s">
        <v>655</v>
      </c>
      <c r="W225" s="1">
        <v>36</v>
      </c>
      <c r="X225" s="1" t="s">
        <v>76</v>
      </c>
      <c r="Y225" s="1" t="s">
        <v>645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1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-61.392362210000002</v>
      </c>
      <c r="CN225" s="83">
        <v>54.415612250000002</v>
      </c>
    </row>
    <row r="226" spans="1:92" s="3" customFormat="1" x14ac:dyDescent="0.25">
      <c r="A226" s="72">
        <v>233</v>
      </c>
      <c r="B226" s="81" t="s">
        <v>1003</v>
      </c>
      <c r="C226" s="1" t="s">
        <v>83</v>
      </c>
      <c r="D226" s="1" t="s">
        <v>73</v>
      </c>
      <c r="E226" s="1" t="s">
        <v>99</v>
      </c>
      <c r="F226" s="1" t="s">
        <v>669</v>
      </c>
      <c r="G226" s="1" t="s">
        <v>76</v>
      </c>
      <c r="H226" s="1" t="s">
        <v>68</v>
      </c>
      <c r="I226" s="1"/>
      <c r="J226" s="9" t="s">
        <v>544</v>
      </c>
      <c r="K226" s="10">
        <v>0.47490716666666599</v>
      </c>
      <c r="L226" s="1" t="s">
        <v>76</v>
      </c>
      <c r="M226" s="1" t="s">
        <v>506</v>
      </c>
      <c r="N226" s="1" t="s">
        <v>645</v>
      </c>
      <c r="O226" s="1" t="s">
        <v>68</v>
      </c>
      <c r="P226" s="82">
        <v>0.995</v>
      </c>
      <c r="Q226" s="1" t="s">
        <v>76</v>
      </c>
      <c r="R226" s="81" t="s">
        <v>247</v>
      </c>
      <c r="S226" s="1">
        <v>3</v>
      </c>
      <c r="T226" s="1" t="s">
        <v>120</v>
      </c>
      <c r="U226" s="1" t="s">
        <v>658</v>
      </c>
      <c r="V226" s="1" t="s">
        <v>655</v>
      </c>
      <c r="W226" s="1">
        <v>63</v>
      </c>
      <c r="X226" s="1" t="s">
        <v>170</v>
      </c>
      <c r="Y226" s="1" t="s">
        <v>645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1E-3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2E-3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0.995</v>
      </c>
      <c r="CL226" s="1">
        <v>0</v>
      </c>
      <c r="CM226" s="1">
        <v>49.011067339999997</v>
      </c>
      <c r="CN226" s="83">
        <v>-36.561331789999997</v>
      </c>
    </row>
    <row r="227" spans="1:92" s="3" customFormat="1" x14ac:dyDescent="0.25">
      <c r="A227" s="72">
        <v>234</v>
      </c>
      <c r="B227" s="81" t="s">
        <v>1346</v>
      </c>
      <c r="C227" s="1" t="s">
        <v>83</v>
      </c>
      <c r="D227" s="1" t="s">
        <v>73</v>
      </c>
      <c r="E227" s="1" t="s">
        <v>74</v>
      </c>
      <c r="F227" s="1" t="s">
        <v>669</v>
      </c>
      <c r="G227" s="1" t="s">
        <v>76</v>
      </c>
      <c r="H227" s="1" t="s">
        <v>68</v>
      </c>
      <c r="I227" s="1"/>
      <c r="J227" s="9" t="s">
        <v>544</v>
      </c>
      <c r="K227" s="10">
        <v>0.50625316666666698</v>
      </c>
      <c r="L227" s="1" t="s">
        <v>76</v>
      </c>
      <c r="M227" s="1" t="s">
        <v>506</v>
      </c>
      <c r="N227" s="1" t="s">
        <v>645</v>
      </c>
      <c r="O227" s="1" t="s">
        <v>68</v>
      </c>
      <c r="P227" s="82">
        <v>1</v>
      </c>
      <c r="Q227" s="1" t="s">
        <v>76</v>
      </c>
      <c r="R227" s="81" t="s">
        <v>171</v>
      </c>
      <c r="S227" s="1">
        <v>3</v>
      </c>
      <c r="T227" s="1" t="s">
        <v>120</v>
      </c>
      <c r="U227" s="1" t="s">
        <v>658</v>
      </c>
      <c r="V227" s="1" t="s">
        <v>655</v>
      </c>
      <c r="W227" s="1">
        <v>80</v>
      </c>
      <c r="X227" s="1" t="s">
        <v>76</v>
      </c>
      <c r="Y227" s="1" t="s">
        <v>645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1</v>
      </c>
      <c r="CL227" s="1">
        <v>0</v>
      </c>
      <c r="CM227" s="1">
        <v>45.830304679999998</v>
      </c>
      <c r="CN227" s="83">
        <v>-34.435740879999997</v>
      </c>
    </row>
    <row r="228" spans="1:92" s="3" customFormat="1" x14ac:dyDescent="0.25">
      <c r="A228" s="72">
        <v>235</v>
      </c>
      <c r="B228" s="81" t="s">
        <v>841</v>
      </c>
      <c r="C228" s="1" t="s">
        <v>83</v>
      </c>
      <c r="D228" s="1" t="s">
        <v>73</v>
      </c>
      <c r="E228" s="1" t="s">
        <v>99</v>
      </c>
      <c r="F228" s="1" t="s">
        <v>669</v>
      </c>
      <c r="G228" s="1" t="s">
        <v>76</v>
      </c>
      <c r="H228" s="1" t="s">
        <v>68</v>
      </c>
      <c r="I228" s="1"/>
      <c r="J228" s="9" t="s">
        <v>544</v>
      </c>
      <c r="K228" s="10">
        <v>0.49296999999999902</v>
      </c>
      <c r="L228" s="1" t="s">
        <v>76</v>
      </c>
      <c r="M228" s="1" t="s">
        <v>506</v>
      </c>
      <c r="N228" s="1" t="s">
        <v>645</v>
      </c>
      <c r="O228" s="1" t="s">
        <v>68</v>
      </c>
      <c r="P228" s="82">
        <v>0.998</v>
      </c>
      <c r="Q228" s="1" t="s">
        <v>76</v>
      </c>
      <c r="R228" s="81" t="s">
        <v>129</v>
      </c>
      <c r="S228" s="1">
        <v>3</v>
      </c>
      <c r="T228" s="1" t="s">
        <v>120</v>
      </c>
      <c r="U228" s="1" t="s">
        <v>659</v>
      </c>
      <c r="V228" s="1" t="s">
        <v>655</v>
      </c>
      <c r="W228" s="1">
        <v>68</v>
      </c>
      <c r="X228" s="1" t="s">
        <v>76</v>
      </c>
      <c r="Y228" s="1" t="s">
        <v>645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0.998</v>
      </c>
      <c r="CL228" s="1">
        <v>0</v>
      </c>
      <c r="CM228" s="1">
        <v>41.356432179999999</v>
      </c>
      <c r="CN228" s="83">
        <v>-53.952240719999999</v>
      </c>
    </row>
    <row r="229" spans="1:92" s="3" customFormat="1" x14ac:dyDescent="0.25">
      <c r="A229" s="72">
        <v>236</v>
      </c>
      <c r="B229" s="81" t="s">
        <v>957</v>
      </c>
      <c r="C229" s="1" t="s">
        <v>83</v>
      </c>
      <c r="D229" s="1" t="s">
        <v>73</v>
      </c>
      <c r="E229" s="1" t="s">
        <v>74</v>
      </c>
      <c r="F229" s="1" t="s">
        <v>669</v>
      </c>
      <c r="G229" s="1" t="s">
        <v>76</v>
      </c>
      <c r="H229" s="1" t="s">
        <v>68</v>
      </c>
      <c r="I229" s="1"/>
      <c r="J229" s="9" t="s">
        <v>544</v>
      </c>
      <c r="K229" s="10">
        <v>0.37743383333333302</v>
      </c>
      <c r="L229" s="1" t="s">
        <v>76</v>
      </c>
      <c r="M229" s="1" t="s">
        <v>506</v>
      </c>
      <c r="N229" s="1" t="s">
        <v>645</v>
      </c>
      <c r="O229" s="1" t="s">
        <v>68</v>
      </c>
      <c r="P229" s="82">
        <v>0.96099999999999997</v>
      </c>
      <c r="Q229" s="1" t="s">
        <v>76</v>
      </c>
      <c r="R229" s="81" t="s">
        <v>171</v>
      </c>
      <c r="S229" s="1">
        <v>3</v>
      </c>
      <c r="T229" s="1" t="s">
        <v>120</v>
      </c>
      <c r="U229" s="1" t="s">
        <v>658</v>
      </c>
      <c r="V229" s="1" t="s">
        <v>655</v>
      </c>
      <c r="W229" s="1">
        <v>71</v>
      </c>
      <c r="X229" s="1" t="s">
        <v>76</v>
      </c>
      <c r="Y229" s="1" t="s">
        <v>645</v>
      </c>
      <c r="Z229" s="1">
        <v>1.2999999999999999E-2</v>
      </c>
      <c r="AA229" s="1">
        <v>0</v>
      </c>
      <c r="AB229" s="1">
        <v>0</v>
      </c>
      <c r="AC229" s="1">
        <v>2E-3</v>
      </c>
      <c r="AD229" s="1">
        <v>0</v>
      </c>
      <c r="AE229" s="1">
        <v>0</v>
      </c>
      <c r="AF229" s="1">
        <v>0</v>
      </c>
      <c r="AG229" s="1">
        <v>0</v>
      </c>
      <c r="AH229" s="1">
        <v>2E-3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4.0000000000000001E-3</v>
      </c>
      <c r="AY229" s="1">
        <v>1E-3</v>
      </c>
      <c r="AZ229" s="1">
        <v>0</v>
      </c>
      <c r="BA229" s="1">
        <v>1E-3</v>
      </c>
      <c r="BB229" s="1">
        <v>0</v>
      </c>
      <c r="BC229" s="1">
        <v>0</v>
      </c>
      <c r="BD229" s="1">
        <v>1E-3</v>
      </c>
      <c r="BE229" s="1">
        <v>0</v>
      </c>
      <c r="BF229" s="1">
        <v>1E-3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1E-3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1E-3</v>
      </c>
      <c r="BT229" s="1">
        <v>0</v>
      </c>
      <c r="BU229" s="1">
        <v>0</v>
      </c>
      <c r="BV229" s="1">
        <v>0</v>
      </c>
      <c r="BW229" s="1">
        <v>0</v>
      </c>
      <c r="BX229" s="1">
        <v>1E-3</v>
      </c>
      <c r="BY229" s="1">
        <v>1E-3</v>
      </c>
      <c r="BZ229" s="1">
        <v>1E-3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0.96099999999999997</v>
      </c>
      <c r="CL229" s="1">
        <v>1E-3</v>
      </c>
      <c r="CM229" s="1">
        <v>22.71672118</v>
      </c>
      <c r="CN229" s="83">
        <v>-45.920367290000002</v>
      </c>
    </row>
    <row r="230" spans="1:92" s="3" customFormat="1" x14ac:dyDescent="0.25">
      <c r="A230" s="72">
        <v>237</v>
      </c>
      <c r="B230" s="81" t="s">
        <v>911</v>
      </c>
      <c r="C230" s="1" t="s">
        <v>83</v>
      </c>
      <c r="D230" s="1" t="s">
        <v>73</v>
      </c>
      <c r="E230" s="1" t="s">
        <v>74</v>
      </c>
      <c r="F230" s="1" t="s">
        <v>669</v>
      </c>
      <c r="G230" s="1" t="s">
        <v>76</v>
      </c>
      <c r="H230" s="1" t="s">
        <v>68</v>
      </c>
      <c r="I230" s="1"/>
      <c r="J230" s="9" t="s">
        <v>544</v>
      </c>
      <c r="K230" s="10">
        <v>0.436273666666666</v>
      </c>
      <c r="L230" s="1" t="s">
        <v>76</v>
      </c>
      <c r="M230" s="1" t="s">
        <v>506</v>
      </c>
      <c r="N230" s="1" t="s">
        <v>645</v>
      </c>
      <c r="O230" s="1" t="s">
        <v>68</v>
      </c>
      <c r="P230" s="82">
        <v>1</v>
      </c>
      <c r="Q230" s="1" t="s">
        <v>76</v>
      </c>
      <c r="R230" s="81" t="s">
        <v>193</v>
      </c>
      <c r="S230" s="1">
        <v>3</v>
      </c>
      <c r="T230" s="1" t="s">
        <v>120</v>
      </c>
      <c r="U230" s="1" t="s">
        <v>658</v>
      </c>
      <c r="V230" s="1" t="s">
        <v>655</v>
      </c>
      <c r="W230" s="1">
        <v>75</v>
      </c>
      <c r="X230" s="1" t="s">
        <v>76</v>
      </c>
      <c r="Y230" s="1" t="s">
        <v>645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1</v>
      </c>
      <c r="CL230" s="1">
        <v>0</v>
      </c>
      <c r="CM230" s="1">
        <v>33.969046570000003</v>
      </c>
      <c r="CN230" s="83">
        <v>-53.809593360000001</v>
      </c>
    </row>
    <row r="231" spans="1:92" s="3" customFormat="1" x14ac:dyDescent="0.25">
      <c r="A231" s="72">
        <v>238</v>
      </c>
      <c r="B231" s="81" t="s">
        <v>1110</v>
      </c>
      <c r="C231" s="1" t="s">
        <v>83</v>
      </c>
      <c r="D231" s="1" t="s">
        <v>73</v>
      </c>
      <c r="E231" s="1" t="s">
        <v>99</v>
      </c>
      <c r="F231" s="1" t="s">
        <v>669</v>
      </c>
      <c r="G231" s="1" t="s">
        <v>1789</v>
      </c>
      <c r="H231" s="1" t="s">
        <v>68</v>
      </c>
      <c r="I231" s="1"/>
      <c r="J231" s="9" t="s">
        <v>544</v>
      </c>
      <c r="K231" s="10">
        <v>0.41695666666666698</v>
      </c>
      <c r="L231" s="1" t="s">
        <v>512</v>
      </c>
      <c r="M231" s="1" t="s">
        <v>76</v>
      </c>
      <c r="N231" s="1" t="s">
        <v>644</v>
      </c>
      <c r="O231" s="1" t="s">
        <v>69</v>
      </c>
      <c r="P231" s="82">
        <v>0.42199999999999999</v>
      </c>
      <c r="Q231" s="1" t="s">
        <v>76</v>
      </c>
      <c r="R231" s="81" t="s">
        <v>177</v>
      </c>
      <c r="S231" s="1">
        <v>1</v>
      </c>
      <c r="T231" s="1" t="s">
        <v>120</v>
      </c>
      <c r="U231" s="1" t="s">
        <v>658</v>
      </c>
      <c r="V231" s="1" t="s">
        <v>655</v>
      </c>
      <c r="W231" s="1">
        <v>73</v>
      </c>
      <c r="X231" s="1" t="s">
        <v>248</v>
      </c>
      <c r="Y231" s="1" t="s">
        <v>644</v>
      </c>
      <c r="Z231" s="1">
        <v>3.0000000000000001E-3</v>
      </c>
      <c r="AA231" s="1">
        <v>3.0000000000000001E-3</v>
      </c>
      <c r="AB231" s="1">
        <v>4.0000000000000001E-3</v>
      </c>
      <c r="AC231" s="1">
        <v>8.0000000000000002E-3</v>
      </c>
      <c r="AD231" s="1">
        <v>5.0000000000000001E-3</v>
      </c>
      <c r="AE231" s="1">
        <v>3.0000000000000001E-3</v>
      </c>
      <c r="AF231" s="1">
        <v>6.0000000000000001E-3</v>
      </c>
      <c r="AG231" s="1">
        <v>0</v>
      </c>
      <c r="AH231" s="1">
        <v>0.01</v>
      </c>
      <c r="AI231" s="1">
        <v>2E-3</v>
      </c>
      <c r="AJ231" s="1">
        <v>2E-3</v>
      </c>
      <c r="AK231" s="1">
        <v>1.4999999999999999E-2</v>
      </c>
      <c r="AL231" s="1">
        <v>1E-3</v>
      </c>
      <c r="AM231" s="1">
        <v>3.0000000000000001E-3</v>
      </c>
      <c r="AN231" s="1">
        <v>3.0000000000000001E-3</v>
      </c>
      <c r="AO231" s="1">
        <v>2E-3</v>
      </c>
      <c r="AP231" s="1">
        <v>2E-3</v>
      </c>
      <c r="AQ231" s="1">
        <v>2E-3</v>
      </c>
      <c r="AR231" s="1">
        <v>5.0000000000000001E-3</v>
      </c>
      <c r="AS231" s="1">
        <v>0.01</v>
      </c>
      <c r="AT231" s="1">
        <v>5.0000000000000001E-3</v>
      </c>
      <c r="AU231" s="1">
        <v>7.0000000000000001E-3</v>
      </c>
      <c r="AV231" s="1">
        <v>3.0000000000000001E-3</v>
      </c>
      <c r="AW231" s="1">
        <v>6.0000000000000001E-3</v>
      </c>
      <c r="AX231" s="1">
        <v>6.0000000000000001E-3</v>
      </c>
      <c r="AY231" s="1">
        <v>8.0000000000000002E-3</v>
      </c>
      <c r="AZ231" s="1">
        <v>2.4E-2</v>
      </c>
      <c r="BA231" s="1">
        <v>2.1000000000000001E-2</v>
      </c>
      <c r="BB231" s="1">
        <v>2E-3</v>
      </c>
      <c r="BC231" s="1">
        <v>2E-3</v>
      </c>
      <c r="BD231" s="1">
        <v>2.3E-2</v>
      </c>
      <c r="BE231" s="1">
        <v>3.0000000000000001E-3</v>
      </c>
      <c r="BF231" s="1">
        <v>2E-3</v>
      </c>
      <c r="BG231" s="1">
        <v>1E-3</v>
      </c>
      <c r="BH231" s="1">
        <v>2E-3</v>
      </c>
      <c r="BI231" s="1">
        <v>2E-3</v>
      </c>
      <c r="BJ231" s="1">
        <v>6.0000000000000001E-3</v>
      </c>
      <c r="BK231" s="1">
        <v>4.0000000000000001E-3</v>
      </c>
      <c r="BL231" s="1">
        <v>7.0000000000000001E-3</v>
      </c>
      <c r="BM231" s="1">
        <v>2E-3</v>
      </c>
      <c r="BN231" s="1">
        <v>6.0000000000000001E-3</v>
      </c>
      <c r="BO231" s="1">
        <v>2E-3</v>
      </c>
      <c r="BP231" s="1">
        <v>3.0000000000000001E-3</v>
      </c>
      <c r="BQ231" s="1">
        <v>7.0000000000000001E-3</v>
      </c>
      <c r="BR231" s="1">
        <v>3.0000000000000001E-3</v>
      </c>
      <c r="BS231" s="1">
        <v>3.0000000000000001E-3</v>
      </c>
      <c r="BT231" s="1">
        <v>3.0000000000000001E-3</v>
      </c>
      <c r="BU231" s="1">
        <v>0.17299999999999999</v>
      </c>
      <c r="BV231" s="1">
        <v>2E-3</v>
      </c>
      <c r="BW231" s="1">
        <v>4.0000000000000001E-3</v>
      </c>
      <c r="BX231" s="1">
        <v>5.0000000000000001E-3</v>
      </c>
      <c r="BY231" s="1">
        <v>8.0000000000000002E-3</v>
      </c>
      <c r="BZ231" s="1">
        <v>0.01</v>
      </c>
      <c r="CA231" s="1">
        <v>3.0000000000000001E-3</v>
      </c>
      <c r="CB231" s="1">
        <v>3.0000000000000001E-3</v>
      </c>
      <c r="CC231" s="1">
        <v>6.0000000000000001E-3</v>
      </c>
      <c r="CD231" s="1">
        <v>0</v>
      </c>
      <c r="CE231" s="1">
        <v>2E-3</v>
      </c>
      <c r="CF231" s="1">
        <v>2E-3</v>
      </c>
      <c r="CG231" s="1">
        <v>4.0000000000000001E-3</v>
      </c>
      <c r="CH231" s="1">
        <v>8.9999999999999993E-3</v>
      </c>
      <c r="CI231" s="1">
        <v>6.0000000000000001E-3</v>
      </c>
      <c r="CJ231" s="1">
        <v>8.0000000000000002E-3</v>
      </c>
      <c r="CK231" s="1">
        <v>7.9000000000000001E-2</v>
      </c>
      <c r="CL231" s="1">
        <v>0.42199999999999999</v>
      </c>
      <c r="CM231" s="1">
        <v>-57.5990404</v>
      </c>
      <c r="CN231" s="83">
        <v>-21.582241329999999</v>
      </c>
    </row>
    <row r="232" spans="1:92" s="3" customFormat="1" x14ac:dyDescent="0.25">
      <c r="A232" s="72">
        <v>239</v>
      </c>
      <c r="B232" s="81" t="s">
        <v>1322</v>
      </c>
      <c r="C232" s="1" t="s">
        <v>83</v>
      </c>
      <c r="D232" s="1" t="s">
        <v>73</v>
      </c>
      <c r="E232" s="1" t="s">
        <v>99</v>
      </c>
      <c r="F232" s="1" t="s">
        <v>669</v>
      </c>
      <c r="G232" s="1" t="s">
        <v>249</v>
      </c>
      <c r="H232" s="1" t="s">
        <v>68</v>
      </c>
      <c r="I232" s="1"/>
      <c r="J232" s="9" t="s">
        <v>544</v>
      </c>
      <c r="K232" s="10">
        <v>0.47597366666666702</v>
      </c>
      <c r="L232" s="1" t="s">
        <v>76</v>
      </c>
      <c r="M232" s="1" t="s">
        <v>506</v>
      </c>
      <c r="N232" s="1" t="s">
        <v>645</v>
      </c>
      <c r="O232" s="1" t="s">
        <v>68</v>
      </c>
      <c r="P232" s="82">
        <v>1</v>
      </c>
      <c r="Q232" s="1" t="s">
        <v>76</v>
      </c>
      <c r="R232" s="81" t="s">
        <v>191</v>
      </c>
      <c r="S232" s="1">
        <v>3</v>
      </c>
      <c r="T232" s="1" t="s">
        <v>120</v>
      </c>
      <c r="U232" s="1" t="s">
        <v>658</v>
      </c>
      <c r="V232" s="1" t="s">
        <v>655</v>
      </c>
      <c r="W232" s="1">
        <v>83</v>
      </c>
      <c r="X232" s="1" t="s">
        <v>76</v>
      </c>
      <c r="Y232" s="1" t="s">
        <v>645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1</v>
      </c>
      <c r="CL232" s="1">
        <v>0</v>
      </c>
      <c r="CM232" s="1">
        <v>50.213482079999999</v>
      </c>
      <c r="CN232" s="83">
        <v>-42.267483769999998</v>
      </c>
    </row>
    <row r="233" spans="1:92" s="3" customFormat="1" x14ac:dyDescent="0.25">
      <c r="A233" s="72">
        <v>240</v>
      </c>
      <c r="B233" s="81" t="s">
        <v>941</v>
      </c>
      <c r="C233" s="1" t="s">
        <v>83</v>
      </c>
      <c r="D233" s="1" t="s">
        <v>73</v>
      </c>
      <c r="E233" s="1" t="s">
        <v>74</v>
      </c>
      <c r="F233" s="1" t="s">
        <v>669</v>
      </c>
      <c r="G233" s="1" t="s">
        <v>76</v>
      </c>
      <c r="H233" s="1" t="s">
        <v>68</v>
      </c>
      <c r="I233" s="1"/>
      <c r="J233" s="9" t="s">
        <v>544</v>
      </c>
      <c r="K233" s="10">
        <v>0.37747516666666697</v>
      </c>
      <c r="L233" s="1" t="s">
        <v>641</v>
      </c>
      <c r="M233" s="1" t="s">
        <v>76</v>
      </c>
      <c r="N233" s="1" t="s">
        <v>649</v>
      </c>
      <c r="O233" s="1" t="s">
        <v>68</v>
      </c>
      <c r="P233" s="82">
        <v>0.85899999999999999</v>
      </c>
      <c r="Q233" s="1" t="s">
        <v>76</v>
      </c>
      <c r="R233" s="81" t="s">
        <v>193</v>
      </c>
      <c r="S233" s="1">
        <v>3</v>
      </c>
      <c r="T233" s="1" t="s">
        <v>120</v>
      </c>
      <c r="U233" s="1" t="s">
        <v>658</v>
      </c>
      <c r="V233" s="1" t="s">
        <v>655</v>
      </c>
      <c r="W233" s="1">
        <v>65</v>
      </c>
      <c r="X233" s="1" t="s">
        <v>76</v>
      </c>
      <c r="Y233" s="1" t="s">
        <v>645</v>
      </c>
      <c r="Z233" s="1">
        <v>0.01</v>
      </c>
      <c r="AA233" s="1">
        <v>1E-3</v>
      </c>
      <c r="AB233" s="1">
        <v>2E-3</v>
      </c>
      <c r="AC233" s="1">
        <v>0.01</v>
      </c>
      <c r="AD233" s="1">
        <v>2E-3</v>
      </c>
      <c r="AE233" s="1">
        <v>2E-3</v>
      </c>
      <c r="AF233" s="1">
        <v>1E-3</v>
      </c>
      <c r="AG233" s="1">
        <v>0</v>
      </c>
      <c r="AH233" s="1">
        <v>8.0000000000000002E-3</v>
      </c>
      <c r="AI233" s="1">
        <v>1E-3</v>
      </c>
      <c r="AJ233" s="1">
        <v>1E-3</v>
      </c>
      <c r="AK233" s="1">
        <v>2E-3</v>
      </c>
      <c r="AL233" s="1">
        <v>0</v>
      </c>
      <c r="AM233" s="1">
        <v>1E-3</v>
      </c>
      <c r="AN233" s="1">
        <v>2E-3</v>
      </c>
      <c r="AO233" s="1">
        <v>1E-3</v>
      </c>
      <c r="AP233" s="1">
        <v>1E-3</v>
      </c>
      <c r="AQ233" s="1">
        <v>1E-3</v>
      </c>
      <c r="AR233" s="1">
        <v>3.0000000000000001E-3</v>
      </c>
      <c r="AS233" s="1">
        <v>3.0000000000000001E-3</v>
      </c>
      <c r="AT233" s="1">
        <v>1E-3</v>
      </c>
      <c r="AU233" s="1">
        <v>2E-3</v>
      </c>
      <c r="AV233" s="1">
        <v>3.0000000000000001E-3</v>
      </c>
      <c r="AW233" s="1">
        <v>1E-3</v>
      </c>
      <c r="AX233" s="1">
        <v>4.0000000000000001E-3</v>
      </c>
      <c r="AY233" s="1">
        <v>2E-3</v>
      </c>
      <c r="AZ233" s="1">
        <v>3.0000000000000001E-3</v>
      </c>
      <c r="BA233" s="1">
        <v>4.0000000000000001E-3</v>
      </c>
      <c r="BB233" s="1">
        <v>1E-3</v>
      </c>
      <c r="BC233" s="1">
        <v>1E-3</v>
      </c>
      <c r="BD233" s="1">
        <v>6.0000000000000001E-3</v>
      </c>
      <c r="BE233" s="1">
        <v>1E-3</v>
      </c>
      <c r="BF233" s="1">
        <v>4.0000000000000001E-3</v>
      </c>
      <c r="BG233" s="1">
        <v>0</v>
      </c>
      <c r="BH233" s="1">
        <v>1E-3</v>
      </c>
      <c r="BI233" s="1">
        <v>1E-3</v>
      </c>
      <c r="BJ233" s="1">
        <v>1E-3</v>
      </c>
      <c r="BK233" s="1">
        <v>1E-3</v>
      </c>
      <c r="BL233" s="1">
        <v>2E-3</v>
      </c>
      <c r="BM233" s="1">
        <v>1E-3</v>
      </c>
      <c r="BN233" s="1">
        <v>1E-3</v>
      </c>
      <c r="BO233" s="1">
        <v>1E-3</v>
      </c>
      <c r="BP233" s="1">
        <v>2E-3</v>
      </c>
      <c r="BQ233" s="1">
        <v>2E-3</v>
      </c>
      <c r="BR233" s="1">
        <v>1E-3</v>
      </c>
      <c r="BS233" s="1">
        <v>3.0000000000000001E-3</v>
      </c>
      <c r="BT233" s="1">
        <v>1E-3</v>
      </c>
      <c r="BU233" s="1">
        <v>2E-3</v>
      </c>
      <c r="BV233" s="1">
        <v>1E-3</v>
      </c>
      <c r="BW233" s="1">
        <v>1E-3</v>
      </c>
      <c r="BX233" s="1">
        <v>6.0000000000000001E-3</v>
      </c>
      <c r="BY233" s="1">
        <v>2E-3</v>
      </c>
      <c r="BZ233" s="1">
        <v>3.0000000000000001E-3</v>
      </c>
      <c r="CA233" s="1">
        <v>1E-3</v>
      </c>
      <c r="CB233" s="1">
        <v>1E-3</v>
      </c>
      <c r="CC233" s="1">
        <v>2E-3</v>
      </c>
      <c r="CD233" s="1">
        <v>0</v>
      </c>
      <c r="CE233" s="1">
        <v>1E-3</v>
      </c>
      <c r="CF233" s="1">
        <v>1E-3</v>
      </c>
      <c r="CG233" s="1">
        <v>1E-3</v>
      </c>
      <c r="CH233" s="1">
        <v>2E-3</v>
      </c>
      <c r="CI233" s="1">
        <v>1E-3</v>
      </c>
      <c r="CJ233" s="1">
        <v>2E-3</v>
      </c>
      <c r="CK233" s="1">
        <v>0.85899999999999999</v>
      </c>
      <c r="CL233" s="1">
        <v>1.2E-2</v>
      </c>
      <c r="CM233" s="1">
        <v>-0.41406396600000001</v>
      </c>
      <c r="CN233" s="83">
        <v>-62.237603499999999</v>
      </c>
    </row>
    <row r="234" spans="1:92" s="3" customFormat="1" x14ac:dyDescent="0.25">
      <c r="A234" s="72">
        <v>241</v>
      </c>
      <c r="B234" s="81" t="s">
        <v>1338</v>
      </c>
      <c r="C234" s="1" t="s">
        <v>83</v>
      </c>
      <c r="D234" s="1" t="s">
        <v>73</v>
      </c>
      <c r="E234" s="1" t="s">
        <v>74</v>
      </c>
      <c r="F234" s="1" t="s">
        <v>128</v>
      </c>
      <c r="G234" s="1" t="s">
        <v>168</v>
      </c>
      <c r="H234" s="1" t="s">
        <v>534</v>
      </c>
      <c r="I234" s="1"/>
      <c r="J234" s="9" t="s">
        <v>506</v>
      </c>
      <c r="K234" s="10">
        <v>0.35740333333333302</v>
      </c>
      <c r="L234" s="1" t="s">
        <v>641</v>
      </c>
      <c r="M234" s="1" t="s">
        <v>76</v>
      </c>
      <c r="N234" s="1" t="s">
        <v>644</v>
      </c>
      <c r="O234" s="1" t="s">
        <v>68</v>
      </c>
      <c r="P234" s="82">
        <v>0.81599999999999995</v>
      </c>
      <c r="Q234" s="1" t="s">
        <v>76</v>
      </c>
      <c r="R234" s="81" t="s">
        <v>177</v>
      </c>
      <c r="S234" s="1">
        <v>3</v>
      </c>
      <c r="T234" s="1" t="s">
        <v>120</v>
      </c>
      <c r="U234" s="1" t="s">
        <v>658</v>
      </c>
      <c r="V234" s="1" t="s">
        <v>655</v>
      </c>
      <c r="W234" s="1">
        <v>26</v>
      </c>
      <c r="X234" s="1" t="s">
        <v>76</v>
      </c>
      <c r="Y234" s="1" t="s">
        <v>644</v>
      </c>
      <c r="Z234" s="1">
        <v>1.7999999999999999E-2</v>
      </c>
      <c r="AA234" s="1">
        <v>2E-3</v>
      </c>
      <c r="AB234" s="1">
        <v>2E-3</v>
      </c>
      <c r="AC234" s="1">
        <v>7.0000000000000001E-3</v>
      </c>
      <c r="AD234" s="1">
        <v>3.0000000000000001E-3</v>
      </c>
      <c r="AE234" s="1">
        <v>2E-3</v>
      </c>
      <c r="AF234" s="1">
        <v>3.0000000000000001E-3</v>
      </c>
      <c r="AG234" s="1">
        <v>0</v>
      </c>
      <c r="AH234" s="1">
        <v>7.0000000000000001E-3</v>
      </c>
      <c r="AI234" s="1">
        <v>1E-3</v>
      </c>
      <c r="AJ234" s="1">
        <v>2E-3</v>
      </c>
      <c r="AK234" s="1">
        <v>1E-3</v>
      </c>
      <c r="AL234" s="1">
        <v>0</v>
      </c>
      <c r="AM234" s="1">
        <v>1E-3</v>
      </c>
      <c r="AN234" s="1">
        <v>5.0000000000000001E-3</v>
      </c>
      <c r="AO234" s="1">
        <v>1E-3</v>
      </c>
      <c r="AP234" s="1">
        <v>1E-3</v>
      </c>
      <c r="AQ234" s="1">
        <v>1E-3</v>
      </c>
      <c r="AR234" s="1">
        <v>1.2999999999999999E-2</v>
      </c>
      <c r="AS234" s="1">
        <v>4.0000000000000001E-3</v>
      </c>
      <c r="AT234" s="1">
        <v>2E-3</v>
      </c>
      <c r="AU234" s="1">
        <v>3.0000000000000001E-3</v>
      </c>
      <c r="AV234" s="1">
        <v>2E-3</v>
      </c>
      <c r="AW234" s="1">
        <v>1E-3</v>
      </c>
      <c r="AX234" s="1">
        <v>5.0000000000000001E-3</v>
      </c>
      <c r="AY234" s="1">
        <v>3.0000000000000001E-3</v>
      </c>
      <c r="AZ234" s="1">
        <v>4.0000000000000001E-3</v>
      </c>
      <c r="BA234" s="1">
        <v>4.0000000000000001E-3</v>
      </c>
      <c r="BB234" s="1">
        <v>1E-3</v>
      </c>
      <c r="BC234" s="1">
        <v>1E-3</v>
      </c>
      <c r="BD234" s="1">
        <v>6.0000000000000001E-3</v>
      </c>
      <c r="BE234" s="1">
        <v>2E-3</v>
      </c>
      <c r="BF234" s="1">
        <v>5.0000000000000001E-3</v>
      </c>
      <c r="BG234" s="1">
        <v>0</v>
      </c>
      <c r="BH234" s="1">
        <v>1E-3</v>
      </c>
      <c r="BI234" s="1">
        <v>1E-3</v>
      </c>
      <c r="BJ234" s="1">
        <v>1E-3</v>
      </c>
      <c r="BK234" s="1">
        <v>1E-3</v>
      </c>
      <c r="BL234" s="1">
        <v>2E-3</v>
      </c>
      <c r="BM234" s="1">
        <v>1E-3</v>
      </c>
      <c r="BN234" s="1">
        <v>2E-3</v>
      </c>
      <c r="BO234" s="1">
        <v>1E-3</v>
      </c>
      <c r="BP234" s="1">
        <v>2E-3</v>
      </c>
      <c r="BQ234" s="1">
        <v>2E-3</v>
      </c>
      <c r="BR234" s="1">
        <v>1E-3</v>
      </c>
      <c r="BS234" s="1">
        <v>7.0000000000000001E-3</v>
      </c>
      <c r="BT234" s="1">
        <v>1E-3</v>
      </c>
      <c r="BU234" s="1">
        <v>3.0000000000000001E-3</v>
      </c>
      <c r="BV234" s="1">
        <v>1E-3</v>
      </c>
      <c r="BW234" s="1">
        <v>1E-3</v>
      </c>
      <c r="BX234" s="1">
        <v>7.0000000000000001E-3</v>
      </c>
      <c r="BY234" s="1">
        <v>3.0000000000000001E-3</v>
      </c>
      <c r="BZ234" s="1">
        <v>4.0000000000000001E-3</v>
      </c>
      <c r="CA234" s="1">
        <v>2E-3</v>
      </c>
      <c r="CB234" s="1">
        <v>4.0000000000000001E-3</v>
      </c>
      <c r="CC234" s="1">
        <v>2E-3</v>
      </c>
      <c r="CD234" s="1">
        <v>0</v>
      </c>
      <c r="CE234" s="1">
        <v>1E-3</v>
      </c>
      <c r="CF234" s="1">
        <v>2E-3</v>
      </c>
      <c r="CG234" s="1">
        <v>2E-3</v>
      </c>
      <c r="CH234" s="1">
        <v>2E-3</v>
      </c>
      <c r="CI234" s="1">
        <v>2E-3</v>
      </c>
      <c r="CJ234" s="1">
        <v>3.0000000000000001E-3</v>
      </c>
      <c r="CK234" s="1">
        <v>0.81599999999999995</v>
      </c>
      <c r="CL234" s="1">
        <v>1.2E-2</v>
      </c>
      <c r="CM234" s="1">
        <v>-16.821684399999999</v>
      </c>
      <c r="CN234" s="83">
        <v>-50.580638370000003</v>
      </c>
    </row>
    <row r="235" spans="1:92" s="3" customFormat="1" x14ac:dyDescent="0.25">
      <c r="A235" s="72">
        <v>242</v>
      </c>
      <c r="B235" s="81" t="s">
        <v>1403</v>
      </c>
      <c r="C235" s="1" t="s">
        <v>83</v>
      </c>
      <c r="D235" s="1" t="s">
        <v>73</v>
      </c>
      <c r="E235" s="1" t="s">
        <v>99</v>
      </c>
      <c r="F235" s="1" t="s">
        <v>669</v>
      </c>
      <c r="G235" s="1" t="s">
        <v>76</v>
      </c>
      <c r="H235" s="1" t="s">
        <v>68</v>
      </c>
      <c r="I235" s="1"/>
      <c r="J235" s="9" t="s">
        <v>544</v>
      </c>
      <c r="K235" s="10">
        <v>0.423956</v>
      </c>
      <c r="L235" s="1" t="s">
        <v>76</v>
      </c>
      <c r="M235" s="1" t="s">
        <v>506</v>
      </c>
      <c r="N235" s="1" t="s">
        <v>645</v>
      </c>
      <c r="O235" s="1" t="s">
        <v>68</v>
      </c>
      <c r="P235" s="82">
        <v>0.98499999999999999</v>
      </c>
      <c r="Q235" s="1" t="s">
        <v>76</v>
      </c>
      <c r="R235" s="81" t="s">
        <v>157</v>
      </c>
      <c r="S235" s="1">
        <v>3</v>
      </c>
      <c r="T235" s="1" t="s">
        <v>120</v>
      </c>
      <c r="U235" s="1" t="s">
        <v>658</v>
      </c>
      <c r="V235" s="1" t="s">
        <v>655</v>
      </c>
      <c r="W235" s="1">
        <v>85</v>
      </c>
      <c r="X235" s="1" t="s">
        <v>76</v>
      </c>
      <c r="Y235" s="1" t="s">
        <v>645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5.0000000000000001E-3</v>
      </c>
      <c r="AV235" s="1">
        <v>0</v>
      </c>
      <c r="AW235" s="1">
        <v>0</v>
      </c>
      <c r="AX235" s="1">
        <v>3.0000000000000001E-3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1E-3</v>
      </c>
      <c r="BT235" s="1">
        <v>0</v>
      </c>
      <c r="BU235" s="1">
        <v>0</v>
      </c>
      <c r="BV235" s="1">
        <v>0</v>
      </c>
      <c r="BW235" s="1">
        <v>0</v>
      </c>
      <c r="BX235" s="1">
        <v>1E-3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0.98499999999999999</v>
      </c>
      <c r="CL235" s="1">
        <v>0</v>
      </c>
      <c r="CM235" s="1">
        <v>47.62882347</v>
      </c>
      <c r="CN235" s="83">
        <v>-36.347603370000002</v>
      </c>
    </row>
    <row r="236" spans="1:92" s="3" customFormat="1" x14ac:dyDescent="0.25">
      <c r="A236" s="72">
        <v>243</v>
      </c>
      <c r="B236" s="81" t="s">
        <v>1093</v>
      </c>
      <c r="C236" s="1" t="s">
        <v>83</v>
      </c>
      <c r="D236" s="1" t="s">
        <v>73</v>
      </c>
      <c r="E236" s="1" t="s">
        <v>74</v>
      </c>
      <c r="F236" s="1" t="s">
        <v>211</v>
      </c>
      <c r="G236" s="1" t="s">
        <v>76</v>
      </c>
      <c r="H236" s="1" t="s">
        <v>212</v>
      </c>
      <c r="I236" s="1"/>
      <c r="J236" s="9" t="s">
        <v>544</v>
      </c>
      <c r="K236" s="10">
        <v>0.41637033333333401</v>
      </c>
      <c r="L236" s="1" t="s">
        <v>76</v>
      </c>
      <c r="M236" s="1" t="s">
        <v>506</v>
      </c>
      <c r="N236" s="1" t="s">
        <v>645</v>
      </c>
      <c r="O236" s="1" t="s">
        <v>68</v>
      </c>
      <c r="P236" s="82">
        <v>0.99399999999999999</v>
      </c>
      <c r="Q236" s="1" t="s">
        <v>76</v>
      </c>
      <c r="R236" s="81" t="s">
        <v>193</v>
      </c>
      <c r="S236" s="1">
        <v>3</v>
      </c>
      <c r="T236" s="1" t="s">
        <v>120</v>
      </c>
      <c r="U236" s="1" t="s">
        <v>658</v>
      </c>
      <c r="V236" s="1" t="s">
        <v>655</v>
      </c>
      <c r="W236" s="1">
        <v>69</v>
      </c>
      <c r="X236" s="1" t="s">
        <v>76</v>
      </c>
      <c r="Y236" s="1" t="s">
        <v>645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0.99399999999999999</v>
      </c>
      <c r="CL236" s="1">
        <v>4.0000000000000001E-3</v>
      </c>
      <c r="CM236" s="1">
        <v>2.7847966419999999</v>
      </c>
      <c r="CN236" s="83">
        <v>-70.561370510000003</v>
      </c>
    </row>
    <row r="237" spans="1:92" s="3" customFormat="1" x14ac:dyDescent="0.25">
      <c r="A237" s="72">
        <v>244</v>
      </c>
      <c r="B237" s="81" t="s">
        <v>1407</v>
      </c>
      <c r="C237" s="1" t="s">
        <v>83</v>
      </c>
      <c r="D237" s="1" t="s">
        <v>73</v>
      </c>
      <c r="E237" s="1" t="s">
        <v>99</v>
      </c>
      <c r="F237" s="1" t="s">
        <v>669</v>
      </c>
      <c r="G237" s="1" t="s">
        <v>76</v>
      </c>
      <c r="H237" s="1" t="s">
        <v>68</v>
      </c>
      <c r="I237" s="1"/>
      <c r="J237" s="9" t="s">
        <v>544</v>
      </c>
      <c r="K237" s="10">
        <v>0.56229166666666697</v>
      </c>
      <c r="L237" s="1" t="s">
        <v>76</v>
      </c>
      <c r="M237" s="1" t="s">
        <v>506</v>
      </c>
      <c r="N237" s="1" t="s">
        <v>645</v>
      </c>
      <c r="O237" s="1" t="s">
        <v>68</v>
      </c>
      <c r="P237" s="82">
        <v>0.99299999999999999</v>
      </c>
      <c r="Q237" s="1" t="s">
        <v>76</v>
      </c>
      <c r="R237" s="81" t="s">
        <v>193</v>
      </c>
      <c r="S237" s="1">
        <v>3</v>
      </c>
      <c r="T237" s="1" t="s">
        <v>120</v>
      </c>
      <c r="U237" s="1" t="s">
        <v>658</v>
      </c>
      <c r="V237" s="1" t="s">
        <v>657</v>
      </c>
      <c r="W237" s="1">
        <v>56</v>
      </c>
      <c r="X237" s="1" t="s">
        <v>76</v>
      </c>
      <c r="Y237" s="1" t="s">
        <v>645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1E-3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2E-3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0.99299999999999999</v>
      </c>
      <c r="CL237" s="1">
        <v>0</v>
      </c>
      <c r="CM237" s="1">
        <v>52.750455240000001</v>
      </c>
      <c r="CN237" s="83">
        <v>-42.540605650000003</v>
      </c>
    </row>
    <row r="238" spans="1:92" s="3" customFormat="1" x14ac:dyDescent="0.25">
      <c r="A238" s="72">
        <v>245</v>
      </c>
      <c r="B238" s="81" t="s">
        <v>861</v>
      </c>
      <c r="C238" s="1" t="s">
        <v>83</v>
      </c>
      <c r="D238" s="1" t="s">
        <v>73</v>
      </c>
      <c r="E238" s="1" t="s">
        <v>74</v>
      </c>
      <c r="F238" s="1" t="s">
        <v>669</v>
      </c>
      <c r="G238" s="1" t="s">
        <v>76</v>
      </c>
      <c r="H238" s="1" t="s">
        <v>68</v>
      </c>
      <c r="I238" s="1"/>
      <c r="J238" s="9" t="s">
        <v>544</v>
      </c>
      <c r="K238" s="10">
        <v>0.55690133333333403</v>
      </c>
      <c r="L238" s="1" t="s">
        <v>641</v>
      </c>
      <c r="M238" s="1" t="s">
        <v>76</v>
      </c>
      <c r="N238" s="1" t="s">
        <v>644</v>
      </c>
      <c r="O238" s="1" t="s">
        <v>30</v>
      </c>
      <c r="P238" s="82">
        <v>0.39900000000000002</v>
      </c>
      <c r="Q238" s="1" t="s">
        <v>76</v>
      </c>
      <c r="R238" s="81" t="s">
        <v>193</v>
      </c>
      <c r="S238" s="1">
        <v>3</v>
      </c>
      <c r="T238" s="1" t="s">
        <v>120</v>
      </c>
      <c r="U238" s="1" t="s">
        <v>658</v>
      </c>
      <c r="V238" s="1" t="s">
        <v>657</v>
      </c>
      <c r="W238" s="1">
        <v>58</v>
      </c>
      <c r="X238" s="1" t="s">
        <v>76</v>
      </c>
      <c r="Y238" s="1" t="s">
        <v>644</v>
      </c>
      <c r="Z238" s="1">
        <v>1E-3</v>
      </c>
      <c r="AA238" s="1">
        <v>3.0000000000000001E-3</v>
      </c>
      <c r="AB238" s="1">
        <v>2E-3</v>
      </c>
      <c r="AC238" s="1">
        <v>8.9999999999999993E-3</v>
      </c>
      <c r="AD238" s="1">
        <v>2E-3</v>
      </c>
      <c r="AE238" s="1">
        <v>2E-3</v>
      </c>
      <c r="AF238" s="1">
        <v>3.0000000000000001E-3</v>
      </c>
      <c r="AG238" s="1">
        <v>1E-3</v>
      </c>
      <c r="AH238" s="1">
        <v>6.0000000000000001E-3</v>
      </c>
      <c r="AI238" s="1">
        <v>1E-3</v>
      </c>
      <c r="AJ238" s="1">
        <v>1E-3</v>
      </c>
      <c r="AK238" s="1">
        <v>4.0000000000000001E-3</v>
      </c>
      <c r="AL238" s="1">
        <v>8.9999999999999993E-3</v>
      </c>
      <c r="AM238" s="1">
        <v>1E-3</v>
      </c>
      <c r="AN238" s="1">
        <v>2E-3</v>
      </c>
      <c r="AO238" s="1">
        <v>3.0000000000000001E-3</v>
      </c>
      <c r="AP238" s="1">
        <v>2E-3</v>
      </c>
      <c r="AQ238" s="1">
        <v>2E-3</v>
      </c>
      <c r="AR238" s="1">
        <v>2E-3</v>
      </c>
      <c r="AS238" s="1">
        <v>8.9999999999999993E-3</v>
      </c>
      <c r="AT238" s="1">
        <v>5.0000000000000001E-3</v>
      </c>
      <c r="AU238" s="1">
        <v>3.0000000000000001E-3</v>
      </c>
      <c r="AV238" s="1">
        <v>2E-3</v>
      </c>
      <c r="AW238" s="1">
        <v>5.0000000000000001E-3</v>
      </c>
      <c r="AX238" s="1">
        <v>3.0000000000000001E-3</v>
      </c>
      <c r="AY238" s="1">
        <v>0.39900000000000002</v>
      </c>
      <c r="AZ238" s="1">
        <v>8.2000000000000003E-2</v>
      </c>
      <c r="BA238" s="1">
        <v>0.02</v>
      </c>
      <c r="BB238" s="1">
        <v>2E-3</v>
      </c>
      <c r="BC238" s="1">
        <v>1E-3</v>
      </c>
      <c r="BD238" s="1">
        <v>8.9999999999999993E-3</v>
      </c>
      <c r="BE238" s="1">
        <v>3.0000000000000001E-3</v>
      </c>
      <c r="BF238" s="1">
        <v>1E-3</v>
      </c>
      <c r="BG238" s="1">
        <v>2E-3</v>
      </c>
      <c r="BH238" s="1">
        <v>2E-3</v>
      </c>
      <c r="BI238" s="1">
        <v>2E-3</v>
      </c>
      <c r="BJ238" s="1">
        <v>1E-3</v>
      </c>
      <c r="BK238" s="1">
        <v>2E-3</v>
      </c>
      <c r="BL238" s="1">
        <v>1.4999999999999999E-2</v>
      </c>
      <c r="BM238" s="1">
        <v>3.0000000000000001E-3</v>
      </c>
      <c r="BN238" s="1">
        <v>4.0000000000000001E-3</v>
      </c>
      <c r="BO238" s="1">
        <v>1E-3</v>
      </c>
      <c r="BP238" s="1">
        <v>1E-3</v>
      </c>
      <c r="BQ238" s="1">
        <v>0.13700000000000001</v>
      </c>
      <c r="BR238" s="1">
        <v>3.0000000000000001E-3</v>
      </c>
      <c r="BS238" s="1">
        <v>2E-3</v>
      </c>
      <c r="BT238" s="1">
        <v>1E-3</v>
      </c>
      <c r="BU238" s="1">
        <v>3.0000000000000001E-3</v>
      </c>
      <c r="BV238" s="1">
        <v>2E-3</v>
      </c>
      <c r="BW238" s="1">
        <v>0.1</v>
      </c>
      <c r="BX238" s="1">
        <v>5.0000000000000001E-3</v>
      </c>
      <c r="BY238" s="1">
        <v>7.0000000000000001E-3</v>
      </c>
      <c r="BZ238" s="1">
        <v>1.2999999999999999E-2</v>
      </c>
      <c r="CA238" s="1">
        <v>3.0000000000000001E-3</v>
      </c>
      <c r="CB238" s="1">
        <v>3.0000000000000001E-3</v>
      </c>
      <c r="CC238" s="1">
        <v>4.0000000000000001E-3</v>
      </c>
      <c r="CD238" s="1">
        <v>7.0000000000000001E-3</v>
      </c>
      <c r="CE238" s="1">
        <v>3.0000000000000001E-3</v>
      </c>
      <c r="CF238" s="1">
        <v>2E-3</v>
      </c>
      <c r="CG238" s="1">
        <v>6.0000000000000001E-3</v>
      </c>
      <c r="CH238" s="1">
        <v>8.0000000000000002E-3</v>
      </c>
      <c r="CI238" s="1">
        <v>4.0000000000000001E-3</v>
      </c>
      <c r="CJ238" s="1">
        <v>8.0000000000000002E-3</v>
      </c>
      <c r="CK238" s="1">
        <v>0.02</v>
      </c>
      <c r="CL238" s="1">
        <v>2.5000000000000001E-2</v>
      </c>
      <c r="CM238" s="1">
        <v>-48.337153059999999</v>
      </c>
      <c r="CN238" s="83">
        <v>51.706749189999996</v>
      </c>
    </row>
    <row r="239" spans="1:92" s="3" customFormat="1" x14ac:dyDescent="0.25">
      <c r="A239" s="72">
        <v>246</v>
      </c>
      <c r="B239" s="81" t="s">
        <v>872</v>
      </c>
      <c r="C239" s="1" t="s">
        <v>83</v>
      </c>
      <c r="D239" s="1" t="s">
        <v>73</v>
      </c>
      <c r="E239" s="1" t="s">
        <v>74</v>
      </c>
      <c r="F239" s="1" t="s">
        <v>669</v>
      </c>
      <c r="G239" s="1" t="s">
        <v>76</v>
      </c>
      <c r="H239" s="1" t="s">
        <v>68</v>
      </c>
      <c r="I239" s="1"/>
      <c r="J239" s="9" t="s">
        <v>544</v>
      </c>
      <c r="K239" s="10">
        <v>0.43416733333333302</v>
      </c>
      <c r="L239" s="1" t="s">
        <v>76</v>
      </c>
      <c r="M239" s="1" t="s">
        <v>506</v>
      </c>
      <c r="N239" s="1" t="s">
        <v>645</v>
      </c>
      <c r="O239" s="1" t="s">
        <v>68</v>
      </c>
      <c r="P239" s="82">
        <v>0.93100000000000005</v>
      </c>
      <c r="Q239" s="1" t="s">
        <v>76</v>
      </c>
      <c r="R239" s="81" t="s">
        <v>191</v>
      </c>
      <c r="S239" s="1">
        <v>3</v>
      </c>
      <c r="T239" s="1" t="s">
        <v>120</v>
      </c>
      <c r="U239" s="1" t="s">
        <v>658</v>
      </c>
      <c r="V239" s="1" t="s">
        <v>655</v>
      </c>
      <c r="W239" s="1">
        <v>82</v>
      </c>
      <c r="X239" s="1" t="s">
        <v>76</v>
      </c>
      <c r="Y239" s="1" t="s">
        <v>645</v>
      </c>
      <c r="Z239" s="1">
        <v>3.0000000000000001E-3</v>
      </c>
      <c r="AA239" s="1">
        <v>1E-3</v>
      </c>
      <c r="AB239" s="1">
        <v>0</v>
      </c>
      <c r="AC239" s="1">
        <v>6.0000000000000001E-3</v>
      </c>
      <c r="AD239" s="1">
        <v>1E-3</v>
      </c>
      <c r="AE239" s="1">
        <v>1E-3</v>
      </c>
      <c r="AF239" s="1">
        <v>1E-3</v>
      </c>
      <c r="AG239" s="1">
        <v>0</v>
      </c>
      <c r="AH239" s="1">
        <v>2E-3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1E-3</v>
      </c>
      <c r="AO239" s="1">
        <v>0</v>
      </c>
      <c r="AP239" s="1">
        <v>1E-3</v>
      </c>
      <c r="AQ239" s="1">
        <v>0</v>
      </c>
      <c r="AR239" s="1">
        <v>2E-3</v>
      </c>
      <c r="AS239" s="1">
        <v>1E-3</v>
      </c>
      <c r="AT239" s="1">
        <v>1E-3</v>
      </c>
      <c r="AU239" s="1">
        <v>1E-3</v>
      </c>
      <c r="AV239" s="1">
        <v>1E-3</v>
      </c>
      <c r="AW239" s="1">
        <v>1E-3</v>
      </c>
      <c r="AX239" s="1">
        <v>2E-3</v>
      </c>
      <c r="AY239" s="1">
        <v>1E-3</v>
      </c>
      <c r="AZ239" s="1">
        <v>1E-3</v>
      </c>
      <c r="BA239" s="1">
        <v>3.0000000000000001E-3</v>
      </c>
      <c r="BB239" s="1">
        <v>0</v>
      </c>
      <c r="BC239" s="1">
        <v>0</v>
      </c>
      <c r="BD239" s="1">
        <v>2E-3</v>
      </c>
      <c r="BE239" s="1">
        <v>1E-3</v>
      </c>
      <c r="BF239" s="1">
        <v>2E-3</v>
      </c>
      <c r="BG239" s="1">
        <v>0</v>
      </c>
      <c r="BH239" s="1">
        <v>1E-3</v>
      </c>
      <c r="BI239" s="1">
        <v>0</v>
      </c>
      <c r="BJ239" s="1">
        <v>0</v>
      </c>
      <c r="BK239" s="1">
        <v>0</v>
      </c>
      <c r="BL239" s="1">
        <v>1E-3</v>
      </c>
      <c r="BM239" s="1">
        <v>0</v>
      </c>
      <c r="BN239" s="1">
        <v>1E-3</v>
      </c>
      <c r="BO239" s="1">
        <v>0</v>
      </c>
      <c r="BP239" s="1">
        <v>1E-3</v>
      </c>
      <c r="BQ239" s="1">
        <v>1E-3</v>
      </c>
      <c r="BR239" s="1">
        <v>1E-3</v>
      </c>
      <c r="BS239" s="1">
        <v>2E-3</v>
      </c>
      <c r="BT239" s="1">
        <v>0</v>
      </c>
      <c r="BU239" s="1">
        <v>0</v>
      </c>
      <c r="BV239" s="1">
        <v>0</v>
      </c>
      <c r="BW239" s="1">
        <v>0</v>
      </c>
      <c r="BX239" s="1">
        <v>0.01</v>
      </c>
      <c r="BY239" s="1">
        <v>1E-3</v>
      </c>
      <c r="BZ239" s="1">
        <v>1E-3</v>
      </c>
      <c r="CA239" s="1">
        <v>1E-3</v>
      </c>
      <c r="CB239" s="1">
        <v>0</v>
      </c>
      <c r="CC239" s="1">
        <v>1E-3</v>
      </c>
      <c r="CD239" s="1">
        <v>0</v>
      </c>
      <c r="CE239" s="1">
        <v>0</v>
      </c>
      <c r="CF239" s="1">
        <v>0</v>
      </c>
      <c r="CG239" s="1">
        <v>1E-3</v>
      </c>
      <c r="CH239" s="1">
        <v>1E-3</v>
      </c>
      <c r="CI239" s="1">
        <v>1E-3</v>
      </c>
      <c r="CJ239" s="1">
        <v>2E-3</v>
      </c>
      <c r="CK239" s="1">
        <v>0.93100000000000005</v>
      </c>
      <c r="CL239" s="1">
        <v>2E-3</v>
      </c>
      <c r="CM239" s="1">
        <v>48.714832639999997</v>
      </c>
      <c r="CN239" s="83">
        <v>-60.559141289999999</v>
      </c>
    </row>
    <row r="240" spans="1:92" s="3" customFormat="1" x14ac:dyDescent="0.25">
      <c r="A240" s="72">
        <v>247</v>
      </c>
      <c r="B240" s="81" t="s">
        <v>853</v>
      </c>
      <c r="C240" s="1" t="s">
        <v>83</v>
      </c>
      <c r="D240" s="1" t="s">
        <v>73</v>
      </c>
      <c r="E240" s="1" t="s">
        <v>74</v>
      </c>
      <c r="F240" s="1" t="s">
        <v>669</v>
      </c>
      <c r="G240" s="1" t="s">
        <v>76</v>
      </c>
      <c r="H240" s="1" t="s">
        <v>68</v>
      </c>
      <c r="I240" s="1"/>
      <c r="J240" s="9" t="s">
        <v>544</v>
      </c>
      <c r="K240" s="10">
        <v>0.59760083333333303</v>
      </c>
      <c r="L240" s="1" t="s">
        <v>641</v>
      </c>
      <c r="M240" s="1" t="s">
        <v>76</v>
      </c>
      <c r="N240" s="1" t="s">
        <v>644</v>
      </c>
      <c r="O240" s="1" t="s">
        <v>48</v>
      </c>
      <c r="P240" s="82">
        <v>0.29199999999999998</v>
      </c>
      <c r="Q240" s="1" t="s">
        <v>76</v>
      </c>
      <c r="R240" s="81" t="s">
        <v>193</v>
      </c>
      <c r="S240" s="1">
        <v>3</v>
      </c>
      <c r="T240" s="1" t="s">
        <v>120</v>
      </c>
      <c r="U240" s="1" t="s">
        <v>659</v>
      </c>
      <c r="V240" s="1" t="s">
        <v>655</v>
      </c>
      <c r="W240" s="1">
        <v>63</v>
      </c>
      <c r="X240" s="1" t="s">
        <v>76</v>
      </c>
      <c r="Y240" s="1" t="s">
        <v>644</v>
      </c>
      <c r="Z240" s="1">
        <v>2E-3</v>
      </c>
      <c r="AA240" s="1">
        <v>6.0000000000000001E-3</v>
      </c>
      <c r="AB240" s="1">
        <v>4.0000000000000001E-3</v>
      </c>
      <c r="AC240" s="1">
        <v>2.3E-2</v>
      </c>
      <c r="AD240" s="1">
        <v>4.0000000000000001E-3</v>
      </c>
      <c r="AE240" s="1">
        <v>3.0000000000000001E-3</v>
      </c>
      <c r="AF240" s="1">
        <v>5.0000000000000001E-3</v>
      </c>
      <c r="AG240" s="1">
        <v>1E-3</v>
      </c>
      <c r="AH240" s="1">
        <v>1.4999999999999999E-2</v>
      </c>
      <c r="AI240" s="1">
        <v>2E-3</v>
      </c>
      <c r="AJ240" s="1">
        <v>3.0000000000000001E-3</v>
      </c>
      <c r="AK240" s="1">
        <v>0.01</v>
      </c>
      <c r="AL240" s="1">
        <v>1.9E-2</v>
      </c>
      <c r="AM240" s="1">
        <v>3.0000000000000001E-3</v>
      </c>
      <c r="AN240" s="1">
        <v>3.0000000000000001E-3</v>
      </c>
      <c r="AO240" s="1">
        <v>0.02</v>
      </c>
      <c r="AP240" s="1">
        <v>4.0000000000000001E-3</v>
      </c>
      <c r="AQ240" s="1">
        <v>3.0000000000000001E-3</v>
      </c>
      <c r="AR240" s="1">
        <v>2E-3</v>
      </c>
      <c r="AS240" s="1">
        <v>3.6999999999999998E-2</v>
      </c>
      <c r="AT240" s="1">
        <v>2.1999999999999999E-2</v>
      </c>
      <c r="AU240" s="1">
        <v>6.0000000000000001E-3</v>
      </c>
      <c r="AV240" s="1">
        <v>3.0000000000000001E-3</v>
      </c>
      <c r="AW240" s="1">
        <v>1.4999999999999999E-2</v>
      </c>
      <c r="AX240" s="1">
        <v>5.0000000000000001E-3</v>
      </c>
      <c r="AY240" s="1">
        <v>5.8000000000000003E-2</v>
      </c>
      <c r="AZ240" s="1">
        <v>4.4999999999999998E-2</v>
      </c>
      <c r="BA240" s="1">
        <v>2.3E-2</v>
      </c>
      <c r="BB240" s="1">
        <v>4.0000000000000001E-3</v>
      </c>
      <c r="BC240" s="1">
        <v>3.0000000000000001E-3</v>
      </c>
      <c r="BD240" s="1">
        <v>0.02</v>
      </c>
      <c r="BE240" s="1">
        <v>4.0000000000000001E-3</v>
      </c>
      <c r="BF240" s="1">
        <v>2E-3</v>
      </c>
      <c r="BG240" s="1">
        <v>5.0000000000000001E-3</v>
      </c>
      <c r="BH240" s="1">
        <v>4.0000000000000001E-3</v>
      </c>
      <c r="BI240" s="1">
        <v>4.0000000000000001E-3</v>
      </c>
      <c r="BJ240" s="1">
        <v>2E-3</v>
      </c>
      <c r="BK240" s="1">
        <v>3.0000000000000001E-3</v>
      </c>
      <c r="BL240" s="1">
        <v>2.4E-2</v>
      </c>
      <c r="BM240" s="1">
        <v>6.0000000000000001E-3</v>
      </c>
      <c r="BN240" s="1">
        <v>8.9999999999999993E-3</v>
      </c>
      <c r="BO240" s="1">
        <v>3.0000000000000001E-3</v>
      </c>
      <c r="BP240" s="1">
        <v>2E-3</v>
      </c>
      <c r="BQ240" s="1">
        <v>0.29199999999999998</v>
      </c>
      <c r="BR240" s="1">
        <v>5.0000000000000001E-3</v>
      </c>
      <c r="BS240" s="1">
        <v>3.0000000000000001E-3</v>
      </c>
      <c r="BT240" s="1">
        <v>3.0000000000000001E-3</v>
      </c>
      <c r="BU240" s="1">
        <v>2E-3</v>
      </c>
      <c r="BV240" s="1">
        <v>4.0000000000000001E-3</v>
      </c>
      <c r="BW240" s="1">
        <v>3.6999999999999998E-2</v>
      </c>
      <c r="BX240" s="1">
        <v>1.4E-2</v>
      </c>
      <c r="BY240" s="1">
        <v>1.7000000000000001E-2</v>
      </c>
      <c r="BZ240" s="1">
        <v>2.7E-2</v>
      </c>
      <c r="CA240" s="1">
        <v>8.0000000000000002E-3</v>
      </c>
      <c r="CB240" s="1">
        <v>2E-3</v>
      </c>
      <c r="CC240" s="1">
        <v>8.0000000000000002E-3</v>
      </c>
      <c r="CD240" s="1">
        <v>3.0000000000000001E-3</v>
      </c>
      <c r="CE240" s="1">
        <v>5.0000000000000001E-3</v>
      </c>
      <c r="CF240" s="1">
        <v>4.0000000000000001E-3</v>
      </c>
      <c r="CG240" s="1">
        <v>2.4E-2</v>
      </c>
      <c r="CH240" s="1">
        <v>1.4E-2</v>
      </c>
      <c r="CI240" s="1">
        <v>1.6E-2</v>
      </c>
      <c r="CJ240" s="1">
        <v>2.3E-2</v>
      </c>
      <c r="CK240" s="1">
        <v>2.7E-2</v>
      </c>
      <c r="CL240" s="1">
        <v>2.5000000000000001E-2</v>
      </c>
      <c r="CM240" s="1">
        <v>-51.182087469999999</v>
      </c>
      <c r="CN240" s="83">
        <v>53.429336620000001</v>
      </c>
    </row>
    <row r="241" spans="1:92" s="3" customFormat="1" x14ac:dyDescent="0.25">
      <c r="A241" s="72">
        <v>248</v>
      </c>
      <c r="B241" s="81" t="s">
        <v>1089</v>
      </c>
      <c r="C241" s="1" t="s">
        <v>83</v>
      </c>
      <c r="D241" s="1" t="s">
        <v>73</v>
      </c>
      <c r="E241" s="1" t="s">
        <v>99</v>
      </c>
      <c r="F241" s="1" t="s">
        <v>669</v>
      </c>
      <c r="G241" s="1" t="s">
        <v>76</v>
      </c>
      <c r="H241" s="1" t="s">
        <v>68</v>
      </c>
      <c r="I241" s="1"/>
      <c r="J241" s="9" t="s">
        <v>544</v>
      </c>
      <c r="K241" s="10">
        <v>0.55606433333333305</v>
      </c>
      <c r="L241" s="1" t="s">
        <v>76</v>
      </c>
      <c r="M241" s="1" t="s">
        <v>506</v>
      </c>
      <c r="N241" s="1" t="s">
        <v>645</v>
      </c>
      <c r="O241" s="1" t="s">
        <v>68</v>
      </c>
      <c r="P241" s="82">
        <v>0.998</v>
      </c>
      <c r="Q241" s="1" t="s">
        <v>76</v>
      </c>
      <c r="R241" s="81" t="s">
        <v>193</v>
      </c>
      <c r="S241" s="1">
        <v>3</v>
      </c>
      <c r="T241" s="1" t="s">
        <v>120</v>
      </c>
      <c r="U241" s="1" t="s">
        <v>658</v>
      </c>
      <c r="V241" s="1" t="s">
        <v>655</v>
      </c>
      <c r="W241" s="1">
        <v>86</v>
      </c>
      <c r="X241" s="1" t="s">
        <v>76</v>
      </c>
      <c r="Y241" s="1" t="s">
        <v>645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0.998</v>
      </c>
      <c r="CL241" s="1">
        <v>0</v>
      </c>
      <c r="CM241" s="1">
        <v>60.086727869999997</v>
      </c>
      <c r="CN241" s="83">
        <v>-52.321859410000002</v>
      </c>
    </row>
    <row r="242" spans="1:92" s="3" customFormat="1" x14ac:dyDescent="0.25">
      <c r="A242" s="72">
        <v>249</v>
      </c>
      <c r="B242" s="81" t="s">
        <v>1168</v>
      </c>
      <c r="C242" s="1" t="s">
        <v>83</v>
      </c>
      <c r="D242" s="1" t="s">
        <v>73</v>
      </c>
      <c r="E242" s="1" t="s">
        <v>99</v>
      </c>
      <c r="F242" s="1" t="s">
        <v>669</v>
      </c>
      <c r="G242" s="1" t="s">
        <v>76</v>
      </c>
      <c r="H242" s="1" t="s">
        <v>68</v>
      </c>
      <c r="I242" s="1"/>
      <c r="J242" s="9" t="s">
        <v>544</v>
      </c>
      <c r="K242" s="10">
        <v>0.3545085</v>
      </c>
      <c r="L242" s="1" t="s">
        <v>76</v>
      </c>
      <c r="M242" s="1" t="s">
        <v>506</v>
      </c>
      <c r="N242" s="1" t="s">
        <v>645</v>
      </c>
      <c r="O242" s="1" t="s">
        <v>68</v>
      </c>
      <c r="P242" s="82">
        <v>1</v>
      </c>
      <c r="Q242" s="1" t="s">
        <v>76</v>
      </c>
      <c r="R242" s="81" t="s">
        <v>129</v>
      </c>
      <c r="S242" s="1">
        <v>3</v>
      </c>
      <c r="T242" s="1" t="s">
        <v>120</v>
      </c>
      <c r="U242" s="1" t="s">
        <v>658</v>
      </c>
      <c r="V242" s="1" t="s">
        <v>655</v>
      </c>
      <c r="W242" s="1">
        <v>72</v>
      </c>
      <c r="X242" s="1" t="s">
        <v>76</v>
      </c>
      <c r="Y242" s="1" t="s">
        <v>645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1</v>
      </c>
      <c r="CL242" s="1">
        <v>0</v>
      </c>
      <c r="CM242" s="1">
        <v>-2.754487648</v>
      </c>
      <c r="CN242" s="83">
        <v>-67.794554439999999</v>
      </c>
    </row>
    <row r="243" spans="1:92" s="3" customFormat="1" x14ac:dyDescent="0.25">
      <c r="A243" s="72">
        <v>250</v>
      </c>
      <c r="B243" s="81" t="s">
        <v>1252</v>
      </c>
      <c r="C243" s="1" t="s">
        <v>83</v>
      </c>
      <c r="D243" s="1" t="s">
        <v>73</v>
      </c>
      <c r="E243" s="1" t="s">
        <v>74</v>
      </c>
      <c r="F243" s="1" t="s">
        <v>669</v>
      </c>
      <c r="G243" s="1" t="s">
        <v>76</v>
      </c>
      <c r="H243" s="1" t="s">
        <v>68</v>
      </c>
      <c r="I243" s="1"/>
      <c r="J243" s="9" t="s">
        <v>544</v>
      </c>
      <c r="K243" s="10">
        <v>0.44348933333333301</v>
      </c>
      <c r="L243" s="1" t="s">
        <v>76</v>
      </c>
      <c r="M243" s="1" t="s">
        <v>506</v>
      </c>
      <c r="N243" s="1" t="s">
        <v>645</v>
      </c>
      <c r="O243" s="1" t="s">
        <v>68</v>
      </c>
      <c r="P243" s="82">
        <v>1</v>
      </c>
      <c r="Q243" s="1" t="s">
        <v>76</v>
      </c>
      <c r="R243" s="81" t="s">
        <v>129</v>
      </c>
      <c r="S243" s="1">
        <v>3</v>
      </c>
      <c r="T243" s="1" t="s">
        <v>120</v>
      </c>
      <c r="U243" s="1" t="s">
        <v>658</v>
      </c>
      <c r="V243" s="1" t="s">
        <v>655</v>
      </c>
      <c r="W243" s="1">
        <v>89</v>
      </c>
      <c r="X243" s="1" t="s">
        <v>167</v>
      </c>
      <c r="Y243" s="1" t="s">
        <v>645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1</v>
      </c>
      <c r="CL243" s="1">
        <v>0</v>
      </c>
      <c r="CM243" s="1">
        <v>49.497065239999998</v>
      </c>
      <c r="CN243" s="83">
        <v>-41.140265530000001</v>
      </c>
    </row>
    <row r="244" spans="1:92" s="3" customFormat="1" x14ac:dyDescent="0.25">
      <c r="A244" s="72">
        <v>251</v>
      </c>
      <c r="B244" s="81" t="s">
        <v>851</v>
      </c>
      <c r="C244" s="1" t="s">
        <v>83</v>
      </c>
      <c r="D244" s="1" t="s">
        <v>73</v>
      </c>
      <c r="E244" s="1" t="s">
        <v>74</v>
      </c>
      <c r="F244" s="1" t="s">
        <v>669</v>
      </c>
      <c r="G244" s="1" t="s">
        <v>76</v>
      </c>
      <c r="H244" s="1" t="s">
        <v>68</v>
      </c>
      <c r="I244" s="1"/>
      <c r="J244" s="9" t="s">
        <v>544</v>
      </c>
      <c r="K244" s="10">
        <v>0.366953166666667</v>
      </c>
      <c r="L244" s="1" t="s">
        <v>641</v>
      </c>
      <c r="M244" s="1" t="s">
        <v>76</v>
      </c>
      <c r="N244" s="1" t="s">
        <v>644</v>
      </c>
      <c r="O244" s="1" t="s">
        <v>29</v>
      </c>
      <c r="P244" s="82">
        <v>0.73599999999999999</v>
      </c>
      <c r="Q244" s="1" t="s">
        <v>76</v>
      </c>
      <c r="R244" s="81" t="s">
        <v>129</v>
      </c>
      <c r="S244" s="1">
        <v>3</v>
      </c>
      <c r="T244" s="1" t="s">
        <v>120</v>
      </c>
      <c r="U244" s="1" t="s">
        <v>660</v>
      </c>
      <c r="V244" s="1" t="s">
        <v>655</v>
      </c>
      <c r="W244" s="1">
        <v>74</v>
      </c>
      <c r="X244" s="1" t="s">
        <v>76</v>
      </c>
      <c r="Y244" s="1" t="s">
        <v>644</v>
      </c>
      <c r="Z244" s="1">
        <v>1E-3</v>
      </c>
      <c r="AA244" s="1">
        <v>1E-3</v>
      </c>
      <c r="AB244" s="1">
        <v>0</v>
      </c>
      <c r="AC244" s="1">
        <v>1E-3</v>
      </c>
      <c r="AD244" s="1">
        <v>1E-3</v>
      </c>
      <c r="AE244" s="1">
        <v>0</v>
      </c>
      <c r="AF244" s="1">
        <v>0</v>
      </c>
      <c r="AG244" s="1">
        <v>0</v>
      </c>
      <c r="AH244" s="1">
        <v>2E-3</v>
      </c>
      <c r="AI244" s="1">
        <v>1E-3</v>
      </c>
      <c r="AJ244" s="1">
        <v>0</v>
      </c>
      <c r="AK244" s="1">
        <v>0</v>
      </c>
      <c r="AL244" s="1">
        <v>1E-3</v>
      </c>
      <c r="AM244" s="1">
        <v>0</v>
      </c>
      <c r="AN244" s="1">
        <v>1E-3</v>
      </c>
      <c r="AO244" s="1">
        <v>0</v>
      </c>
      <c r="AP244" s="1">
        <v>1E-3</v>
      </c>
      <c r="AQ244" s="1">
        <v>0</v>
      </c>
      <c r="AR244" s="1">
        <v>0</v>
      </c>
      <c r="AS244" s="1">
        <v>1E-3</v>
      </c>
      <c r="AT244" s="1">
        <v>1E-3</v>
      </c>
      <c r="AU244" s="1">
        <v>1E-3</v>
      </c>
      <c r="AV244" s="1">
        <v>1E-3</v>
      </c>
      <c r="AW244" s="1">
        <v>0</v>
      </c>
      <c r="AX244" s="1">
        <v>0.73599999999999999</v>
      </c>
      <c r="AY244" s="1">
        <v>1E-3</v>
      </c>
      <c r="AZ244" s="1">
        <v>1E-3</v>
      </c>
      <c r="BA244" s="1">
        <v>1E-3</v>
      </c>
      <c r="BB244" s="1">
        <v>0</v>
      </c>
      <c r="BC244" s="1">
        <v>1E-3</v>
      </c>
      <c r="BD244" s="1">
        <v>2E-3</v>
      </c>
      <c r="BE244" s="1">
        <v>0</v>
      </c>
      <c r="BF244" s="1">
        <v>1E-3</v>
      </c>
      <c r="BG244" s="1">
        <v>1E-3</v>
      </c>
      <c r="BH244" s="1">
        <v>1E-3</v>
      </c>
      <c r="BI244" s="1">
        <v>0</v>
      </c>
      <c r="BJ244" s="1">
        <v>0</v>
      </c>
      <c r="BK244" s="1">
        <v>0</v>
      </c>
      <c r="BL244" s="1">
        <v>1E-3</v>
      </c>
      <c r="BM244" s="1">
        <v>0</v>
      </c>
      <c r="BN244" s="1">
        <v>1E-3</v>
      </c>
      <c r="BO244" s="1">
        <v>0</v>
      </c>
      <c r="BP244" s="1">
        <v>0</v>
      </c>
      <c r="BQ244" s="1">
        <v>1E-3</v>
      </c>
      <c r="BR244" s="1">
        <v>1E-3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2E-3</v>
      </c>
      <c r="BY244" s="1">
        <v>1E-3</v>
      </c>
      <c r="BZ244" s="1">
        <v>1E-3</v>
      </c>
      <c r="CA244" s="1">
        <v>1E-3</v>
      </c>
      <c r="CB244" s="1">
        <v>0</v>
      </c>
      <c r="CC244" s="1">
        <v>0</v>
      </c>
      <c r="CD244" s="1">
        <v>0</v>
      </c>
      <c r="CE244" s="1">
        <v>1E-3</v>
      </c>
      <c r="CF244" s="1">
        <v>0</v>
      </c>
      <c r="CG244" s="1">
        <v>1E-3</v>
      </c>
      <c r="CH244" s="1">
        <v>1E-3</v>
      </c>
      <c r="CI244" s="1">
        <v>1E-3</v>
      </c>
      <c r="CJ244" s="1">
        <v>1E-3</v>
      </c>
      <c r="CK244" s="1">
        <v>0.22500000000000001</v>
      </c>
      <c r="CL244" s="1">
        <v>1E-3</v>
      </c>
      <c r="CM244" s="1">
        <v>23.55192503</v>
      </c>
      <c r="CN244" s="83">
        <v>-48.841507139999997</v>
      </c>
    </row>
    <row r="245" spans="1:92" s="3" customFormat="1" x14ac:dyDescent="0.25">
      <c r="A245" s="72">
        <v>252</v>
      </c>
      <c r="B245" s="81" t="s">
        <v>1036</v>
      </c>
      <c r="C245" s="1" t="s">
        <v>83</v>
      </c>
      <c r="D245" s="1" t="s">
        <v>73</v>
      </c>
      <c r="E245" s="1" t="s">
        <v>74</v>
      </c>
      <c r="F245" s="1" t="s">
        <v>669</v>
      </c>
      <c r="G245" s="1" t="s">
        <v>76</v>
      </c>
      <c r="H245" s="1" t="s">
        <v>68</v>
      </c>
      <c r="I245" s="1"/>
      <c r="J245" s="9" t="s">
        <v>544</v>
      </c>
      <c r="K245" s="10">
        <v>0.48205350000000002</v>
      </c>
      <c r="L245" s="1" t="s">
        <v>76</v>
      </c>
      <c r="M245" s="1" t="s">
        <v>506</v>
      </c>
      <c r="N245" s="1" t="s">
        <v>645</v>
      </c>
      <c r="O245" s="1" t="s">
        <v>68</v>
      </c>
      <c r="P245" s="82">
        <v>0.997</v>
      </c>
      <c r="Q245" s="1" t="s">
        <v>76</v>
      </c>
      <c r="R245" s="81" t="s">
        <v>169</v>
      </c>
      <c r="S245" s="1">
        <v>3</v>
      </c>
      <c r="T245" s="1" t="s">
        <v>120</v>
      </c>
      <c r="U245" s="1" t="s">
        <v>658</v>
      </c>
      <c r="V245" s="1" t="s">
        <v>655</v>
      </c>
      <c r="W245" s="1">
        <v>47</v>
      </c>
      <c r="X245" s="1" t="s">
        <v>76</v>
      </c>
      <c r="Y245" s="1" t="s">
        <v>645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1E-3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1E-3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0.997</v>
      </c>
      <c r="CL245" s="1">
        <v>0</v>
      </c>
      <c r="CM245" s="1">
        <v>53.612687700000002</v>
      </c>
      <c r="CN245" s="83">
        <v>-46.901779580000003</v>
      </c>
    </row>
    <row r="246" spans="1:92" s="3" customFormat="1" x14ac:dyDescent="0.25">
      <c r="A246" s="72">
        <v>253</v>
      </c>
      <c r="B246" s="81" t="s">
        <v>885</v>
      </c>
      <c r="C246" s="1" t="s">
        <v>83</v>
      </c>
      <c r="D246" s="1" t="s">
        <v>73</v>
      </c>
      <c r="E246" s="1" t="s">
        <v>99</v>
      </c>
      <c r="F246" s="1" t="s">
        <v>669</v>
      </c>
      <c r="G246" s="1" t="s">
        <v>76</v>
      </c>
      <c r="H246" s="1" t="s">
        <v>68</v>
      </c>
      <c r="I246" s="1"/>
      <c r="J246" s="9" t="s">
        <v>544</v>
      </c>
      <c r="K246" s="10">
        <v>0.50815533333333296</v>
      </c>
      <c r="L246" s="1" t="s">
        <v>641</v>
      </c>
      <c r="M246" s="1" t="s">
        <v>76</v>
      </c>
      <c r="N246" s="1" t="s">
        <v>649</v>
      </c>
      <c r="O246" s="1" t="s">
        <v>68</v>
      </c>
      <c r="P246" s="82">
        <v>0.11899999999999999</v>
      </c>
      <c r="Q246" s="1" t="s">
        <v>76</v>
      </c>
      <c r="R246" s="81" t="s">
        <v>191</v>
      </c>
      <c r="S246" s="1">
        <v>3</v>
      </c>
      <c r="T246" s="1" t="s">
        <v>120</v>
      </c>
      <c r="U246" s="1" t="s">
        <v>658</v>
      </c>
      <c r="V246" s="1" t="s">
        <v>655</v>
      </c>
      <c r="W246" s="1">
        <v>73</v>
      </c>
      <c r="X246" s="1" t="s">
        <v>76</v>
      </c>
      <c r="Y246" s="1" t="s">
        <v>649</v>
      </c>
      <c r="Z246" s="1">
        <v>2E-3</v>
      </c>
      <c r="AA246" s="1">
        <v>8.0000000000000002E-3</v>
      </c>
      <c r="AB246" s="1">
        <v>7.0000000000000001E-3</v>
      </c>
      <c r="AC246" s="1">
        <v>5.1999999999999998E-2</v>
      </c>
      <c r="AD246" s="1">
        <v>6.0000000000000001E-3</v>
      </c>
      <c r="AE246" s="1">
        <v>7.0000000000000001E-3</v>
      </c>
      <c r="AF246" s="1">
        <v>0.01</v>
      </c>
      <c r="AG246" s="1">
        <v>1E-3</v>
      </c>
      <c r="AH246" s="1">
        <v>2.7E-2</v>
      </c>
      <c r="AI246" s="1">
        <v>2E-3</v>
      </c>
      <c r="AJ246" s="1">
        <v>3.0000000000000001E-3</v>
      </c>
      <c r="AK246" s="1">
        <v>3.9E-2</v>
      </c>
      <c r="AL246" s="1">
        <v>1E-3</v>
      </c>
      <c r="AM246" s="1">
        <v>3.0000000000000001E-3</v>
      </c>
      <c r="AN246" s="1">
        <v>4.0000000000000001E-3</v>
      </c>
      <c r="AO246" s="1">
        <v>1.2999999999999999E-2</v>
      </c>
      <c r="AP246" s="1">
        <v>7.0000000000000001E-3</v>
      </c>
      <c r="AQ246" s="1">
        <v>5.0000000000000001E-3</v>
      </c>
      <c r="AR246" s="1">
        <v>3.0000000000000001E-3</v>
      </c>
      <c r="AS246" s="1">
        <v>5.7000000000000002E-2</v>
      </c>
      <c r="AT246" s="1">
        <v>2.5999999999999999E-2</v>
      </c>
      <c r="AU246" s="1">
        <v>2.7E-2</v>
      </c>
      <c r="AV246" s="1">
        <v>4.0000000000000001E-3</v>
      </c>
      <c r="AW246" s="1">
        <v>2.3E-2</v>
      </c>
      <c r="AX246" s="1">
        <v>6.0000000000000001E-3</v>
      </c>
      <c r="AY246" s="1">
        <v>1.2E-2</v>
      </c>
      <c r="AZ246" s="1">
        <v>1.4999999999999999E-2</v>
      </c>
      <c r="BA246" s="1">
        <v>3.9E-2</v>
      </c>
      <c r="BB246" s="1">
        <v>7.0000000000000001E-3</v>
      </c>
      <c r="BC246" s="1">
        <v>3.0000000000000001E-3</v>
      </c>
      <c r="BD246" s="1">
        <v>4.1000000000000002E-2</v>
      </c>
      <c r="BE246" s="1">
        <v>6.0000000000000001E-3</v>
      </c>
      <c r="BF246" s="1">
        <v>3.0000000000000001E-3</v>
      </c>
      <c r="BG246" s="1">
        <v>1.2E-2</v>
      </c>
      <c r="BH246" s="1">
        <v>6.0000000000000001E-3</v>
      </c>
      <c r="BI246" s="1">
        <v>8.9999999999999993E-3</v>
      </c>
      <c r="BJ246" s="1">
        <v>2E-3</v>
      </c>
      <c r="BK246" s="1">
        <v>7.0000000000000001E-3</v>
      </c>
      <c r="BL246" s="1">
        <v>2.1999999999999999E-2</v>
      </c>
      <c r="BM246" s="1">
        <v>7.0000000000000001E-3</v>
      </c>
      <c r="BN246" s="1">
        <v>1.7000000000000001E-2</v>
      </c>
      <c r="BO246" s="1">
        <v>3.0000000000000001E-3</v>
      </c>
      <c r="BP246" s="1">
        <v>2E-3</v>
      </c>
      <c r="BQ246" s="1">
        <v>1.7000000000000001E-2</v>
      </c>
      <c r="BR246" s="1">
        <v>7.0000000000000001E-3</v>
      </c>
      <c r="BS246" s="1">
        <v>5.0000000000000001E-3</v>
      </c>
      <c r="BT246" s="1">
        <v>4.0000000000000001E-3</v>
      </c>
      <c r="BU246" s="1">
        <v>3.0000000000000001E-3</v>
      </c>
      <c r="BV246" s="1">
        <v>5.0000000000000001E-3</v>
      </c>
      <c r="BW246" s="1">
        <v>1.2E-2</v>
      </c>
      <c r="BX246" s="1">
        <v>0.02</v>
      </c>
      <c r="BY246" s="1">
        <v>2.5000000000000001E-2</v>
      </c>
      <c r="BZ246" s="1">
        <v>1.2E-2</v>
      </c>
      <c r="CA246" s="1">
        <v>8.9999999999999993E-3</v>
      </c>
      <c r="CB246" s="1">
        <v>2E-3</v>
      </c>
      <c r="CC246" s="1">
        <v>8.9999999999999993E-3</v>
      </c>
      <c r="CD246" s="1">
        <v>1E-3</v>
      </c>
      <c r="CE246" s="1">
        <v>6.0000000000000001E-3</v>
      </c>
      <c r="CF246" s="1">
        <v>8.9999999999999993E-3</v>
      </c>
      <c r="CG246" s="1">
        <v>1.4999999999999999E-2</v>
      </c>
      <c r="CH246" s="1">
        <v>4.3999999999999997E-2</v>
      </c>
      <c r="CI246" s="1">
        <v>2.7E-2</v>
      </c>
      <c r="CJ246" s="1">
        <v>5.5E-2</v>
      </c>
      <c r="CK246" s="1">
        <v>0.11899999999999999</v>
      </c>
      <c r="CL246" s="1">
        <v>3.4000000000000002E-2</v>
      </c>
      <c r="CM246" s="1">
        <v>55.26710791</v>
      </c>
      <c r="CN246" s="83">
        <v>-61.432362259999998</v>
      </c>
    </row>
    <row r="247" spans="1:92" s="3" customFormat="1" x14ac:dyDescent="0.25">
      <c r="A247" s="72">
        <v>254</v>
      </c>
      <c r="B247" s="81" t="s">
        <v>1006</v>
      </c>
      <c r="C247" s="1" t="s">
        <v>83</v>
      </c>
      <c r="D247" s="1" t="s">
        <v>73</v>
      </c>
      <c r="E247" s="1" t="s">
        <v>74</v>
      </c>
      <c r="F247" s="1" t="s">
        <v>140</v>
      </c>
      <c r="G247" s="1" t="s">
        <v>76</v>
      </c>
      <c r="H247" s="1" t="s">
        <v>43</v>
      </c>
      <c r="I247" s="1" t="s">
        <v>220</v>
      </c>
      <c r="J247" s="9" t="s">
        <v>544</v>
      </c>
      <c r="K247" s="10">
        <v>0.55226083333333298</v>
      </c>
      <c r="L247" s="1" t="s">
        <v>604</v>
      </c>
      <c r="M247" s="1" t="s">
        <v>544</v>
      </c>
      <c r="N247" s="1" t="s">
        <v>646</v>
      </c>
      <c r="O247" s="1" t="s">
        <v>43</v>
      </c>
      <c r="P247" s="82">
        <v>0.998</v>
      </c>
      <c r="Q247" s="1" t="s">
        <v>76</v>
      </c>
      <c r="R247" s="81" t="s">
        <v>87</v>
      </c>
      <c r="S247" s="1">
        <v>3</v>
      </c>
      <c r="T247" s="1" t="s">
        <v>120</v>
      </c>
      <c r="U247" s="1" t="s">
        <v>658</v>
      </c>
      <c r="V247" s="1" t="s">
        <v>655</v>
      </c>
      <c r="W247" s="1">
        <v>80</v>
      </c>
      <c r="X247" s="1" t="s">
        <v>76</v>
      </c>
      <c r="Y247" s="1" t="s">
        <v>646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0.998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-68.743483659999995</v>
      </c>
      <c r="CN247" s="83">
        <v>-11.43050212</v>
      </c>
    </row>
    <row r="248" spans="1:92" s="3" customFormat="1" x14ac:dyDescent="0.25">
      <c r="A248" s="72">
        <v>255</v>
      </c>
      <c r="B248" s="81" t="s">
        <v>1041</v>
      </c>
      <c r="C248" s="1" t="s">
        <v>83</v>
      </c>
      <c r="D248" s="1" t="s">
        <v>73</v>
      </c>
      <c r="E248" s="1" t="s">
        <v>99</v>
      </c>
      <c r="F248" s="1" t="s">
        <v>669</v>
      </c>
      <c r="G248" s="1" t="s">
        <v>76</v>
      </c>
      <c r="H248" s="1" t="s">
        <v>68</v>
      </c>
      <c r="I248" s="1"/>
      <c r="J248" s="9" t="s">
        <v>544</v>
      </c>
      <c r="K248" s="10">
        <v>0.427615999999999</v>
      </c>
      <c r="L248" s="1" t="s">
        <v>76</v>
      </c>
      <c r="M248" s="1" t="s">
        <v>506</v>
      </c>
      <c r="N248" s="1" t="s">
        <v>645</v>
      </c>
      <c r="O248" s="1" t="s">
        <v>68</v>
      </c>
      <c r="P248" s="82">
        <v>0.999</v>
      </c>
      <c r="Q248" s="1" t="s">
        <v>76</v>
      </c>
      <c r="R248" s="81" t="s">
        <v>194</v>
      </c>
      <c r="S248" s="1">
        <v>3</v>
      </c>
      <c r="T248" s="1" t="s">
        <v>120</v>
      </c>
      <c r="U248" s="1" t="s">
        <v>658</v>
      </c>
      <c r="V248" s="1" t="s">
        <v>655</v>
      </c>
      <c r="W248" s="1">
        <v>78</v>
      </c>
      <c r="X248" s="1" t="s">
        <v>76</v>
      </c>
      <c r="Y248" s="1" t="s">
        <v>645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0.999</v>
      </c>
      <c r="CL248" s="1">
        <v>0</v>
      </c>
      <c r="CM248" s="1">
        <v>48.979645320000003</v>
      </c>
      <c r="CN248" s="83">
        <v>-35.041690690000003</v>
      </c>
    </row>
    <row r="249" spans="1:92" s="3" customFormat="1" x14ac:dyDescent="0.25">
      <c r="A249" s="72">
        <v>256</v>
      </c>
      <c r="B249" s="81" t="s">
        <v>873</v>
      </c>
      <c r="C249" s="1" t="s">
        <v>83</v>
      </c>
      <c r="D249" s="1" t="s">
        <v>73</v>
      </c>
      <c r="E249" s="1" t="s">
        <v>99</v>
      </c>
      <c r="F249" s="1" t="s">
        <v>669</v>
      </c>
      <c r="G249" s="1" t="s">
        <v>76</v>
      </c>
      <c r="H249" s="1" t="s">
        <v>68</v>
      </c>
      <c r="I249" s="1"/>
      <c r="J249" s="9" t="s">
        <v>544</v>
      </c>
      <c r="K249" s="10">
        <v>0.35961216666666701</v>
      </c>
      <c r="L249" s="1" t="s">
        <v>76</v>
      </c>
      <c r="M249" s="1" t="s">
        <v>506</v>
      </c>
      <c r="N249" s="1" t="s">
        <v>645</v>
      </c>
      <c r="O249" s="1" t="s">
        <v>68</v>
      </c>
      <c r="P249" s="82">
        <v>1</v>
      </c>
      <c r="Q249" s="1" t="s">
        <v>76</v>
      </c>
      <c r="R249" s="81" t="s">
        <v>129</v>
      </c>
      <c r="S249" s="1">
        <v>3</v>
      </c>
      <c r="T249" s="1" t="s">
        <v>120</v>
      </c>
      <c r="U249" s="1" t="s">
        <v>658</v>
      </c>
      <c r="V249" s="1" t="s">
        <v>655</v>
      </c>
      <c r="W249" s="1">
        <v>64</v>
      </c>
      <c r="X249" s="1" t="s">
        <v>76</v>
      </c>
      <c r="Y249" s="1" t="s">
        <v>645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1</v>
      </c>
      <c r="CL249" s="1">
        <v>0</v>
      </c>
      <c r="CM249" s="1">
        <v>31.139104939999999</v>
      </c>
      <c r="CN249" s="83">
        <v>-53.723848959999998</v>
      </c>
    </row>
    <row r="250" spans="1:92" s="3" customFormat="1" x14ac:dyDescent="0.25">
      <c r="A250" s="72">
        <v>1034</v>
      </c>
      <c r="B250" s="81" t="s">
        <v>1121</v>
      </c>
      <c r="C250" s="1" t="s">
        <v>162</v>
      </c>
      <c r="D250" s="1" t="s">
        <v>73</v>
      </c>
      <c r="E250" s="1" t="s">
        <v>99</v>
      </c>
      <c r="F250" s="1" t="s">
        <v>84</v>
      </c>
      <c r="G250" s="1" t="s">
        <v>503</v>
      </c>
      <c r="H250" s="1" t="s">
        <v>85</v>
      </c>
      <c r="I250" s="1"/>
      <c r="J250" s="9" t="s">
        <v>544</v>
      </c>
      <c r="K250" s="10">
        <v>0.53443616666666705</v>
      </c>
      <c r="L250" s="1" t="s">
        <v>603</v>
      </c>
      <c r="M250" s="1" t="s">
        <v>506</v>
      </c>
      <c r="N250" s="96" t="s">
        <v>647</v>
      </c>
      <c r="O250" s="1" t="s">
        <v>55</v>
      </c>
      <c r="P250" s="82">
        <v>1</v>
      </c>
      <c r="Q250" s="1" t="s">
        <v>76</v>
      </c>
      <c r="R250" s="81" t="s">
        <v>77</v>
      </c>
      <c r="S250" s="1" t="s">
        <v>123</v>
      </c>
      <c r="T250" s="1" t="s">
        <v>78</v>
      </c>
      <c r="U250" s="1" t="s">
        <v>658</v>
      </c>
      <c r="V250" s="1" t="s">
        <v>655</v>
      </c>
      <c r="W250" s="1">
        <v>71</v>
      </c>
      <c r="X250" s="1" t="s">
        <v>288</v>
      </c>
      <c r="Y250" s="1" t="s">
        <v>647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1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47.762289330000002</v>
      </c>
      <c r="CN250" s="83">
        <v>46.645806989999997</v>
      </c>
    </row>
    <row r="251" spans="1:92" s="3" customFormat="1" x14ac:dyDescent="0.25">
      <c r="A251" s="72">
        <v>258</v>
      </c>
      <c r="B251" s="81" t="s">
        <v>1422</v>
      </c>
      <c r="C251" s="1" t="s">
        <v>83</v>
      </c>
      <c r="D251" s="1" t="s">
        <v>73</v>
      </c>
      <c r="E251" s="1" t="s">
        <v>99</v>
      </c>
      <c r="F251" s="1" t="s">
        <v>669</v>
      </c>
      <c r="G251" s="1" t="s">
        <v>76</v>
      </c>
      <c r="H251" s="1" t="s">
        <v>68</v>
      </c>
      <c r="I251" s="1"/>
      <c r="J251" s="9" t="s">
        <v>544</v>
      </c>
      <c r="K251" s="10">
        <v>0.368338833333334</v>
      </c>
      <c r="L251" s="1" t="s">
        <v>76</v>
      </c>
      <c r="M251" s="1" t="s">
        <v>506</v>
      </c>
      <c r="N251" s="1" t="s">
        <v>645</v>
      </c>
      <c r="O251" s="1" t="s">
        <v>68</v>
      </c>
      <c r="P251" s="82">
        <v>0.99299999999999999</v>
      </c>
      <c r="Q251" s="1" t="s">
        <v>76</v>
      </c>
      <c r="R251" s="81" t="s">
        <v>252</v>
      </c>
      <c r="S251" s="1">
        <v>3</v>
      </c>
      <c r="T251" s="1" t="s">
        <v>120</v>
      </c>
      <c r="U251" s="1" t="s">
        <v>658</v>
      </c>
      <c r="V251" s="1" t="s">
        <v>657</v>
      </c>
      <c r="W251" s="1">
        <v>84</v>
      </c>
      <c r="X251" s="1" t="s">
        <v>76</v>
      </c>
      <c r="Y251" s="1" t="s">
        <v>645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6.0000000000000001E-3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0.99299999999999999</v>
      </c>
      <c r="CL251" s="1">
        <v>0</v>
      </c>
      <c r="CM251" s="1">
        <v>23.80614241</v>
      </c>
      <c r="CN251" s="83">
        <v>-46.629392500000002</v>
      </c>
    </row>
    <row r="252" spans="1:92" s="3" customFormat="1" x14ac:dyDescent="0.25">
      <c r="A252" s="72">
        <v>259</v>
      </c>
      <c r="B252" s="81" t="s">
        <v>843</v>
      </c>
      <c r="C252" s="1" t="s">
        <v>83</v>
      </c>
      <c r="D252" s="1" t="s">
        <v>73</v>
      </c>
      <c r="E252" s="1" t="s">
        <v>74</v>
      </c>
      <c r="F252" s="1" t="s">
        <v>669</v>
      </c>
      <c r="G252" s="1" t="s">
        <v>76</v>
      </c>
      <c r="H252" s="1" t="s">
        <v>68</v>
      </c>
      <c r="I252" s="1"/>
      <c r="J252" s="9" t="s">
        <v>544</v>
      </c>
      <c r="K252" s="10">
        <v>0.38923016666666699</v>
      </c>
      <c r="L252" s="1" t="s">
        <v>76</v>
      </c>
      <c r="M252" s="1" t="s">
        <v>506</v>
      </c>
      <c r="N252" s="1" t="s">
        <v>645</v>
      </c>
      <c r="O252" s="1" t="s">
        <v>68</v>
      </c>
      <c r="P252" s="82">
        <v>1</v>
      </c>
      <c r="Q252" s="1" t="s">
        <v>76</v>
      </c>
      <c r="R252" s="81" t="s">
        <v>253</v>
      </c>
      <c r="S252" s="1">
        <v>2</v>
      </c>
      <c r="T252" s="1" t="s">
        <v>120</v>
      </c>
      <c r="U252" s="1" t="s">
        <v>658</v>
      </c>
      <c r="V252" s="1" t="s">
        <v>657</v>
      </c>
      <c r="W252" s="1">
        <v>66</v>
      </c>
      <c r="X252" s="1" t="s">
        <v>76</v>
      </c>
      <c r="Y252" s="1" t="s">
        <v>645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1</v>
      </c>
      <c r="CL252" s="1">
        <v>0</v>
      </c>
      <c r="CM252" s="1">
        <v>32.109352579999999</v>
      </c>
      <c r="CN252" s="83">
        <v>-53.574776759999999</v>
      </c>
    </row>
    <row r="253" spans="1:92" s="3" customFormat="1" x14ac:dyDescent="0.25">
      <c r="A253" s="72">
        <v>260</v>
      </c>
      <c r="B253" s="81" t="s">
        <v>1028</v>
      </c>
      <c r="C253" s="1" t="s">
        <v>83</v>
      </c>
      <c r="D253" s="1" t="s">
        <v>73</v>
      </c>
      <c r="E253" s="1" t="s">
        <v>99</v>
      </c>
      <c r="F253" s="1" t="s">
        <v>669</v>
      </c>
      <c r="G253" s="1" t="s">
        <v>76</v>
      </c>
      <c r="H253" s="1" t="s">
        <v>68</v>
      </c>
      <c r="I253" s="1"/>
      <c r="J253" s="9" t="s">
        <v>544</v>
      </c>
      <c r="K253" s="10">
        <v>0.34423616666666701</v>
      </c>
      <c r="L253" s="1" t="s">
        <v>641</v>
      </c>
      <c r="M253" s="1" t="s">
        <v>76</v>
      </c>
      <c r="N253" s="1" t="s">
        <v>649</v>
      </c>
      <c r="O253" s="1" t="s">
        <v>68</v>
      </c>
      <c r="P253" s="82">
        <v>0.23400000000000001</v>
      </c>
      <c r="Q253" s="1" t="s">
        <v>76</v>
      </c>
      <c r="R253" s="81" t="s">
        <v>191</v>
      </c>
      <c r="S253" s="1">
        <v>3</v>
      </c>
      <c r="T253" s="1" t="s">
        <v>120</v>
      </c>
      <c r="U253" s="1" t="s">
        <v>658</v>
      </c>
      <c r="V253" s="1" t="s">
        <v>655</v>
      </c>
      <c r="W253" s="1">
        <v>78</v>
      </c>
      <c r="X253" s="1" t="s">
        <v>76</v>
      </c>
      <c r="Y253" s="1" t="s">
        <v>649</v>
      </c>
      <c r="Z253" s="1">
        <v>4.0000000000000001E-3</v>
      </c>
      <c r="AA253" s="1">
        <v>5.0000000000000001E-3</v>
      </c>
      <c r="AB253" s="1">
        <v>3.0000000000000001E-3</v>
      </c>
      <c r="AC253" s="1">
        <v>1.7999999999999999E-2</v>
      </c>
      <c r="AD253" s="1">
        <v>5.0000000000000001E-3</v>
      </c>
      <c r="AE253" s="1">
        <v>4.0000000000000001E-3</v>
      </c>
      <c r="AF253" s="1">
        <v>3.0000000000000001E-3</v>
      </c>
      <c r="AG253" s="1">
        <v>0</v>
      </c>
      <c r="AH253" s="1">
        <v>1.2999999999999999E-2</v>
      </c>
      <c r="AI253" s="1">
        <v>1.0999999999999999E-2</v>
      </c>
      <c r="AJ253" s="1">
        <v>1E-3</v>
      </c>
      <c r="AK253" s="1">
        <v>4.0000000000000001E-3</v>
      </c>
      <c r="AL253" s="1">
        <v>2E-3</v>
      </c>
      <c r="AM253" s="1">
        <v>1E-3</v>
      </c>
      <c r="AN253" s="1">
        <v>2.5000000000000001E-2</v>
      </c>
      <c r="AO253" s="1">
        <v>3.0000000000000001E-3</v>
      </c>
      <c r="AP253" s="1">
        <v>7.0000000000000001E-3</v>
      </c>
      <c r="AQ253" s="1">
        <v>2E-3</v>
      </c>
      <c r="AR253" s="1">
        <v>2E-3</v>
      </c>
      <c r="AS253" s="1">
        <v>6.0000000000000001E-3</v>
      </c>
      <c r="AT253" s="1">
        <v>5.0000000000000001E-3</v>
      </c>
      <c r="AU253" s="1">
        <v>4.0000000000000001E-3</v>
      </c>
      <c r="AV253" s="1">
        <v>3.0000000000000001E-3</v>
      </c>
      <c r="AW253" s="1">
        <v>4.0000000000000001E-3</v>
      </c>
      <c r="AX253" s="1">
        <v>0.221</v>
      </c>
      <c r="AY253" s="1">
        <v>7.0000000000000001E-3</v>
      </c>
      <c r="AZ253" s="1">
        <v>5.0000000000000001E-3</v>
      </c>
      <c r="BA253" s="1">
        <v>8.9999999999999993E-3</v>
      </c>
      <c r="BB253" s="1">
        <v>2E-3</v>
      </c>
      <c r="BC253" s="1">
        <v>3.0000000000000001E-3</v>
      </c>
      <c r="BD253" s="1">
        <v>1.4999999999999999E-2</v>
      </c>
      <c r="BE253" s="1">
        <v>2E-3</v>
      </c>
      <c r="BF253" s="1">
        <v>0.20300000000000001</v>
      </c>
      <c r="BG253" s="1">
        <v>1E-3</v>
      </c>
      <c r="BH253" s="1">
        <v>3.4000000000000002E-2</v>
      </c>
      <c r="BI253" s="1">
        <v>2E-3</v>
      </c>
      <c r="BJ253" s="1">
        <v>1E-3</v>
      </c>
      <c r="BK253" s="1">
        <v>1E-3</v>
      </c>
      <c r="BL253" s="1">
        <v>8.0000000000000002E-3</v>
      </c>
      <c r="BM253" s="1">
        <v>5.0000000000000001E-3</v>
      </c>
      <c r="BN253" s="1">
        <v>4.0000000000000001E-3</v>
      </c>
      <c r="BO253" s="1">
        <v>1E-3</v>
      </c>
      <c r="BP253" s="1">
        <v>1E-3</v>
      </c>
      <c r="BQ253" s="1">
        <v>6.0000000000000001E-3</v>
      </c>
      <c r="BR253" s="1">
        <v>4.0000000000000001E-3</v>
      </c>
      <c r="BS253" s="1">
        <v>3.0000000000000001E-3</v>
      </c>
      <c r="BT253" s="1">
        <v>2E-3</v>
      </c>
      <c r="BU253" s="1">
        <v>3.0000000000000001E-3</v>
      </c>
      <c r="BV253" s="1">
        <v>1E-3</v>
      </c>
      <c r="BW253" s="1">
        <v>3.0000000000000001E-3</v>
      </c>
      <c r="BX253" s="1">
        <v>2.3E-2</v>
      </c>
      <c r="BY253" s="1">
        <v>8.9999999999999993E-3</v>
      </c>
      <c r="BZ253" s="1">
        <v>5.0000000000000001E-3</v>
      </c>
      <c r="CA253" s="1">
        <v>4.0000000000000001E-3</v>
      </c>
      <c r="CB253" s="1">
        <v>1E-3</v>
      </c>
      <c r="CC253" s="1">
        <v>3.0000000000000001E-3</v>
      </c>
      <c r="CD253" s="1">
        <v>0</v>
      </c>
      <c r="CE253" s="1">
        <v>3.0000000000000001E-3</v>
      </c>
      <c r="CF253" s="1">
        <v>3.0000000000000001E-3</v>
      </c>
      <c r="CG253" s="1">
        <v>5.0000000000000001E-3</v>
      </c>
      <c r="CH253" s="1">
        <v>5.0000000000000001E-3</v>
      </c>
      <c r="CI253" s="1">
        <v>5.0000000000000001E-3</v>
      </c>
      <c r="CJ253" s="1">
        <v>7.0000000000000001E-3</v>
      </c>
      <c r="CK253" s="1">
        <v>0.23400000000000001</v>
      </c>
      <c r="CL253" s="1">
        <v>0.01</v>
      </c>
      <c r="CM253" s="1">
        <v>7.8545168829999996</v>
      </c>
      <c r="CN253" s="83">
        <v>-30.988365940000001</v>
      </c>
    </row>
    <row r="254" spans="1:92" s="3" customFormat="1" x14ac:dyDescent="0.25">
      <c r="A254" s="72">
        <v>261</v>
      </c>
      <c r="B254" s="81" t="s">
        <v>1178</v>
      </c>
      <c r="C254" s="1" t="s">
        <v>83</v>
      </c>
      <c r="D254" s="1" t="s">
        <v>73</v>
      </c>
      <c r="E254" s="1" t="s">
        <v>74</v>
      </c>
      <c r="F254" s="1" t="s">
        <v>669</v>
      </c>
      <c r="G254" s="1" t="s">
        <v>76</v>
      </c>
      <c r="H254" s="1" t="s">
        <v>68</v>
      </c>
      <c r="I254" s="1"/>
      <c r="J254" s="9" t="s">
        <v>544</v>
      </c>
      <c r="K254" s="10">
        <v>0.38541566666666699</v>
      </c>
      <c r="L254" s="1" t="s">
        <v>641</v>
      </c>
      <c r="M254" s="1" t="s">
        <v>76</v>
      </c>
      <c r="N254" s="1" t="s">
        <v>649</v>
      </c>
      <c r="O254" s="1" t="s">
        <v>68</v>
      </c>
      <c r="P254" s="82">
        <v>0.88600000000000001</v>
      </c>
      <c r="Q254" s="1" t="s">
        <v>76</v>
      </c>
      <c r="R254" s="81" t="s">
        <v>169</v>
      </c>
      <c r="S254" s="1">
        <v>1</v>
      </c>
      <c r="T254" s="1" t="s">
        <v>120</v>
      </c>
      <c r="U254" s="1" t="s">
        <v>658</v>
      </c>
      <c r="V254" s="1" t="s">
        <v>655</v>
      </c>
      <c r="W254" s="1">
        <v>11</v>
      </c>
      <c r="X254" s="1" t="s">
        <v>1783</v>
      </c>
      <c r="Y254" s="1" t="s">
        <v>645</v>
      </c>
      <c r="Z254" s="1">
        <v>4.0000000000000001E-3</v>
      </c>
      <c r="AA254" s="1">
        <v>0</v>
      </c>
      <c r="AB254" s="1">
        <v>0</v>
      </c>
      <c r="AC254" s="1">
        <v>2E-3</v>
      </c>
      <c r="AD254" s="1">
        <v>1E-3</v>
      </c>
      <c r="AE254" s="1">
        <v>0</v>
      </c>
      <c r="AF254" s="1">
        <v>1E-3</v>
      </c>
      <c r="AG254" s="1">
        <v>0</v>
      </c>
      <c r="AH254" s="1">
        <v>1E-3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1E-3</v>
      </c>
      <c r="AO254" s="1">
        <v>0</v>
      </c>
      <c r="AP254" s="1">
        <v>0</v>
      </c>
      <c r="AQ254" s="1">
        <v>0</v>
      </c>
      <c r="AR254" s="1">
        <v>4.0000000000000001E-3</v>
      </c>
      <c r="AS254" s="1">
        <v>2E-3</v>
      </c>
      <c r="AT254" s="1">
        <v>0</v>
      </c>
      <c r="AU254" s="1">
        <v>1E-3</v>
      </c>
      <c r="AV254" s="1">
        <v>1E-3</v>
      </c>
      <c r="AW254" s="1">
        <v>0</v>
      </c>
      <c r="AX254" s="1">
        <v>2E-3</v>
      </c>
      <c r="AY254" s="1">
        <v>1E-3</v>
      </c>
      <c r="AZ254" s="1">
        <v>2E-3</v>
      </c>
      <c r="BA254" s="1">
        <v>1E-3</v>
      </c>
      <c r="BB254" s="1">
        <v>0</v>
      </c>
      <c r="BC254" s="1">
        <v>0</v>
      </c>
      <c r="BD254" s="1">
        <v>1E-3</v>
      </c>
      <c r="BE254" s="1">
        <v>2E-3</v>
      </c>
      <c r="BF254" s="1">
        <v>1E-3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1E-3</v>
      </c>
      <c r="BM254" s="1">
        <v>0</v>
      </c>
      <c r="BN254" s="1">
        <v>3.0000000000000001E-3</v>
      </c>
      <c r="BO254" s="1">
        <v>0</v>
      </c>
      <c r="BP254" s="1">
        <v>1E-3</v>
      </c>
      <c r="BQ254" s="1">
        <v>1E-3</v>
      </c>
      <c r="BR254" s="1">
        <v>0</v>
      </c>
      <c r="BS254" s="1">
        <v>7.0000000000000001E-3</v>
      </c>
      <c r="BT254" s="1">
        <v>0</v>
      </c>
      <c r="BU254" s="1">
        <v>2E-3</v>
      </c>
      <c r="BV254" s="1">
        <v>0</v>
      </c>
      <c r="BW254" s="1">
        <v>0</v>
      </c>
      <c r="BX254" s="1">
        <v>3.0000000000000001E-3</v>
      </c>
      <c r="BY254" s="1">
        <v>0</v>
      </c>
      <c r="BZ254" s="1">
        <v>2E-3</v>
      </c>
      <c r="CA254" s="1">
        <v>0</v>
      </c>
      <c r="CB254" s="1">
        <v>4.3999999999999997E-2</v>
      </c>
      <c r="CC254" s="1">
        <v>1E-3</v>
      </c>
      <c r="CD254" s="1">
        <v>0</v>
      </c>
      <c r="CE254" s="1">
        <v>0</v>
      </c>
      <c r="CF254" s="1">
        <v>0</v>
      </c>
      <c r="CG254" s="1">
        <v>1E-3</v>
      </c>
      <c r="CH254" s="1">
        <v>0</v>
      </c>
      <c r="CI254" s="1">
        <v>0</v>
      </c>
      <c r="CJ254" s="1">
        <v>1E-3</v>
      </c>
      <c r="CK254" s="1">
        <v>0.88600000000000001</v>
      </c>
      <c r="CL254" s="1">
        <v>1.4E-2</v>
      </c>
      <c r="CM254" s="1">
        <v>-37.938153190000001</v>
      </c>
      <c r="CN254" s="83">
        <v>-10.268680509999999</v>
      </c>
    </row>
    <row r="255" spans="1:92" s="3" customFormat="1" x14ac:dyDescent="0.25">
      <c r="A255" s="72">
        <v>262</v>
      </c>
      <c r="B255" s="81" t="s">
        <v>1396</v>
      </c>
      <c r="C255" s="1" t="s">
        <v>83</v>
      </c>
      <c r="D255" s="1" t="s">
        <v>73</v>
      </c>
      <c r="E255" s="1" t="s">
        <v>74</v>
      </c>
      <c r="F255" s="1" t="s">
        <v>669</v>
      </c>
      <c r="G255" s="1" t="s">
        <v>76</v>
      </c>
      <c r="H255" s="1" t="s">
        <v>68</v>
      </c>
      <c r="I255" s="1"/>
      <c r="J255" s="9" t="s">
        <v>544</v>
      </c>
      <c r="K255" s="10">
        <v>0.45384000000000002</v>
      </c>
      <c r="L255" s="1" t="s">
        <v>76</v>
      </c>
      <c r="M255" s="1" t="s">
        <v>506</v>
      </c>
      <c r="N255" s="1" t="s">
        <v>645</v>
      </c>
      <c r="O255" s="1" t="s">
        <v>68</v>
      </c>
      <c r="P255" s="82">
        <v>1</v>
      </c>
      <c r="Q255" s="1" t="s">
        <v>76</v>
      </c>
      <c r="R255" s="81" t="s">
        <v>193</v>
      </c>
      <c r="S255" s="1">
        <v>3</v>
      </c>
      <c r="T255" s="1" t="s">
        <v>120</v>
      </c>
      <c r="U255" s="1" t="s">
        <v>658</v>
      </c>
      <c r="V255" s="1" t="s">
        <v>655</v>
      </c>
      <c r="W255" s="1">
        <v>82</v>
      </c>
      <c r="X255" s="1" t="s">
        <v>76</v>
      </c>
      <c r="Y255" s="1" t="s">
        <v>645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1</v>
      </c>
      <c r="CL255" s="1">
        <v>0</v>
      </c>
      <c r="CM255" s="1">
        <v>21.454062310000001</v>
      </c>
      <c r="CN255" s="83">
        <v>-35.694789819999997</v>
      </c>
    </row>
    <row r="256" spans="1:92" s="3" customFormat="1" x14ac:dyDescent="0.25">
      <c r="A256" s="72">
        <v>263</v>
      </c>
      <c r="B256" s="81" t="s">
        <v>1081</v>
      </c>
      <c r="C256" s="1" t="s">
        <v>83</v>
      </c>
      <c r="D256" s="1" t="s">
        <v>73</v>
      </c>
      <c r="E256" s="1" t="s">
        <v>74</v>
      </c>
      <c r="F256" s="1" t="s">
        <v>669</v>
      </c>
      <c r="G256" s="1" t="s">
        <v>76</v>
      </c>
      <c r="H256" s="1" t="s">
        <v>68</v>
      </c>
      <c r="I256" s="1"/>
      <c r="J256" s="9" t="s">
        <v>544</v>
      </c>
      <c r="K256" s="10">
        <v>0.35542433333333301</v>
      </c>
      <c r="L256" s="1" t="s">
        <v>76</v>
      </c>
      <c r="M256" s="1" t="s">
        <v>506</v>
      </c>
      <c r="N256" s="1" t="s">
        <v>645</v>
      </c>
      <c r="O256" s="1" t="s">
        <v>68</v>
      </c>
      <c r="P256" s="82">
        <v>0.997</v>
      </c>
      <c r="Q256" s="1" t="s">
        <v>76</v>
      </c>
      <c r="R256" s="81" t="s">
        <v>254</v>
      </c>
      <c r="S256" s="1">
        <v>3</v>
      </c>
      <c r="T256" s="1" t="s">
        <v>120</v>
      </c>
      <c r="U256" s="1" t="s">
        <v>658</v>
      </c>
      <c r="V256" s="1" t="s">
        <v>655</v>
      </c>
      <c r="W256" s="1">
        <v>72</v>
      </c>
      <c r="X256" s="1" t="s">
        <v>170</v>
      </c>
      <c r="Y256" s="1" t="s">
        <v>645</v>
      </c>
      <c r="Z256" s="1">
        <v>1E-3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0.997</v>
      </c>
      <c r="CL256" s="1">
        <v>0</v>
      </c>
      <c r="CM256" s="1">
        <v>27.835731389999999</v>
      </c>
      <c r="CN256" s="83">
        <v>-55.255039490000001</v>
      </c>
    </row>
    <row r="257" spans="1:92" s="3" customFormat="1" x14ac:dyDescent="0.25">
      <c r="A257" s="72">
        <v>264</v>
      </c>
      <c r="B257" s="81" t="s">
        <v>1155</v>
      </c>
      <c r="C257" s="1" t="s">
        <v>83</v>
      </c>
      <c r="D257" s="1" t="s">
        <v>73</v>
      </c>
      <c r="E257" s="1" t="s">
        <v>74</v>
      </c>
      <c r="F257" s="1" t="s">
        <v>669</v>
      </c>
      <c r="G257" s="1" t="s">
        <v>76</v>
      </c>
      <c r="H257" s="1" t="s">
        <v>68</v>
      </c>
      <c r="I257" s="1"/>
      <c r="J257" s="9" t="s">
        <v>544</v>
      </c>
      <c r="K257" s="10">
        <v>0.33506200000000103</v>
      </c>
      <c r="L257" s="1" t="s">
        <v>641</v>
      </c>
      <c r="M257" s="1" t="s">
        <v>76</v>
      </c>
      <c r="N257" s="1" t="s">
        <v>649</v>
      </c>
      <c r="O257" s="1" t="s">
        <v>68</v>
      </c>
      <c r="P257" s="82">
        <v>0.84599999999999997</v>
      </c>
      <c r="Q257" s="1" t="s">
        <v>76</v>
      </c>
      <c r="R257" s="81" t="s">
        <v>253</v>
      </c>
      <c r="S257" s="1">
        <v>3</v>
      </c>
      <c r="T257" s="1" t="s">
        <v>120</v>
      </c>
      <c r="U257" s="1" t="s">
        <v>658</v>
      </c>
      <c r="V257" s="1" t="s">
        <v>655</v>
      </c>
      <c r="W257" s="1">
        <v>60</v>
      </c>
      <c r="X257" s="1" t="s">
        <v>76</v>
      </c>
      <c r="Y257" s="1" t="s">
        <v>649</v>
      </c>
      <c r="Z257" s="1">
        <v>9.7000000000000003E-2</v>
      </c>
      <c r="AA257" s="1">
        <v>0</v>
      </c>
      <c r="AB257" s="1">
        <v>0</v>
      </c>
      <c r="AC257" s="1">
        <v>2E-3</v>
      </c>
      <c r="AD257" s="1">
        <v>0</v>
      </c>
      <c r="AE257" s="1">
        <v>0</v>
      </c>
      <c r="AF257" s="1">
        <v>0</v>
      </c>
      <c r="AG257" s="1">
        <v>0</v>
      </c>
      <c r="AH257" s="1">
        <v>3.0000000000000001E-3</v>
      </c>
      <c r="AI257" s="1">
        <v>1E-3</v>
      </c>
      <c r="AJ257" s="1">
        <v>0</v>
      </c>
      <c r="AK257" s="1">
        <v>0</v>
      </c>
      <c r="AL257" s="1">
        <v>0</v>
      </c>
      <c r="AM257" s="1">
        <v>0</v>
      </c>
      <c r="AN257" s="1">
        <v>4.0000000000000001E-3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1E-3</v>
      </c>
      <c r="AY257" s="1">
        <v>0</v>
      </c>
      <c r="AZ257" s="1">
        <v>0</v>
      </c>
      <c r="BA257" s="1">
        <v>1E-3</v>
      </c>
      <c r="BB257" s="1">
        <v>0</v>
      </c>
      <c r="BC257" s="1">
        <v>0</v>
      </c>
      <c r="BD257" s="1">
        <v>1E-3</v>
      </c>
      <c r="BE257" s="1">
        <v>0</v>
      </c>
      <c r="BF257" s="1">
        <v>3.1E-2</v>
      </c>
      <c r="BG257" s="1">
        <v>0</v>
      </c>
      <c r="BH257" s="1">
        <v>1E-3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1E-3</v>
      </c>
      <c r="BT257" s="1">
        <v>0</v>
      </c>
      <c r="BU257" s="1">
        <v>0</v>
      </c>
      <c r="BV257" s="1">
        <v>0</v>
      </c>
      <c r="BW257" s="1">
        <v>0</v>
      </c>
      <c r="BX257" s="1">
        <v>2E-3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1E-3</v>
      </c>
      <c r="CH257" s="1">
        <v>0</v>
      </c>
      <c r="CI257" s="1">
        <v>0</v>
      </c>
      <c r="CJ257" s="1">
        <v>0</v>
      </c>
      <c r="CK257" s="1">
        <v>0.84599999999999997</v>
      </c>
      <c r="CL257" s="1">
        <v>1E-3</v>
      </c>
      <c r="CM257" s="1">
        <v>-2.065823145</v>
      </c>
      <c r="CN257" s="83">
        <v>-51.26114896</v>
      </c>
    </row>
    <row r="258" spans="1:92" s="3" customFormat="1" x14ac:dyDescent="0.25">
      <c r="A258" s="72">
        <v>265</v>
      </c>
      <c r="B258" s="81" t="s">
        <v>1071</v>
      </c>
      <c r="C258" s="1" t="s">
        <v>83</v>
      </c>
      <c r="D258" s="1" t="s">
        <v>73</v>
      </c>
      <c r="E258" s="1" t="s">
        <v>74</v>
      </c>
      <c r="F258" s="1" t="s">
        <v>669</v>
      </c>
      <c r="G258" s="1" t="s">
        <v>76</v>
      </c>
      <c r="H258" s="1" t="s">
        <v>68</v>
      </c>
      <c r="I258" s="1"/>
      <c r="J258" s="9" t="s">
        <v>544</v>
      </c>
      <c r="K258" s="10">
        <v>0.485604166666667</v>
      </c>
      <c r="L258" s="1" t="s">
        <v>641</v>
      </c>
      <c r="M258" s="1" t="s">
        <v>76</v>
      </c>
      <c r="N258" s="1" t="s">
        <v>649</v>
      </c>
      <c r="O258" s="1" t="s">
        <v>68</v>
      </c>
      <c r="P258" s="82">
        <v>0.86799999999999999</v>
      </c>
      <c r="Q258" s="1" t="s">
        <v>76</v>
      </c>
      <c r="R258" s="81" t="s">
        <v>129</v>
      </c>
      <c r="S258" s="1">
        <v>3</v>
      </c>
      <c r="T258" s="1" t="s">
        <v>120</v>
      </c>
      <c r="U258" s="1" t="s">
        <v>658</v>
      </c>
      <c r="V258" s="1" t="s">
        <v>655</v>
      </c>
      <c r="W258" s="1">
        <v>36</v>
      </c>
      <c r="X258" s="1" t="s">
        <v>76</v>
      </c>
      <c r="Y258" s="1" t="s">
        <v>645</v>
      </c>
      <c r="Z258" s="1">
        <v>3.0000000000000001E-3</v>
      </c>
      <c r="AA258" s="1">
        <v>5.0000000000000001E-3</v>
      </c>
      <c r="AB258" s="1">
        <v>1E-3</v>
      </c>
      <c r="AC258" s="1">
        <v>2E-3</v>
      </c>
      <c r="AD258" s="1">
        <v>1E-3</v>
      </c>
      <c r="AE258" s="1">
        <v>1E-3</v>
      </c>
      <c r="AF258" s="1">
        <v>1E-3</v>
      </c>
      <c r="AG258" s="1">
        <v>0</v>
      </c>
      <c r="AH258" s="1">
        <v>3.0000000000000001E-3</v>
      </c>
      <c r="AI258" s="1">
        <v>1E-3</v>
      </c>
      <c r="AJ258" s="1">
        <v>0</v>
      </c>
      <c r="AK258" s="1">
        <v>1E-3</v>
      </c>
      <c r="AL258" s="1">
        <v>0</v>
      </c>
      <c r="AM258" s="1">
        <v>0</v>
      </c>
      <c r="AN258" s="1">
        <v>1E-3</v>
      </c>
      <c r="AO258" s="1">
        <v>1E-3</v>
      </c>
      <c r="AP258" s="1">
        <v>0</v>
      </c>
      <c r="AQ258" s="1">
        <v>0</v>
      </c>
      <c r="AR258" s="1">
        <v>3.0000000000000001E-3</v>
      </c>
      <c r="AS258" s="1">
        <v>1E-3</v>
      </c>
      <c r="AT258" s="1">
        <v>1E-3</v>
      </c>
      <c r="AU258" s="1">
        <v>4.2999999999999997E-2</v>
      </c>
      <c r="AV258" s="1">
        <v>1E-3</v>
      </c>
      <c r="AW258" s="1">
        <v>1E-3</v>
      </c>
      <c r="AX258" s="1">
        <v>6.0000000000000001E-3</v>
      </c>
      <c r="AY258" s="1">
        <v>1E-3</v>
      </c>
      <c r="AZ258" s="1">
        <v>1E-3</v>
      </c>
      <c r="BA258" s="1">
        <v>2E-3</v>
      </c>
      <c r="BB258" s="1">
        <v>0</v>
      </c>
      <c r="BC258" s="1">
        <v>0</v>
      </c>
      <c r="BD258" s="1">
        <v>2E-3</v>
      </c>
      <c r="BE258" s="1">
        <v>0</v>
      </c>
      <c r="BF258" s="1">
        <v>1E-3</v>
      </c>
      <c r="BG258" s="1">
        <v>0</v>
      </c>
      <c r="BH258" s="1">
        <v>0</v>
      </c>
      <c r="BI258" s="1">
        <v>0</v>
      </c>
      <c r="BJ258" s="1">
        <v>0</v>
      </c>
      <c r="BK258" s="1">
        <v>1E-3</v>
      </c>
      <c r="BL258" s="1">
        <v>2E-3</v>
      </c>
      <c r="BM258" s="1">
        <v>1E-3</v>
      </c>
      <c r="BN258" s="1">
        <v>1E-3</v>
      </c>
      <c r="BO258" s="1">
        <v>0</v>
      </c>
      <c r="BP258" s="1">
        <v>1E-3</v>
      </c>
      <c r="BQ258" s="1">
        <v>1E-3</v>
      </c>
      <c r="BR258" s="1">
        <v>1E-3</v>
      </c>
      <c r="BS258" s="1">
        <v>1.6E-2</v>
      </c>
      <c r="BT258" s="1">
        <v>0</v>
      </c>
      <c r="BU258" s="1">
        <v>1E-3</v>
      </c>
      <c r="BV258" s="1">
        <v>0</v>
      </c>
      <c r="BW258" s="1">
        <v>1E-3</v>
      </c>
      <c r="BX258" s="1">
        <v>4.0000000000000001E-3</v>
      </c>
      <c r="BY258" s="1">
        <v>2E-3</v>
      </c>
      <c r="BZ258" s="1">
        <v>2E-3</v>
      </c>
      <c r="CA258" s="1">
        <v>1E-3</v>
      </c>
      <c r="CB258" s="1">
        <v>0</v>
      </c>
      <c r="CC258" s="1">
        <v>1E-3</v>
      </c>
      <c r="CD258" s="1">
        <v>0</v>
      </c>
      <c r="CE258" s="1">
        <v>1E-3</v>
      </c>
      <c r="CF258" s="1">
        <v>1E-3</v>
      </c>
      <c r="CG258" s="1">
        <v>1E-3</v>
      </c>
      <c r="CH258" s="1">
        <v>1E-3</v>
      </c>
      <c r="CI258" s="1">
        <v>1E-3</v>
      </c>
      <c r="CJ258" s="1">
        <v>1E-3</v>
      </c>
      <c r="CK258" s="1">
        <v>0.86799999999999999</v>
      </c>
      <c r="CL258" s="1">
        <v>3.0000000000000001E-3</v>
      </c>
      <c r="CM258" s="1">
        <v>50.696860870000002</v>
      </c>
      <c r="CN258" s="83">
        <v>-34.356927210000002</v>
      </c>
    </row>
    <row r="259" spans="1:92" s="3" customFormat="1" x14ac:dyDescent="0.25">
      <c r="A259" s="72">
        <v>758</v>
      </c>
      <c r="B259" s="81" t="s">
        <v>725</v>
      </c>
      <c r="C259" s="1" t="s">
        <v>83</v>
      </c>
      <c r="D259" s="1" t="s">
        <v>73</v>
      </c>
      <c r="E259" s="1" t="s">
        <v>74</v>
      </c>
      <c r="F259" s="1" t="s">
        <v>267</v>
      </c>
      <c r="G259" s="1" t="s">
        <v>139</v>
      </c>
      <c r="H259" s="1" t="s">
        <v>13</v>
      </c>
      <c r="I259" s="1"/>
      <c r="J259" s="9" t="s">
        <v>544</v>
      </c>
      <c r="K259" s="10">
        <v>0.39972983333333401</v>
      </c>
      <c r="L259" s="1" t="s">
        <v>578</v>
      </c>
      <c r="M259" s="1" t="s">
        <v>506</v>
      </c>
      <c r="N259" s="96" t="s">
        <v>647</v>
      </c>
      <c r="O259" s="1" t="s">
        <v>68</v>
      </c>
      <c r="P259" s="82">
        <v>0.998</v>
      </c>
      <c r="Q259" s="1" t="s">
        <v>76</v>
      </c>
      <c r="R259" s="81" t="s">
        <v>100</v>
      </c>
      <c r="S259" s="1" t="s">
        <v>76</v>
      </c>
      <c r="T259" s="1" t="s">
        <v>78</v>
      </c>
      <c r="U259" s="1" t="s">
        <v>658</v>
      </c>
      <c r="V259" s="1" t="s">
        <v>655</v>
      </c>
      <c r="W259" s="1">
        <v>80</v>
      </c>
      <c r="X259" s="1" t="s">
        <v>411</v>
      </c>
      <c r="Y259" s="1" t="s">
        <v>647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0.998</v>
      </c>
      <c r="CL259" s="1">
        <v>0</v>
      </c>
      <c r="CM259" s="1">
        <v>26.728643730000002</v>
      </c>
      <c r="CN259" s="83">
        <v>-60.34488588</v>
      </c>
    </row>
    <row r="260" spans="1:92" s="3" customFormat="1" x14ac:dyDescent="0.25">
      <c r="A260" s="72">
        <v>267</v>
      </c>
      <c r="B260" s="81" t="s">
        <v>1331</v>
      </c>
      <c r="C260" s="1" t="s">
        <v>83</v>
      </c>
      <c r="D260" s="1" t="s">
        <v>73</v>
      </c>
      <c r="E260" s="1" t="s">
        <v>74</v>
      </c>
      <c r="F260" s="1" t="s">
        <v>669</v>
      </c>
      <c r="G260" s="1" t="s">
        <v>76</v>
      </c>
      <c r="H260" s="1" t="s">
        <v>68</v>
      </c>
      <c r="I260" s="1"/>
      <c r="J260" s="9" t="s">
        <v>544</v>
      </c>
      <c r="K260" s="10">
        <v>0.54094233333333297</v>
      </c>
      <c r="L260" s="1" t="s">
        <v>641</v>
      </c>
      <c r="M260" s="1" t="s">
        <v>76</v>
      </c>
      <c r="N260" s="1" t="s">
        <v>649</v>
      </c>
      <c r="O260" s="1" t="s">
        <v>68</v>
      </c>
      <c r="P260" s="82">
        <v>0.51300000000000001</v>
      </c>
      <c r="Q260" s="1" t="s">
        <v>76</v>
      </c>
      <c r="R260" s="81" t="s">
        <v>171</v>
      </c>
      <c r="S260" s="1">
        <v>3</v>
      </c>
      <c r="T260" s="1" t="s">
        <v>120</v>
      </c>
      <c r="U260" s="1" t="s">
        <v>659</v>
      </c>
      <c r="V260" s="1" t="s">
        <v>655</v>
      </c>
      <c r="W260" s="1">
        <v>77</v>
      </c>
      <c r="X260" s="1" t="s">
        <v>76</v>
      </c>
      <c r="Y260" s="1" t="s">
        <v>649</v>
      </c>
      <c r="Z260" s="1">
        <v>3.0000000000000001E-3</v>
      </c>
      <c r="AA260" s="1">
        <v>4.0000000000000001E-3</v>
      </c>
      <c r="AB260" s="1">
        <v>3.0000000000000001E-3</v>
      </c>
      <c r="AC260" s="1">
        <v>6.0000000000000001E-3</v>
      </c>
      <c r="AD260" s="1">
        <v>3.0000000000000001E-3</v>
      </c>
      <c r="AE260" s="1">
        <v>2E-3</v>
      </c>
      <c r="AF260" s="1">
        <v>4.0000000000000001E-3</v>
      </c>
      <c r="AG260" s="1">
        <v>0</v>
      </c>
      <c r="AH260" s="1">
        <v>8.9999999999999993E-3</v>
      </c>
      <c r="AI260" s="1">
        <v>2E-3</v>
      </c>
      <c r="AJ260" s="1">
        <v>1E-3</v>
      </c>
      <c r="AK260" s="1">
        <v>4.0000000000000001E-3</v>
      </c>
      <c r="AL260" s="1">
        <v>2E-3</v>
      </c>
      <c r="AM260" s="1">
        <v>1E-3</v>
      </c>
      <c r="AN260" s="1">
        <v>2E-3</v>
      </c>
      <c r="AO260" s="1">
        <v>2E-3</v>
      </c>
      <c r="AP260" s="1">
        <v>2E-3</v>
      </c>
      <c r="AQ260" s="1">
        <v>2E-3</v>
      </c>
      <c r="AR260" s="1">
        <v>3.0000000000000001E-3</v>
      </c>
      <c r="AS260" s="1">
        <v>8.0000000000000002E-3</v>
      </c>
      <c r="AT260" s="1">
        <v>4.0000000000000001E-3</v>
      </c>
      <c r="AU260" s="1">
        <v>6.0000000000000001E-3</v>
      </c>
      <c r="AV260" s="1">
        <v>4.0000000000000001E-3</v>
      </c>
      <c r="AW260" s="1">
        <v>1.2E-2</v>
      </c>
      <c r="AX260" s="1">
        <v>4.2999999999999997E-2</v>
      </c>
      <c r="AY260" s="1">
        <v>8.9999999999999993E-3</v>
      </c>
      <c r="AZ260" s="1">
        <v>7.0000000000000001E-3</v>
      </c>
      <c r="BA260" s="1">
        <v>1.7999999999999999E-2</v>
      </c>
      <c r="BB260" s="1">
        <v>2E-3</v>
      </c>
      <c r="BC260" s="1">
        <v>1E-3</v>
      </c>
      <c r="BD260" s="1">
        <v>1.2999999999999999E-2</v>
      </c>
      <c r="BE260" s="1">
        <v>2E-3</v>
      </c>
      <c r="BF260" s="1">
        <v>2E-3</v>
      </c>
      <c r="BG260" s="1">
        <v>2E-3</v>
      </c>
      <c r="BH260" s="1">
        <v>2E-3</v>
      </c>
      <c r="BI260" s="1">
        <v>3.0000000000000001E-3</v>
      </c>
      <c r="BJ260" s="1">
        <v>2E-3</v>
      </c>
      <c r="BK260" s="1">
        <v>2E-3</v>
      </c>
      <c r="BL260" s="1">
        <v>1.4999999999999999E-2</v>
      </c>
      <c r="BM260" s="1">
        <v>3.0000000000000001E-3</v>
      </c>
      <c r="BN260" s="1">
        <v>3.0000000000000001E-3</v>
      </c>
      <c r="BO260" s="1">
        <v>1E-3</v>
      </c>
      <c r="BP260" s="1">
        <v>1E-3</v>
      </c>
      <c r="BQ260" s="1">
        <v>1.4999999999999999E-2</v>
      </c>
      <c r="BR260" s="1">
        <v>3.0000000000000001E-3</v>
      </c>
      <c r="BS260" s="1">
        <v>3.0000000000000001E-3</v>
      </c>
      <c r="BT260" s="1">
        <v>2E-3</v>
      </c>
      <c r="BU260" s="1">
        <v>1.2999999999999999E-2</v>
      </c>
      <c r="BV260" s="1">
        <v>1E-3</v>
      </c>
      <c r="BW260" s="1">
        <v>4.0000000000000001E-3</v>
      </c>
      <c r="BX260" s="1">
        <v>7.0000000000000001E-3</v>
      </c>
      <c r="BY260" s="1">
        <v>7.0000000000000001E-3</v>
      </c>
      <c r="BZ260" s="1">
        <v>1.0999999999999999E-2</v>
      </c>
      <c r="CA260" s="1">
        <v>6.0000000000000001E-3</v>
      </c>
      <c r="CB260" s="1">
        <v>2E-3</v>
      </c>
      <c r="CC260" s="1">
        <v>3.0000000000000001E-3</v>
      </c>
      <c r="CD260" s="1">
        <v>0</v>
      </c>
      <c r="CE260" s="1">
        <v>2E-3</v>
      </c>
      <c r="CF260" s="1">
        <v>2E-3</v>
      </c>
      <c r="CG260" s="1">
        <v>5.0000000000000001E-3</v>
      </c>
      <c r="CH260" s="1">
        <v>4.0000000000000001E-3</v>
      </c>
      <c r="CI260" s="1">
        <v>4.0000000000000001E-3</v>
      </c>
      <c r="CJ260" s="1">
        <v>8.9999999999999993E-3</v>
      </c>
      <c r="CK260" s="1">
        <v>0.51300000000000001</v>
      </c>
      <c r="CL260" s="1">
        <v>0.16200000000000001</v>
      </c>
      <c r="CM260" s="1">
        <v>28.183416279999999</v>
      </c>
      <c r="CN260" s="83">
        <v>-75.18457171</v>
      </c>
    </row>
    <row r="261" spans="1:92" s="3" customFormat="1" x14ac:dyDescent="0.25">
      <c r="A261" s="72">
        <v>268</v>
      </c>
      <c r="B261" s="81" t="s">
        <v>1408</v>
      </c>
      <c r="C261" s="1" t="s">
        <v>83</v>
      </c>
      <c r="D261" s="1" t="s">
        <v>73</v>
      </c>
      <c r="E261" s="1" t="s">
        <v>99</v>
      </c>
      <c r="F261" s="1" t="s">
        <v>256</v>
      </c>
      <c r="G261" s="1" t="s">
        <v>76</v>
      </c>
      <c r="H261" s="1" t="s">
        <v>531</v>
      </c>
      <c r="I261" s="1"/>
      <c r="J261" s="9" t="s">
        <v>506</v>
      </c>
      <c r="K261" s="10">
        <v>0.35532166666666698</v>
      </c>
      <c r="L261" s="1" t="s">
        <v>641</v>
      </c>
      <c r="M261" s="1" t="s">
        <v>76</v>
      </c>
      <c r="N261" s="1" t="s">
        <v>644</v>
      </c>
      <c r="O261" s="1" t="s">
        <v>69</v>
      </c>
      <c r="P261" s="82">
        <v>0.77400000000000002</v>
      </c>
      <c r="Q261" s="1" t="s">
        <v>76</v>
      </c>
      <c r="R261" s="81" t="s">
        <v>254</v>
      </c>
      <c r="S261" s="1">
        <v>1</v>
      </c>
      <c r="T261" s="1" t="s">
        <v>120</v>
      </c>
      <c r="U261" s="1" t="s">
        <v>658</v>
      </c>
      <c r="V261" s="1" t="s">
        <v>655</v>
      </c>
      <c r="W261" s="1">
        <v>48</v>
      </c>
      <c r="X261" s="1" t="s">
        <v>257</v>
      </c>
      <c r="Y261" s="1" t="s">
        <v>644</v>
      </c>
      <c r="Z261" s="1">
        <v>2.1999999999999999E-2</v>
      </c>
      <c r="AA261" s="1">
        <v>1E-3</v>
      </c>
      <c r="AB261" s="1">
        <v>1E-3</v>
      </c>
      <c r="AC261" s="1">
        <v>2E-3</v>
      </c>
      <c r="AD261" s="1">
        <v>1E-3</v>
      </c>
      <c r="AE261" s="1">
        <v>1E-3</v>
      </c>
      <c r="AF261" s="1">
        <v>1E-3</v>
      </c>
      <c r="AG261" s="1">
        <v>0</v>
      </c>
      <c r="AH261" s="1">
        <v>4.0000000000000001E-3</v>
      </c>
      <c r="AI261" s="1">
        <v>0</v>
      </c>
      <c r="AJ261" s="1">
        <v>0</v>
      </c>
      <c r="AK261" s="1">
        <v>1E-3</v>
      </c>
      <c r="AL261" s="1">
        <v>0</v>
      </c>
      <c r="AM261" s="1">
        <v>1E-3</v>
      </c>
      <c r="AN261" s="1">
        <v>2E-3</v>
      </c>
      <c r="AO261" s="1">
        <v>0</v>
      </c>
      <c r="AP261" s="1">
        <v>0</v>
      </c>
      <c r="AQ261" s="1">
        <v>0</v>
      </c>
      <c r="AR261" s="1">
        <v>1E-3</v>
      </c>
      <c r="AS261" s="1">
        <v>1E-3</v>
      </c>
      <c r="AT261" s="1">
        <v>1E-3</v>
      </c>
      <c r="AU261" s="1">
        <v>2E-3</v>
      </c>
      <c r="AV261" s="1">
        <v>1E-3</v>
      </c>
      <c r="AW261" s="1">
        <v>1E-3</v>
      </c>
      <c r="AX261" s="1">
        <v>3.0000000000000001E-3</v>
      </c>
      <c r="AY261" s="1">
        <v>2E-3</v>
      </c>
      <c r="AZ261" s="1">
        <v>3.0000000000000001E-3</v>
      </c>
      <c r="BA261" s="1">
        <v>3.0000000000000001E-3</v>
      </c>
      <c r="BB261" s="1">
        <v>0</v>
      </c>
      <c r="BC261" s="1">
        <v>0</v>
      </c>
      <c r="BD261" s="1">
        <v>6.0000000000000001E-3</v>
      </c>
      <c r="BE261" s="1">
        <v>0</v>
      </c>
      <c r="BF261" s="1">
        <v>6.0000000000000001E-3</v>
      </c>
      <c r="BG261" s="1">
        <v>0</v>
      </c>
      <c r="BH261" s="1">
        <v>1E-3</v>
      </c>
      <c r="BI261" s="1">
        <v>0</v>
      </c>
      <c r="BJ261" s="1">
        <v>3.0000000000000001E-3</v>
      </c>
      <c r="BK261" s="1">
        <v>0</v>
      </c>
      <c r="BL261" s="1">
        <v>2E-3</v>
      </c>
      <c r="BM261" s="1">
        <v>0</v>
      </c>
      <c r="BN261" s="1">
        <v>1E-3</v>
      </c>
      <c r="BO261" s="1">
        <v>0</v>
      </c>
      <c r="BP261" s="1">
        <v>1E-3</v>
      </c>
      <c r="BQ261" s="1">
        <v>1E-3</v>
      </c>
      <c r="BR261" s="1">
        <v>1E-3</v>
      </c>
      <c r="BS261" s="1">
        <v>2E-3</v>
      </c>
      <c r="BT261" s="1">
        <v>1E-3</v>
      </c>
      <c r="BU261" s="1">
        <v>4.2999999999999997E-2</v>
      </c>
      <c r="BV261" s="1">
        <v>0</v>
      </c>
      <c r="BW261" s="1">
        <v>1E-3</v>
      </c>
      <c r="BX261" s="1">
        <v>2E-3</v>
      </c>
      <c r="BY261" s="1">
        <v>2E-3</v>
      </c>
      <c r="BZ261" s="1">
        <v>3.0000000000000001E-3</v>
      </c>
      <c r="CA261" s="1">
        <v>1E-3</v>
      </c>
      <c r="CB261" s="1">
        <v>0</v>
      </c>
      <c r="CC261" s="1">
        <v>1E-3</v>
      </c>
      <c r="CD261" s="1">
        <v>0</v>
      </c>
      <c r="CE261" s="1">
        <v>1E-3</v>
      </c>
      <c r="CF261" s="1">
        <v>1E-3</v>
      </c>
      <c r="CG261" s="1">
        <v>1E-3</v>
      </c>
      <c r="CH261" s="1">
        <v>1E-3</v>
      </c>
      <c r="CI261" s="1">
        <v>1E-3</v>
      </c>
      <c r="CJ261" s="1">
        <v>1E-3</v>
      </c>
      <c r="CK261" s="1">
        <v>8.6999999999999994E-2</v>
      </c>
      <c r="CL261" s="1">
        <v>0.77400000000000002</v>
      </c>
      <c r="CM261" s="1">
        <v>-56.548199959999998</v>
      </c>
      <c r="CN261" s="83">
        <v>-26.940464800000001</v>
      </c>
    </row>
    <row r="262" spans="1:92" s="3" customFormat="1" x14ac:dyDescent="0.25">
      <c r="A262" s="72">
        <v>269</v>
      </c>
      <c r="B262" s="81" t="s">
        <v>1361</v>
      </c>
      <c r="C262" s="1" t="s">
        <v>83</v>
      </c>
      <c r="D262" s="1" t="s">
        <v>73</v>
      </c>
      <c r="E262" s="1" t="s">
        <v>99</v>
      </c>
      <c r="F262" s="1" t="s">
        <v>669</v>
      </c>
      <c r="G262" s="1" t="s">
        <v>76</v>
      </c>
      <c r="H262" s="1" t="s">
        <v>68</v>
      </c>
      <c r="I262" s="1"/>
      <c r="J262" s="9" t="s">
        <v>544</v>
      </c>
      <c r="K262" s="10">
        <v>0.50806249999999997</v>
      </c>
      <c r="L262" s="1" t="s">
        <v>641</v>
      </c>
      <c r="M262" s="1" t="s">
        <v>76</v>
      </c>
      <c r="N262" s="1" t="s">
        <v>644</v>
      </c>
      <c r="O262" s="1" t="s">
        <v>69</v>
      </c>
      <c r="P262" s="82">
        <v>0.72099999999999997</v>
      </c>
      <c r="Q262" s="1" t="s">
        <v>76</v>
      </c>
      <c r="R262" s="81" t="s">
        <v>193</v>
      </c>
      <c r="S262" s="1">
        <v>2</v>
      </c>
      <c r="T262" s="1" t="s">
        <v>120</v>
      </c>
      <c r="U262" s="1" t="s">
        <v>658</v>
      </c>
      <c r="V262" s="1" t="s">
        <v>655</v>
      </c>
      <c r="W262" s="1">
        <v>72</v>
      </c>
      <c r="X262" s="1" t="s">
        <v>258</v>
      </c>
      <c r="Y262" s="1" t="s">
        <v>644</v>
      </c>
      <c r="Z262" s="1">
        <v>2E-3</v>
      </c>
      <c r="AA262" s="1">
        <v>1E-3</v>
      </c>
      <c r="AB262" s="1">
        <v>1E-3</v>
      </c>
      <c r="AC262" s="1">
        <v>1E-3</v>
      </c>
      <c r="AD262" s="1">
        <v>1E-3</v>
      </c>
      <c r="AE262" s="1">
        <v>0</v>
      </c>
      <c r="AF262" s="1">
        <v>1E-3</v>
      </c>
      <c r="AG262" s="1">
        <v>0</v>
      </c>
      <c r="AH262" s="1">
        <v>1E-3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4.0000000000000001E-3</v>
      </c>
      <c r="AS262" s="1">
        <v>1E-3</v>
      </c>
      <c r="AT262" s="1">
        <v>1E-3</v>
      </c>
      <c r="AU262" s="1">
        <v>1E-3</v>
      </c>
      <c r="AV262" s="1">
        <v>1E-3</v>
      </c>
      <c r="AW262" s="1">
        <v>0</v>
      </c>
      <c r="AX262" s="1">
        <v>3.0000000000000001E-3</v>
      </c>
      <c r="AY262" s="1">
        <v>1E-3</v>
      </c>
      <c r="AZ262" s="1">
        <v>2E-3</v>
      </c>
      <c r="BA262" s="1">
        <v>2E-3</v>
      </c>
      <c r="BB262" s="1">
        <v>0</v>
      </c>
      <c r="BC262" s="1">
        <v>0</v>
      </c>
      <c r="BD262" s="1">
        <v>2E-3</v>
      </c>
      <c r="BE262" s="1">
        <v>1E-3</v>
      </c>
      <c r="BF262" s="1">
        <v>1E-3</v>
      </c>
      <c r="BG262" s="1">
        <v>0</v>
      </c>
      <c r="BH262" s="1">
        <v>0</v>
      </c>
      <c r="BI262" s="1">
        <v>0</v>
      </c>
      <c r="BJ262" s="1">
        <v>2E-3</v>
      </c>
      <c r="BK262" s="1">
        <v>0</v>
      </c>
      <c r="BL262" s="1">
        <v>1E-3</v>
      </c>
      <c r="BM262" s="1">
        <v>0</v>
      </c>
      <c r="BN262" s="1">
        <v>1E-3</v>
      </c>
      <c r="BO262" s="1">
        <v>0</v>
      </c>
      <c r="BP262" s="1">
        <v>2E-3</v>
      </c>
      <c r="BQ262" s="1">
        <v>1.7999999999999999E-2</v>
      </c>
      <c r="BR262" s="1">
        <v>0</v>
      </c>
      <c r="BS262" s="1">
        <v>1E-3</v>
      </c>
      <c r="BT262" s="1">
        <v>0</v>
      </c>
      <c r="BU262" s="1">
        <v>4.0000000000000001E-3</v>
      </c>
      <c r="BV262" s="1">
        <v>0</v>
      </c>
      <c r="BW262" s="1">
        <v>1E-3</v>
      </c>
      <c r="BX262" s="1">
        <v>1E-3</v>
      </c>
      <c r="BY262" s="1">
        <v>1E-3</v>
      </c>
      <c r="BZ262" s="1">
        <v>5.0000000000000001E-3</v>
      </c>
      <c r="CA262" s="1">
        <v>1E-3</v>
      </c>
      <c r="CB262" s="1">
        <v>2E-3</v>
      </c>
      <c r="CC262" s="1">
        <v>1E-3</v>
      </c>
      <c r="CD262" s="1">
        <v>0</v>
      </c>
      <c r="CE262" s="1">
        <v>0</v>
      </c>
      <c r="CF262" s="1">
        <v>0</v>
      </c>
      <c r="CG262" s="1">
        <v>1E-3</v>
      </c>
      <c r="CH262" s="1">
        <v>1E-3</v>
      </c>
      <c r="CI262" s="1">
        <v>0</v>
      </c>
      <c r="CJ262" s="1">
        <v>1E-3</v>
      </c>
      <c r="CK262" s="1">
        <v>0.20200000000000001</v>
      </c>
      <c r="CL262" s="1">
        <v>0.72099999999999997</v>
      </c>
      <c r="CM262" s="1">
        <v>-65.113003640000002</v>
      </c>
      <c r="CN262" s="83">
        <v>26.310232379999999</v>
      </c>
    </row>
    <row r="263" spans="1:92" s="3" customFormat="1" x14ac:dyDescent="0.25">
      <c r="A263" s="72">
        <v>270</v>
      </c>
      <c r="B263" s="81" t="s">
        <v>1039</v>
      </c>
      <c r="C263" s="1" t="s">
        <v>83</v>
      </c>
      <c r="D263" s="1" t="s">
        <v>73</v>
      </c>
      <c r="E263" s="1" t="s">
        <v>74</v>
      </c>
      <c r="F263" s="1" t="s">
        <v>669</v>
      </c>
      <c r="G263" s="1" t="s">
        <v>76</v>
      </c>
      <c r="H263" s="1" t="s">
        <v>68</v>
      </c>
      <c r="I263" s="1"/>
      <c r="J263" s="9" t="s">
        <v>544</v>
      </c>
      <c r="K263" s="10">
        <v>0.54309399999999897</v>
      </c>
      <c r="L263" s="1" t="s">
        <v>76</v>
      </c>
      <c r="M263" s="1" t="s">
        <v>506</v>
      </c>
      <c r="N263" s="1" t="s">
        <v>645</v>
      </c>
      <c r="O263" s="1" t="s">
        <v>68</v>
      </c>
      <c r="P263" s="82">
        <v>0.98699999999999999</v>
      </c>
      <c r="Q263" s="1" t="s">
        <v>76</v>
      </c>
      <c r="R263" s="81" t="s">
        <v>129</v>
      </c>
      <c r="S263" s="1">
        <v>3</v>
      </c>
      <c r="T263" s="1" t="s">
        <v>120</v>
      </c>
      <c r="U263" s="1" t="s">
        <v>658</v>
      </c>
      <c r="V263" s="1" t="s">
        <v>655</v>
      </c>
      <c r="W263" s="1">
        <v>57</v>
      </c>
      <c r="X263" s="1" t="s">
        <v>76</v>
      </c>
      <c r="Y263" s="1" t="s">
        <v>645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6.0000000000000001E-3</v>
      </c>
      <c r="AV263" s="1">
        <v>0</v>
      </c>
      <c r="AW263" s="1">
        <v>0</v>
      </c>
      <c r="AX263" s="1">
        <v>1E-3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1E-3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1E-3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0.98699999999999999</v>
      </c>
      <c r="CL263" s="1">
        <v>0</v>
      </c>
      <c r="CM263" s="1">
        <v>45.998771189999999</v>
      </c>
      <c r="CN263" s="83">
        <v>-27.912762310000002</v>
      </c>
    </row>
    <row r="264" spans="1:92" s="3" customFormat="1" x14ac:dyDescent="0.25">
      <c r="A264" s="72">
        <v>271</v>
      </c>
      <c r="B264" s="81" t="s">
        <v>1174</v>
      </c>
      <c r="C264" s="1" t="s">
        <v>83</v>
      </c>
      <c r="D264" s="1" t="s">
        <v>73</v>
      </c>
      <c r="E264" s="1" t="s">
        <v>74</v>
      </c>
      <c r="F264" s="1" t="s">
        <v>669</v>
      </c>
      <c r="G264" s="1" t="s">
        <v>76</v>
      </c>
      <c r="H264" s="1" t="s">
        <v>68</v>
      </c>
      <c r="I264" s="1"/>
      <c r="J264" s="9" t="s">
        <v>544</v>
      </c>
      <c r="K264" s="10">
        <v>0.47489783333333402</v>
      </c>
      <c r="L264" s="1" t="s">
        <v>76</v>
      </c>
      <c r="M264" s="1" t="s">
        <v>506</v>
      </c>
      <c r="N264" s="1" t="s">
        <v>645</v>
      </c>
      <c r="O264" s="1" t="s">
        <v>68</v>
      </c>
      <c r="P264" s="82">
        <v>1</v>
      </c>
      <c r="Q264" s="1" t="s">
        <v>76</v>
      </c>
      <c r="R264" s="81" t="s">
        <v>169</v>
      </c>
      <c r="S264" s="1">
        <v>3</v>
      </c>
      <c r="T264" s="1" t="s">
        <v>120</v>
      </c>
      <c r="U264" s="1" t="s">
        <v>658</v>
      </c>
      <c r="V264" s="1" t="s">
        <v>655</v>
      </c>
      <c r="W264" s="1">
        <v>87</v>
      </c>
      <c r="X264" s="1" t="s">
        <v>76</v>
      </c>
      <c r="Y264" s="1" t="s">
        <v>645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1</v>
      </c>
      <c r="CL264" s="1">
        <v>0</v>
      </c>
      <c r="CM264" s="1">
        <v>46.984304690000002</v>
      </c>
      <c r="CN264" s="83">
        <v>-45.930927420000003</v>
      </c>
    </row>
    <row r="265" spans="1:92" s="3" customFormat="1" x14ac:dyDescent="0.25">
      <c r="A265" s="72">
        <v>272</v>
      </c>
      <c r="B265" s="81" t="s">
        <v>1336</v>
      </c>
      <c r="C265" s="1" t="s">
        <v>83</v>
      </c>
      <c r="D265" s="1" t="s">
        <v>73</v>
      </c>
      <c r="E265" s="1" t="s">
        <v>99</v>
      </c>
      <c r="F265" s="1" t="s">
        <v>669</v>
      </c>
      <c r="G265" s="1" t="s">
        <v>76</v>
      </c>
      <c r="H265" s="1" t="s">
        <v>68</v>
      </c>
      <c r="I265" s="1"/>
      <c r="J265" s="9" t="s">
        <v>544</v>
      </c>
      <c r="K265" s="10">
        <v>0.32183149999999999</v>
      </c>
      <c r="L265" s="1" t="s">
        <v>641</v>
      </c>
      <c r="M265" s="1" t="s">
        <v>76</v>
      </c>
      <c r="N265" s="1" t="s">
        <v>644</v>
      </c>
      <c r="O265" s="1" t="s">
        <v>37</v>
      </c>
      <c r="P265" s="82">
        <v>0.751</v>
      </c>
      <c r="Q265" s="1" t="s">
        <v>76</v>
      </c>
      <c r="R265" s="81" t="s">
        <v>129</v>
      </c>
      <c r="S265" s="1">
        <v>3</v>
      </c>
      <c r="T265" s="1" t="s">
        <v>120</v>
      </c>
      <c r="U265" s="1" t="s">
        <v>658</v>
      </c>
      <c r="V265" s="1" t="s">
        <v>655</v>
      </c>
      <c r="W265" s="1">
        <v>66</v>
      </c>
      <c r="X265" s="1" t="s">
        <v>76</v>
      </c>
      <c r="Y265" s="1" t="s">
        <v>644</v>
      </c>
      <c r="Z265" s="1">
        <v>7.0000000000000001E-3</v>
      </c>
      <c r="AA265" s="1">
        <v>1E-3</v>
      </c>
      <c r="AB265" s="1">
        <v>1E-3</v>
      </c>
      <c r="AC265" s="1">
        <v>1.2E-2</v>
      </c>
      <c r="AD265" s="1">
        <v>2E-3</v>
      </c>
      <c r="AE265" s="1">
        <v>1E-3</v>
      </c>
      <c r="AF265" s="1">
        <v>1E-3</v>
      </c>
      <c r="AG265" s="1">
        <v>0</v>
      </c>
      <c r="AH265" s="1">
        <v>5.0000000000000001E-3</v>
      </c>
      <c r="AI265" s="1">
        <v>5.0000000000000001E-3</v>
      </c>
      <c r="AJ265" s="1">
        <v>0</v>
      </c>
      <c r="AK265" s="1">
        <v>1E-3</v>
      </c>
      <c r="AL265" s="1">
        <v>0</v>
      </c>
      <c r="AM265" s="1">
        <v>0</v>
      </c>
      <c r="AN265" s="1">
        <v>3.4000000000000002E-2</v>
      </c>
      <c r="AO265" s="1">
        <v>1E-3</v>
      </c>
      <c r="AP265" s="1">
        <v>1E-3</v>
      </c>
      <c r="AQ265" s="1">
        <v>0</v>
      </c>
      <c r="AR265" s="1">
        <v>1E-3</v>
      </c>
      <c r="AS265" s="1">
        <v>1E-3</v>
      </c>
      <c r="AT265" s="1">
        <v>1E-3</v>
      </c>
      <c r="AU265" s="1">
        <v>1E-3</v>
      </c>
      <c r="AV265" s="1">
        <v>1E-3</v>
      </c>
      <c r="AW265" s="1">
        <v>1E-3</v>
      </c>
      <c r="AX265" s="1">
        <v>4.0000000000000001E-3</v>
      </c>
      <c r="AY265" s="1">
        <v>2E-3</v>
      </c>
      <c r="AZ265" s="1">
        <v>1E-3</v>
      </c>
      <c r="BA265" s="1">
        <v>3.0000000000000001E-3</v>
      </c>
      <c r="BB265" s="1">
        <v>1E-3</v>
      </c>
      <c r="BC265" s="1">
        <v>1E-3</v>
      </c>
      <c r="BD265" s="1">
        <v>4.0000000000000001E-3</v>
      </c>
      <c r="BE265" s="1">
        <v>1E-3</v>
      </c>
      <c r="BF265" s="1">
        <v>0.751</v>
      </c>
      <c r="BG265" s="1">
        <v>0</v>
      </c>
      <c r="BH265" s="1">
        <v>2.4E-2</v>
      </c>
      <c r="BI265" s="1">
        <v>0</v>
      </c>
      <c r="BJ265" s="1">
        <v>0</v>
      </c>
      <c r="BK265" s="1">
        <v>0</v>
      </c>
      <c r="BL265" s="1">
        <v>1E-3</v>
      </c>
      <c r="BM265" s="1">
        <v>1E-3</v>
      </c>
      <c r="BN265" s="1">
        <v>1E-3</v>
      </c>
      <c r="BO265" s="1">
        <v>0</v>
      </c>
      <c r="BP265" s="1">
        <v>0</v>
      </c>
      <c r="BQ265" s="1">
        <v>1E-3</v>
      </c>
      <c r="BR265" s="1">
        <v>1E-3</v>
      </c>
      <c r="BS265" s="1">
        <v>1E-3</v>
      </c>
      <c r="BT265" s="1">
        <v>0</v>
      </c>
      <c r="BU265" s="1">
        <v>1E-3</v>
      </c>
      <c r="BV265" s="1">
        <v>0</v>
      </c>
      <c r="BW265" s="1">
        <v>1E-3</v>
      </c>
      <c r="BX265" s="1">
        <v>1.2E-2</v>
      </c>
      <c r="BY265" s="1">
        <v>2E-3</v>
      </c>
      <c r="BZ265" s="1">
        <v>1E-3</v>
      </c>
      <c r="CA265" s="1">
        <v>1E-3</v>
      </c>
      <c r="CB265" s="1">
        <v>0</v>
      </c>
      <c r="CC265" s="1">
        <v>1E-3</v>
      </c>
      <c r="CD265" s="1">
        <v>0</v>
      </c>
      <c r="CE265" s="1">
        <v>1E-3</v>
      </c>
      <c r="CF265" s="1">
        <v>1E-3</v>
      </c>
      <c r="CG265" s="1">
        <v>2E-3</v>
      </c>
      <c r="CH265" s="1">
        <v>1E-3</v>
      </c>
      <c r="CI265" s="1">
        <v>1E-3</v>
      </c>
      <c r="CJ265" s="1">
        <v>2E-3</v>
      </c>
      <c r="CK265" s="1">
        <v>8.5999999999999993E-2</v>
      </c>
      <c r="CL265" s="1">
        <v>6.0000000000000001E-3</v>
      </c>
      <c r="CM265" s="1">
        <v>-5.8668984980000003</v>
      </c>
      <c r="CN265" s="83">
        <v>-56.161807090000003</v>
      </c>
    </row>
    <row r="266" spans="1:92" s="3" customFormat="1" x14ac:dyDescent="0.25">
      <c r="A266" s="72">
        <v>273</v>
      </c>
      <c r="B266" s="81" t="s">
        <v>1200</v>
      </c>
      <c r="C266" s="1" t="s">
        <v>83</v>
      </c>
      <c r="D266" s="1" t="s">
        <v>73</v>
      </c>
      <c r="E266" s="1" t="s">
        <v>99</v>
      </c>
      <c r="F266" s="1" t="s">
        <v>669</v>
      </c>
      <c r="G266" s="1" t="s">
        <v>76</v>
      </c>
      <c r="H266" s="1" t="s">
        <v>68</v>
      </c>
      <c r="I266" s="1"/>
      <c r="J266" s="9" t="s">
        <v>544</v>
      </c>
      <c r="K266" s="10">
        <v>0.53090183333333396</v>
      </c>
      <c r="L266" s="1" t="s">
        <v>641</v>
      </c>
      <c r="M266" s="1" t="s">
        <v>76</v>
      </c>
      <c r="N266" s="1" t="s">
        <v>649</v>
      </c>
      <c r="O266" s="1" t="s">
        <v>68</v>
      </c>
      <c r="P266" s="82">
        <v>0.82499999999999996</v>
      </c>
      <c r="Q266" s="1" t="s">
        <v>76</v>
      </c>
      <c r="R266" s="81" t="s">
        <v>193</v>
      </c>
      <c r="S266" s="1">
        <v>3</v>
      </c>
      <c r="T266" s="1" t="s">
        <v>120</v>
      </c>
      <c r="U266" s="1" t="s">
        <v>658</v>
      </c>
      <c r="V266" s="1" t="s">
        <v>655</v>
      </c>
      <c r="W266" s="1">
        <v>66</v>
      </c>
      <c r="X266" s="1" t="s">
        <v>76</v>
      </c>
      <c r="Y266" s="1" t="s">
        <v>649</v>
      </c>
      <c r="Z266" s="1">
        <v>4.0000000000000001E-3</v>
      </c>
      <c r="AA266" s="1">
        <v>2E-3</v>
      </c>
      <c r="AB266" s="1">
        <v>1E-3</v>
      </c>
      <c r="AC266" s="1">
        <v>2E-3</v>
      </c>
      <c r="AD266" s="1">
        <v>1E-3</v>
      </c>
      <c r="AE266" s="1">
        <v>1E-3</v>
      </c>
      <c r="AF266" s="1">
        <v>1E-3</v>
      </c>
      <c r="AG266" s="1">
        <v>0</v>
      </c>
      <c r="AH266" s="1">
        <v>3.0000000000000001E-3</v>
      </c>
      <c r="AI266" s="1">
        <v>0</v>
      </c>
      <c r="AJ266" s="1">
        <v>1E-3</v>
      </c>
      <c r="AK266" s="1">
        <v>1E-3</v>
      </c>
      <c r="AL266" s="1">
        <v>1E-3</v>
      </c>
      <c r="AM266" s="1">
        <v>1E-3</v>
      </c>
      <c r="AN266" s="1">
        <v>1E-3</v>
      </c>
      <c r="AO266" s="1">
        <v>1E-3</v>
      </c>
      <c r="AP266" s="1">
        <v>1E-3</v>
      </c>
      <c r="AQ266" s="1">
        <v>1E-3</v>
      </c>
      <c r="AR266" s="1">
        <v>3.0000000000000001E-3</v>
      </c>
      <c r="AS266" s="1">
        <v>1E-3</v>
      </c>
      <c r="AT266" s="1">
        <v>1E-3</v>
      </c>
      <c r="AU266" s="1">
        <v>0.02</v>
      </c>
      <c r="AV266" s="1">
        <v>1E-3</v>
      </c>
      <c r="AW266" s="1">
        <v>2E-3</v>
      </c>
      <c r="AX266" s="1">
        <v>6.0000000000000001E-3</v>
      </c>
      <c r="AY266" s="1">
        <v>4.0000000000000001E-3</v>
      </c>
      <c r="AZ266" s="1">
        <v>2E-3</v>
      </c>
      <c r="BA266" s="1">
        <v>3.0000000000000001E-3</v>
      </c>
      <c r="BB266" s="1">
        <v>1E-3</v>
      </c>
      <c r="BC266" s="1">
        <v>1E-3</v>
      </c>
      <c r="BD266" s="1">
        <v>4.0000000000000001E-3</v>
      </c>
      <c r="BE266" s="1">
        <v>0</v>
      </c>
      <c r="BF266" s="1">
        <v>2E-3</v>
      </c>
      <c r="BG266" s="1">
        <v>1E-3</v>
      </c>
      <c r="BH266" s="1">
        <v>1E-3</v>
      </c>
      <c r="BI266" s="1">
        <v>0</v>
      </c>
      <c r="BJ266" s="1">
        <v>0</v>
      </c>
      <c r="BK266" s="1">
        <v>1E-3</v>
      </c>
      <c r="BL266" s="1">
        <v>0.03</v>
      </c>
      <c r="BM266" s="1">
        <v>1E-3</v>
      </c>
      <c r="BN266" s="1">
        <v>1E-3</v>
      </c>
      <c r="BO266" s="1">
        <v>1E-3</v>
      </c>
      <c r="BP266" s="1">
        <v>1E-3</v>
      </c>
      <c r="BQ266" s="1">
        <v>2E-3</v>
      </c>
      <c r="BR266" s="1">
        <v>1E-3</v>
      </c>
      <c r="BS266" s="1">
        <v>3.1E-2</v>
      </c>
      <c r="BT266" s="1">
        <v>0</v>
      </c>
      <c r="BU266" s="1">
        <v>1E-3</v>
      </c>
      <c r="BV266" s="1">
        <v>0</v>
      </c>
      <c r="BW266" s="1">
        <v>1E-3</v>
      </c>
      <c r="BX266" s="1">
        <v>1.2999999999999999E-2</v>
      </c>
      <c r="BY266" s="1">
        <v>2E-3</v>
      </c>
      <c r="BZ266" s="1">
        <v>2E-3</v>
      </c>
      <c r="CA266" s="1">
        <v>2E-3</v>
      </c>
      <c r="CB266" s="1">
        <v>0</v>
      </c>
      <c r="CC266" s="1">
        <v>1E-3</v>
      </c>
      <c r="CD266" s="1">
        <v>0</v>
      </c>
      <c r="CE266" s="1">
        <v>1E-3</v>
      </c>
      <c r="CF266" s="1">
        <v>1E-3</v>
      </c>
      <c r="CG266" s="1">
        <v>1E-3</v>
      </c>
      <c r="CH266" s="1">
        <v>1E-3</v>
      </c>
      <c r="CI266" s="1">
        <v>1E-3</v>
      </c>
      <c r="CJ266" s="1">
        <v>2E-3</v>
      </c>
      <c r="CK266" s="1">
        <v>0.82499999999999996</v>
      </c>
      <c r="CL266" s="1">
        <v>3.0000000000000001E-3</v>
      </c>
      <c r="CM266" s="1">
        <v>46.646139689999998</v>
      </c>
      <c r="CN266" s="83">
        <v>-25.712296640000002</v>
      </c>
    </row>
    <row r="267" spans="1:92" s="3" customFormat="1" x14ac:dyDescent="0.25">
      <c r="A267" s="72">
        <v>274</v>
      </c>
      <c r="B267" s="81" t="s">
        <v>960</v>
      </c>
      <c r="C267" s="1" t="s">
        <v>83</v>
      </c>
      <c r="D267" s="1" t="s">
        <v>73</v>
      </c>
      <c r="E267" s="1" t="s">
        <v>99</v>
      </c>
      <c r="F267" s="1" t="s">
        <v>669</v>
      </c>
      <c r="G267" s="1" t="s">
        <v>76</v>
      </c>
      <c r="H267" s="1" t="s">
        <v>68</v>
      </c>
      <c r="I267" s="1"/>
      <c r="J267" s="9" t="s">
        <v>544</v>
      </c>
      <c r="K267" s="10">
        <v>0.47856666666666697</v>
      </c>
      <c r="L267" s="1" t="s">
        <v>76</v>
      </c>
      <c r="M267" s="1" t="s">
        <v>506</v>
      </c>
      <c r="N267" s="1" t="s">
        <v>645</v>
      </c>
      <c r="O267" s="1" t="s">
        <v>68</v>
      </c>
      <c r="P267" s="82">
        <v>1</v>
      </c>
      <c r="Q267" s="1" t="s">
        <v>76</v>
      </c>
      <c r="R267" s="81" t="s">
        <v>193</v>
      </c>
      <c r="S267" s="1">
        <v>3</v>
      </c>
      <c r="T267" s="1" t="s">
        <v>120</v>
      </c>
      <c r="U267" s="1" t="s">
        <v>658</v>
      </c>
      <c r="V267" s="1" t="s">
        <v>655</v>
      </c>
      <c r="W267" s="1">
        <v>61</v>
      </c>
      <c r="X267" s="1" t="s">
        <v>76</v>
      </c>
      <c r="Y267" s="1" t="s">
        <v>645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1</v>
      </c>
      <c r="CL267" s="1">
        <v>0</v>
      </c>
      <c r="CM267" s="1">
        <v>54.86834606</v>
      </c>
      <c r="CN267" s="83">
        <v>-50.238947070000002</v>
      </c>
    </row>
    <row r="268" spans="1:92" s="3" customFormat="1" x14ac:dyDescent="0.25">
      <c r="A268" s="72">
        <v>275</v>
      </c>
      <c r="B268" s="81" t="s">
        <v>1128</v>
      </c>
      <c r="C268" s="1" t="s">
        <v>83</v>
      </c>
      <c r="D268" s="1" t="s">
        <v>73</v>
      </c>
      <c r="E268" s="1" t="s">
        <v>74</v>
      </c>
      <c r="F268" s="1" t="s">
        <v>246</v>
      </c>
      <c r="G268" s="1" t="s">
        <v>219</v>
      </c>
      <c r="H268" s="1" t="s">
        <v>527</v>
      </c>
      <c r="I268" s="1"/>
      <c r="J268" s="9" t="s">
        <v>544</v>
      </c>
      <c r="K268" s="10">
        <v>0.45991983333333297</v>
      </c>
      <c r="L268" s="1" t="s">
        <v>76</v>
      </c>
      <c r="M268" s="1" t="s">
        <v>506</v>
      </c>
      <c r="N268" s="1" t="s">
        <v>645</v>
      </c>
      <c r="O268" s="1" t="s">
        <v>68</v>
      </c>
      <c r="P268" s="82">
        <v>1</v>
      </c>
      <c r="Q268" s="1" t="s">
        <v>76</v>
      </c>
      <c r="R268" s="81" t="s">
        <v>169</v>
      </c>
      <c r="S268" s="1">
        <v>3</v>
      </c>
      <c r="T268" s="1" t="s">
        <v>120</v>
      </c>
      <c r="U268" s="1" t="s">
        <v>658</v>
      </c>
      <c r="V268" s="1" t="s">
        <v>655</v>
      </c>
      <c r="W268" s="1">
        <v>40</v>
      </c>
      <c r="X268" s="1" t="s">
        <v>76</v>
      </c>
      <c r="Y268" s="1" t="s">
        <v>645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1</v>
      </c>
      <c r="CL268" s="1">
        <v>0</v>
      </c>
      <c r="CM268" s="1">
        <v>40.856380880000003</v>
      </c>
      <c r="CN268" s="83">
        <v>-73.379645550000006</v>
      </c>
    </row>
    <row r="269" spans="1:92" s="3" customFormat="1" x14ac:dyDescent="0.25">
      <c r="A269" s="72">
        <v>276</v>
      </c>
      <c r="B269" s="81" t="s">
        <v>1349</v>
      </c>
      <c r="C269" s="1" t="s">
        <v>83</v>
      </c>
      <c r="D269" s="1" t="s">
        <v>73</v>
      </c>
      <c r="E269" s="1" t="s">
        <v>74</v>
      </c>
      <c r="F269" s="1" t="s">
        <v>669</v>
      </c>
      <c r="G269" s="1" t="s">
        <v>76</v>
      </c>
      <c r="H269" s="1" t="s">
        <v>68</v>
      </c>
      <c r="I269" s="1"/>
      <c r="J269" s="9" t="s">
        <v>544</v>
      </c>
      <c r="K269" s="10">
        <v>0.54199333333333399</v>
      </c>
      <c r="L269" s="1" t="s">
        <v>641</v>
      </c>
      <c r="M269" s="1" t="s">
        <v>76</v>
      </c>
      <c r="N269" s="1" t="s">
        <v>644</v>
      </c>
      <c r="O269" s="1" t="s">
        <v>30</v>
      </c>
      <c r="P269" s="82">
        <v>0.44600000000000001</v>
      </c>
      <c r="Q269" s="1" t="s">
        <v>76</v>
      </c>
      <c r="R269" s="81" t="s">
        <v>177</v>
      </c>
      <c r="S269" s="1">
        <v>3</v>
      </c>
      <c r="T269" s="1" t="s">
        <v>120</v>
      </c>
      <c r="U269" s="1" t="s">
        <v>658</v>
      </c>
      <c r="V269" s="1" t="s">
        <v>655</v>
      </c>
      <c r="W269" s="1">
        <v>85</v>
      </c>
      <c r="X269" s="1" t="s">
        <v>76</v>
      </c>
      <c r="Y269" s="1" t="s">
        <v>644</v>
      </c>
      <c r="Z269" s="1">
        <v>2E-3</v>
      </c>
      <c r="AA269" s="1">
        <v>3.0000000000000001E-3</v>
      </c>
      <c r="AB269" s="1">
        <v>3.0000000000000001E-3</v>
      </c>
      <c r="AC269" s="1">
        <v>6.0000000000000001E-3</v>
      </c>
      <c r="AD269" s="1">
        <v>3.0000000000000001E-3</v>
      </c>
      <c r="AE269" s="1">
        <v>2E-3</v>
      </c>
      <c r="AF269" s="1">
        <v>3.0000000000000001E-3</v>
      </c>
      <c r="AG269" s="1">
        <v>2E-3</v>
      </c>
      <c r="AH269" s="1">
        <v>7.0000000000000001E-3</v>
      </c>
      <c r="AI269" s="1">
        <v>1E-3</v>
      </c>
      <c r="AJ269" s="1">
        <v>2E-3</v>
      </c>
      <c r="AK269" s="1">
        <v>5.0000000000000001E-3</v>
      </c>
      <c r="AL269" s="1">
        <v>1.0999999999999999E-2</v>
      </c>
      <c r="AM269" s="1">
        <v>1E-3</v>
      </c>
      <c r="AN269" s="1">
        <v>3.0000000000000001E-3</v>
      </c>
      <c r="AO269" s="1">
        <v>3.0000000000000001E-3</v>
      </c>
      <c r="AP269" s="1">
        <v>2E-3</v>
      </c>
      <c r="AQ269" s="1">
        <v>2E-3</v>
      </c>
      <c r="AR269" s="1">
        <v>3.0000000000000001E-3</v>
      </c>
      <c r="AS269" s="1">
        <v>6.0000000000000001E-3</v>
      </c>
      <c r="AT269" s="1">
        <v>5.0000000000000001E-3</v>
      </c>
      <c r="AU269" s="1">
        <v>5.0000000000000001E-3</v>
      </c>
      <c r="AV269" s="1">
        <v>2E-3</v>
      </c>
      <c r="AW269" s="1">
        <v>7.0000000000000001E-3</v>
      </c>
      <c r="AX269" s="1">
        <v>5.0000000000000001E-3</v>
      </c>
      <c r="AY269" s="1">
        <v>0.44600000000000001</v>
      </c>
      <c r="AZ269" s="1">
        <v>5.8000000000000003E-2</v>
      </c>
      <c r="BA269" s="1">
        <v>2.5000000000000001E-2</v>
      </c>
      <c r="BB269" s="1">
        <v>2E-3</v>
      </c>
      <c r="BC269" s="1">
        <v>2E-3</v>
      </c>
      <c r="BD269" s="1">
        <v>8.9999999999999993E-3</v>
      </c>
      <c r="BE269" s="1">
        <v>2E-3</v>
      </c>
      <c r="BF269" s="1">
        <v>2E-3</v>
      </c>
      <c r="BG269" s="1">
        <v>2E-3</v>
      </c>
      <c r="BH269" s="1">
        <v>2E-3</v>
      </c>
      <c r="BI269" s="1">
        <v>2E-3</v>
      </c>
      <c r="BJ269" s="1">
        <v>2E-3</v>
      </c>
      <c r="BK269" s="1">
        <v>2E-3</v>
      </c>
      <c r="BL269" s="1">
        <v>3.6999999999999998E-2</v>
      </c>
      <c r="BM269" s="1">
        <v>3.0000000000000001E-3</v>
      </c>
      <c r="BN269" s="1">
        <v>3.0000000000000001E-3</v>
      </c>
      <c r="BO269" s="1">
        <v>2E-3</v>
      </c>
      <c r="BP269" s="1">
        <v>1E-3</v>
      </c>
      <c r="BQ269" s="1">
        <v>6.6000000000000003E-2</v>
      </c>
      <c r="BR269" s="1">
        <v>3.0000000000000001E-3</v>
      </c>
      <c r="BS269" s="1">
        <v>3.0000000000000001E-3</v>
      </c>
      <c r="BT269" s="1">
        <v>2E-3</v>
      </c>
      <c r="BU269" s="1">
        <v>3.0000000000000001E-3</v>
      </c>
      <c r="BV269" s="1">
        <v>2E-3</v>
      </c>
      <c r="BW269" s="1">
        <v>0.08</v>
      </c>
      <c r="BX269" s="1">
        <v>7.0000000000000001E-3</v>
      </c>
      <c r="BY269" s="1">
        <v>8.0000000000000002E-3</v>
      </c>
      <c r="BZ269" s="1">
        <v>1.4E-2</v>
      </c>
      <c r="CA269" s="1">
        <v>4.0000000000000001E-3</v>
      </c>
      <c r="CB269" s="1">
        <v>1E-3</v>
      </c>
      <c r="CC269" s="1">
        <v>3.0000000000000001E-3</v>
      </c>
      <c r="CD269" s="1">
        <v>1.2E-2</v>
      </c>
      <c r="CE269" s="1">
        <v>3.0000000000000001E-3</v>
      </c>
      <c r="CF269" s="1">
        <v>2E-3</v>
      </c>
      <c r="CG269" s="1">
        <v>6.0000000000000001E-3</v>
      </c>
      <c r="CH269" s="1">
        <v>6.0000000000000001E-3</v>
      </c>
      <c r="CI269" s="1">
        <v>4.0000000000000001E-3</v>
      </c>
      <c r="CJ269" s="1">
        <v>7.0000000000000001E-3</v>
      </c>
      <c r="CK269" s="1">
        <v>3.5000000000000003E-2</v>
      </c>
      <c r="CL269" s="1">
        <v>3.5999999999999997E-2</v>
      </c>
      <c r="CM269" s="1">
        <v>-46.543364179999998</v>
      </c>
      <c r="CN269" s="83">
        <v>50.019108330000002</v>
      </c>
    </row>
    <row r="270" spans="1:92" s="3" customFormat="1" x14ac:dyDescent="0.25">
      <c r="A270" s="72">
        <v>277</v>
      </c>
      <c r="B270" s="81" t="s">
        <v>1398</v>
      </c>
      <c r="C270" s="1" t="s">
        <v>83</v>
      </c>
      <c r="D270" s="1" t="s">
        <v>73</v>
      </c>
      <c r="E270" s="1" t="s">
        <v>74</v>
      </c>
      <c r="F270" s="1" t="s">
        <v>256</v>
      </c>
      <c r="G270" s="1" t="s">
        <v>76</v>
      </c>
      <c r="H270" s="1" t="s">
        <v>531</v>
      </c>
      <c r="I270" s="1"/>
      <c r="J270" s="9" t="s">
        <v>506</v>
      </c>
      <c r="K270" s="10">
        <v>0.38933299999999998</v>
      </c>
      <c r="L270" s="1" t="s">
        <v>641</v>
      </c>
      <c r="M270" s="1" t="s">
        <v>76</v>
      </c>
      <c r="N270" s="1" t="s">
        <v>644</v>
      </c>
      <c r="O270" s="1" t="s">
        <v>69</v>
      </c>
      <c r="P270" s="82">
        <v>0.69199999999999995</v>
      </c>
      <c r="Q270" s="1" t="s">
        <v>76</v>
      </c>
      <c r="R270" s="81" t="s">
        <v>193</v>
      </c>
      <c r="S270" s="1">
        <v>1</v>
      </c>
      <c r="T270" s="1" t="s">
        <v>120</v>
      </c>
      <c r="U270" s="1" t="s">
        <v>658</v>
      </c>
      <c r="V270" s="1" t="s">
        <v>655</v>
      </c>
      <c r="W270" s="1">
        <v>32</v>
      </c>
      <c r="X270" s="1" t="s">
        <v>257</v>
      </c>
      <c r="Y270" s="1" t="s">
        <v>644</v>
      </c>
      <c r="Z270" s="1">
        <v>6.0000000000000001E-3</v>
      </c>
      <c r="AA270" s="1">
        <v>1E-3</v>
      </c>
      <c r="AB270" s="1">
        <v>1E-3</v>
      </c>
      <c r="AC270" s="1">
        <v>1E-3</v>
      </c>
      <c r="AD270" s="1">
        <v>2E-3</v>
      </c>
      <c r="AE270" s="1">
        <v>1E-3</v>
      </c>
      <c r="AF270" s="1">
        <v>2E-3</v>
      </c>
      <c r="AG270" s="1">
        <v>0</v>
      </c>
      <c r="AH270" s="1">
        <v>2E-3</v>
      </c>
      <c r="AI270" s="1">
        <v>0</v>
      </c>
      <c r="AJ270" s="1">
        <v>1E-3</v>
      </c>
      <c r="AK270" s="1">
        <v>1E-3</v>
      </c>
      <c r="AL270" s="1">
        <v>0</v>
      </c>
      <c r="AM270" s="1">
        <v>1E-3</v>
      </c>
      <c r="AN270" s="1">
        <v>1E-3</v>
      </c>
      <c r="AO270" s="1">
        <v>1E-3</v>
      </c>
      <c r="AP270" s="1">
        <v>0</v>
      </c>
      <c r="AQ270" s="1">
        <v>0</v>
      </c>
      <c r="AR270" s="1">
        <v>3.0000000000000001E-3</v>
      </c>
      <c r="AS270" s="1">
        <v>2E-3</v>
      </c>
      <c r="AT270" s="1">
        <v>1E-3</v>
      </c>
      <c r="AU270" s="1">
        <v>2E-3</v>
      </c>
      <c r="AV270" s="1">
        <v>1E-3</v>
      </c>
      <c r="AW270" s="1">
        <v>1E-3</v>
      </c>
      <c r="AX270" s="1">
        <v>5.0000000000000001E-3</v>
      </c>
      <c r="AY270" s="1">
        <v>2E-3</v>
      </c>
      <c r="AZ270" s="1">
        <v>4.0000000000000001E-3</v>
      </c>
      <c r="BA270" s="1">
        <v>4.0000000000000001E-3</v>
      </c>
      <c r="BB270" s="1">
        <v>1E-3</v>
      </c>
      <c r="BC270" s="1">
        <v>0</v>
      </c>
      <c r="BD270" s="1">
        <v>6.0000000000000001E-3</v>
      </c>
      <c r="BE270" s="1">
        <v>1E-3</v>
      </c>
      <c r="BF270" s="1">
        <v>2E-3</v>
      </c>
      <c r="BG270" s="1">
        <v>0</v>
      </c>
      <c r="BH270" s="1">
        <v>0</v>
      </c>
      <c r="BI270" s="1">
        <v>0</v>
      </c>
      <c r="BJ270" s="1">
        <v>6.0000000000000001E-3</v>
      </c>
      <c r="BK270" s="1">
        <v>0</v>
      </c>
      <c r="BL270" s="1">
        <v>1E-3</v>
      </c>
      <c r="BM270" s="1">
        <v>0</v>
      </c>
      <c r="BN270" s="1">
        <v>1E-3</v>
      </c>
      <c r="BO270" s="1">
        <v>1E-3</v>
      </c>
      <c r="BP270" s="1">
        <v>3.0000000000000001E-3</v>
      </c>
      <c r="BQ270" s="1">
        <v>1E-3</v>
      </c>
      <c r="BR270" s="1">
        <v>1E-3</v>
      </c>
      <c r="BS270" s="1">
        <v>4.0000000000000001E-3</v>
      </c>
      <c r="BT270" s="1">
        <v>1E-3</v>
      </c>
      <c r="BU270" s="1">
        <v>9.1999999999999998E-2</v>
      </c>
      <c r="BV270" s="1">
        <v>0</v>
      </c>
      <c r="BW270" s="1">
        <v>1E-3</v>
      </c>
      <c r="BX270" s="1">
        <v>2E-3</v>
      </c>
      <c r="BY270" s="1">
        <v>2E-3</v>
      </c>
      <c r="BZ270" s="1">
        <v>4.0000000000000001E-3</v>
      </c>
      <c r="CA270" s="1">
        <v>1E-3</v>
      </c>
      <c r="CB270" s="1">
        <v>0</v>
      </c>
      <c r="CC270" s="1">
        <v>1E-3</v>
      </c>
      <c r="CD270" s="1">
        <v>0</v>
      </c>
      <c r="CE270" s="1">
        <v>1E-3</v>
      </c>
      <c r="CF270" s="1">
        <v>1E-3</v>
      </c>
      <c r="CG270" s="1">
        <v>1E-3</v>
      </c>
      <c r="CH270" s="1">
        <v>1E-3</v>
      </c>
      <c r="CI270" s="1">
        <v>1E-3</v>
      </c>
      <c r="CJ270" s="1">
        <v>1E-3</v>
      </c>
      <c r="CK270" s="1">
        <v>0.124</v>
      </c>
      <c r="CL270" s="1">
        <v>0.69199999999999995</v>
      </c>
      <c r="CM270" s="1">
        <v>-56.207583210000003</v>
      </c>
      <c r="CN270" s="83">
        <v>-24.961079959999999</v>
      </c>
    </row>
    <row r="271" spans="1:92" s="3" customFormat="1" x14ac:dyDescent="0.25">
      <c r="A271" s="72">
        <v>278</v>
      </c>
      <c r="B271" s="81" t="s">
        <v>1343</v>
      </c>
      <c r="C271" s="1" t="s">
        <v>83</v>
      </c>
      <c r="D271" s="1" t="s">
        <v>73</v>
      </c>
      <c r="E271" s="1" t="s">
        <v>74</v>
      </c>
      <c r="F271" s="1" t="s">
        <v>669</v>
      </c>
      <c r="G271" s="1" t="s">
        <v>76</v>
      </c>
      <c r="H271" s="1" t="s">
        <v>68</v>
      </c>
      <c r="I271" s="1"/>
      <c r="J271" s="9" t="s">
        <v>544</v>
      </c>
      <c r="K271" s="10">
        <v>0.36260983333333302</v>
      </c>
      <c r="L271" s="1" t="s">
        <v>76</v>
      </c>
      <c r="M271" s="1" t="s">
        <v>506</v>
      </c>
      <c r="N271" s="1" t="s">
        <v>645</v>
      </c>
      <c r="O271" s="1" t="s">
        <v>68</v>
      </c>
      <c r="P271" s="82">
        <v>0.93700000000000006</v>
      </c>
      <c r="Q271" s="1" t="s">
        <v>76</v>
      </c>
      <c r="R271" s="81" t="s">
        <v>193</v>
      </c>
      <c r="S271" s="1">
        <v>3</v>
      </c>
      <c r="T271" s="1" t="s">
        <v>120</v>
      </c>
      <c r="U271" s="1" t="s">
        <v>658</v>
      </c>
      <c r="V271" s="1" t="s">
        <v>655</v>
      </c>
      <c r="W271" s="1">
        <v>78</v>
      </c>
      <c r="X271" s="1" t="s">
        <v>76</v>
      </c>
      <c r="Y271" s="1" t="s">
        <v>645</v>
      </c>
      <c r="Z271" s="1">
        <v>3.0000000000000001E-3</v>
      </c>
      <c r="AA271" s="1">
        <v>1E-3</v>
      </c>
      <c r="AB271" s="1">
        <v>0</v>
      </c>
      <c r="AC271" s="1">
        <v>2E-3</v>
      </c>
      <c r="AD271" s="1">
        <v>1E-3</v>
      </c>
      <c r="AE271" s="1">
        <v>1E-3</v>
      </c>
      <c r="AF271" s="1">
        <v>1E-3</v>
      </c>
      <c r="AG271" s="1">
        <v>0</v>
      </c>
      <c r="AH271" s="1">
        <v>1E-3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1E-3</v>
      </c>
      <c r="AO271" s="1">
        <v>0</v>
      </c>
      <c r="AP271" s="1">
        <v>0</v>
      </c>
      <c r="AQ271" s="1">
        <v>0</v>
      </c>
      <c r="AR271" s="1">
        <v>4.0000000000000001E-3</v>
      </c>
      <c r="AS271" s="1">
        <v>1E-3</v>
      </c>
      <c r="AT271" s="1">
        <v>0</v>
      </c>
      <c r="AU271" s="1">
        <v>2E-3</v>
      </c>
      <c r="AV271" s="1">
        <v>1E-3</v>
      </c>
      <c r="AW271" s="1">
        <v>0</v>
      </c>
      <c r="AX271" s="1">
        <v>3.0000000000000001E-3</v>
      </c>
      <c r="AY271" s="1">
        <v>1E-3</v>
      </c>
      <c r="AZ271" s="1">
        <v>1E-3</v>
      </c>
      <c r="BA271" s="1">
        <v>1E-3</v>
      </c>
      <c r="BB271" s="1">
        <v>0</v>
      </c>
      <c r="BC271" s="1">
        <v>0</v>
      </c>
      <c r="BD271" s="1">
        <v>2E-3</v>
      </c>
      <c r="BE271" s="1">
        <v>1E-3</v>
      </c>
      <c r="BF271" s="1">
        <v>2E-3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1E-3</v>
      </c>
      <c r="BM271" s="1">
        <v>0</v>
      </c>
      <c r="BN271" s="1">
        <v>1E-3</v>
      </c>
      <c r="BO271" s="1">
        <v>1E-3</v>
      </c>
      <c r="BP271" s="1">
        <v>1E-3</v>
      </c>
      <c r="BQ271" s="1">
        <v>1E-3</v>
      </c>
      <c r="BR271" s="1">
        <v>0</v>
      </c>
      <c r="BS271" s="1">
        <v>7.0000000000000001E-3</v>
      </c>
      <c r="BT271" s="1">
        <v>0</v>
      </c>
      <c r="BU271" s="1">
        <v>0</v>
      </c>
      <c r="BV271" s="1">
        <v>0</v>
      </c>
      <c r="BW271" s="1">
        <v>0</v>
      </c>
      <c r="BX271" s="1">
        <v>8.9999999999999993E-3</v>
      </c>
      <c r="BY271" s="1">
        <v>1E-3</v>
      </c>
      <c r="BZ271" s="1">
        <v>1E-3</v>
      </c>
      <c r="CA271" s="1">
        <v>1E-3</v>
      </c>
      <c r="CB271" s="1">
        <v>1E-3</v>
      </c>
      <c r="CC271" s="1">
        <v>1E-3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1E-3</v>
      </c>
      <c r="CK271" s="1">
        <v>0.93700000000000006</v>
      </c>
      <c r="CL271" s="1">
        <v>2E-3</v>
      </c>
      <c r="CM271" s="1">
        <v>48.705184289999998</v>
      </c>
      <c r="CN271" s="83">
        <v>-58.14366149</v>
      </c>
    </row>
    <row r="272" spans="1:92" s="3" customFormat="1" x14ac:dyDescent="0.25">
      <c r="A272" s="72">
        <v>279</v>
      </c>
      <c r="B272" s="81" t="s">
        <v>1256</v>
      </c>
      <c r="C272" s="1" t="s">
        <v>83</v>
      </c>
      <c r="D272" s="1" t="s">
        <v>73</v>
      </c>
      <c r="E272" s="1" t="s">
        <v>99</v>
      </c>
      <c r="F272" s="1" t="s">
        <v>669</v>
      </c>
      <c r="G272" s="1" t="s">
        <v>76</v>
      </c>
      <c r="H272" s="1" t="s">
        <v>68</v>
      </c>
      <c r="I272" s="1"/>
      <c r="J272" s="9" t="s">
        <v>544</v>
      </c>
      <c r="K272" s="10">
        <v>0.30071249999999999</v>
      </c>
      <c r="L272" s="1" t="s">
        <v>641</v>
      </c>
      <c r="M272" s="1" t="s">
        <v>76</v>
      </c>
      <c r="N272" s="1" t="s">
        <v>644</v>
      </c>
      <c r="O272" s="1" t="s">
        <v>69</v>
      </c>
      <c r="P272" s="82">
        <v>0.51</v>
      </c>
      <c r="Q272" s="1" t="s">
        <v>76</v>
      </c>
      <c r="R272" s="81" t="s">
        <v>191</v>
      </c>
      <c r="S272" s="1">
        <v>3</v>
      </c>
      <c r="T272" s="1" t="s">
        <v>120</v>
      </c>
      <c r="U272" s="1" t="s">
        <v>658</v>
      </c>
      <c r="V272" s="1" t="s">
        <v>655</v>
      </c>
      <c r="W272" s="1">
        <v>81</v>
      </c>
      <c r="X272" s="1" t="s">
        <v>76</v>
      </c>
      <c r="Y272" s="1" t="s">
        <v>644</v>
      </c>
      <c r="Z272" s="1">
        <v>0.11</v>
      </c>
      <c r="AA272" s="1">
        <v>1E-3</v>
      </c>
      <c r="AB272" s="1">
        <v>1E-3</v>
      </c>
      <c r="AC272" s="1">
        <v>3.0000000000000001E-3</v>
      </c>
      <c r="AD272" s="1">
        <v>2E-3</v>
      </c>
      <c r="AE272" s="1">
        <v>1E-3</v>
      </c>
      <c r="AF272" s="1">
        <v>1E-3</v>
      </c>
      <c r="AG272" s="1">
        <v>0</v>
      </c>
      <c r="AH272" s="1">
        <v>6.0000000000000001E-3</v>
      </c>
      <c r="AI272" s="1">
        <v>1E-3</v>
      </c>
      <c r="AJ272" s="1">
        <v>0</v>
      </c>
      <c r="AK272" s="1">
        <v>0</v>
      </c>
      <c r="AL272" s="1">
        <v>0</v>
      </c>
      <c r="AM272" s="1">
        <v>1E-3</v>
      </c>
      <c r="AN272" s="1">
        <v>2E-3</v>
      </c>
      <c r="AO272" s="1">
        <v>0</v>
      </c>
      <c r="AP272" s="1">
        <v>1E-3</v>
      </c>
      <c r="AQ272" s="1">
        <v>0</v>
      </c>
      <c r="AR272" s="1">
        <v>3.0000000000000001E-3</v>
      </c>
      <c r="AS272" s="1">
        <v>1E-3</v>
      </c>
      <c r="AT272" s="1">
        <v>1E-3</v>
      </c>
      <c r="AU272" s="1">
        <v>2E-3</v>
      </c>
      <c r="AV272" s="1">
        <v>2E-3</v>
      </c>
      <c r="AW272" s="1">
        <v>1E-3</v>
      </c>
      <c r="AX272" s="1">
        <v>5.0000000000000001E-3</v>
      </c>
      <c r="AY272" s="1">
        <v>3.0000000000000001E-3</v>
      </c>
      <c r="AZ272" s="1">
        <v>4.0000000000000001E-3</v>
      </c>
      <c r="BA272" s="1">
        <v>3.0000000000000001E-3</v>
      </c>
      <c r="BB272" s="1">
        <v>0</v>
      </c>
      <c r="BC272" s="1">
        <v>0</v>
      </c>
      <c r="BD272" s="1">
        <v>5.0000000000000001E-3</v>
      </c>
      <c r="BE272" s="1">
        <v>1E-3</v>
      </c>
      <c r="BF272" s="1">
        <v>6.0000000000000001E-3</v>
      </c>
      <c r="BG272" s="1">
        <v>0</v>
      </c>
      <c r="BH272" s="1">
        <v>1E-3</v>
      </c>
      <c r="BI272" s="1">
        <v>0</v>
      </c>
      <c r="BJ272" s="1">
        <v>5.0000000000000001E-3</v>
      </c>
      <c r="BK272" s="1">
        <v>0</v>
      </c>
      <c r="BL272" s="1">
        <v>1E-3</v>
      </c>
      <c r="BM272" s="1">
        <v>0</v>
      </c>
      <c r="BN272" s="1">
        <v>1E-3</v>
      </c>
      <c r="BO272" s="1">
        <v>0</v>
      </c>
      <c r="BP272" s="1">
        <v>4.0000000000000001E-3</v>
      </c>
      <c r="BQ272" s="1">
        <v>1E-3</v>
      </c>
      <c r="BR272" s="1">
        <v>1E-3</v>
      </c>
      <c r="BS272" s="1">
        <v>4.0000000000000001E-3</v>
      </c>
      <c r="BT272" s="1">
        <v>1E-3</v>
      </c>
      <c r="BU272" s="1">
        <v>8.4000000000000005E-2</v>
      </c>
      <c r="BV272" s="1">
        <v>0</v>
      </c>
      <c r="BW272" s="1">
        <v>1E-3</v>
      </c>
      <c r="BX272" s="1">
        <v>2E-3</v>
      </c>
      <c r="BY272" s="1">
        <v>2E-3</v>
      </c>
      <c r="BZ272" s="1">
        <v>4.0000000000000001E-3</v>
      </c>
      <c r="CA272" s="1">
        <v>1E-3</v>
      </c>
      <c r="CB272" s="1">
        <v>1E-3</v>
      </c>
      <c r="CC272" s="1">
        <v>1E-3</v>
      </c>
      <c r="CD272" s="1">
        <v>0</v>
      </c>
      <c r="CE272" s="1">
        <v>1E-3</v>
      </c>
      <c r="CF272" s="1">
        <v>1E-3</v>
      </c>
      <c r="CG272" s="1">
        <v>1E-3</v>
      </c>
      <c r="CH272" s="1">
        <v>1E-3</v>
      </c>
      <c r="CI272" s="1">
        <v>1E-3</v>
      </c>
      <c r="CJ272" s="1">
        <v>1E-3</v>
      </c>
      <c r="CK272" s="1">
        <v>0.20399999999999999</v>
      </c>
      <c r="CL272" s="1">
        <v>0.51</v>
      </c>
      <c r="CM272" s="1">
        <v>-55.224106970000001</v>
      </c>
      <c r="CN272" s="83">
        <v>-26.083505989999999</v>
      </c>
    </row>
    <row r="273" spans="1:92" s="3" customFormat="1" x14ac:dyDescent="0.25">
      <c r="A273" s="72">
        <v>280</v>
      </c>
      <c r="B273" s="81" t="s">
        <v>1262</v>
      </c>
      <c r="C273" s="1" t="s">
        <v>83</v>
      </c>
      <c r="D273" s="1" t="s">
        <v>73</v>
      </c>
      <c r="E273" s="1" t="s">
        <v>99</v>
      </c>
      <c r="F273" s="1" t="s">
        <v>669</v>
      </c>
      <c r="G273" s="1" t="s">
        <v>76</v>
      </c>
      <c r="H273" s="1" t="s">
        <v>68</v>
      </c>
      <c r="I273" s="1"/>
      <c r="J273" s="9" t="s">
        <v>544</v>
      </c>
      <c r="K273" s="10">
        <v>0.52708966666666601</v>
      </c>
      <c r="L273" s="1" t="s">
        <v>76</v>
      </c>
      <c r="M273" s="1" t="s">
        <v>506</v>
      </c>
      <c r="N273" s="1" t="s">
        <v>645</v>
      </c>
      <c r="O273" s="1" t="s">
        <v>68</v>
      </c>
      <c r="P273" s="82">
        <v>0.999</v>
      </c>
      <c r="Q273" s="1" t="s">
        <v>76</v>
      </c>
      <c r="R273" s="81" t="s">
        <v>174</v>
      </c>
      <c r="S273" s="1">
        <v>3</v>
      </c>
      <c r="T273" s="1" t="s">
        <v>120</v>
      </c>
      <c r="U273" s="1" t="s">
        <v>658</v>
      </c>
      <c r="V273" s="1" t="s">
        <v>655</v>
      </c>
      <c r="W273" s="1">
        <v>81</v>
      </c>
      <c r="X273" s="1" t="s">
        <v>76</v>
      </c>
      <c r="Y273" s="1" t="s">
        <v>645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0.999</v>
      </c>
      <c r="CL273" s="1">
        <v>0</v>
      </c>
      <c r="CM273" s="1">
        <v>32.338636909999998</v>
      </c>
      <c r="CN273" s="83">
        <v>-76.485033540000003</v>
      </c>
    </row>
    <row r="274" spans="1:92" s="3" customFormat="1" hidden="1" x14ac:dyDescent="0.25">
      <c r="A274" s="72">
        <v>281</v>
      </c>
      <c r="B274" s="81" t="s">
        <v>1666</v>
      </c>
      <c r="C274" s="1" t="s">
        <v>83</v>
      </c>
      <c r="D274" s="1" t="s">
        <v>73</v>
      </c>
      <c r="E274" s="1" t="s">
        <v>76</v>
      </c>
      <c r="F274" s="1" t="s">
        <v>664</v>
      </c>
      <c r="G274" s="1" t="s">
        <v>76</v>
      </c>
      <c r="H274" s="1" t="s">
        <v>537</v>
      </c>
      <c r="I274" s="1"/>
      <c r="J274" s="9" t="s">
        <v>544</v>
      </c>
      <c r="K274" s="10">
        <v>0.39538383333333399</v>
      </c>
      <c r="L274" s="1" t="s">
        <v>641</v>
      </c>
      <c r="M274" s="1" t="s">
        <v>76</v>
      </c>
      <c r="N274" s="1" t="s">
        <v>644</v>
      </c>
      <c r="O274" s="1" t="s">
        <v>9</v>
      </c>
      <c r="P274" s="82">
        <v>0.56399999999999995</v>
      </c>
      <c r="Q274" s="1" t="s">
        <v>76</v>
      </c>
      <c r="R274" s="81" t="s">
        <v>76</v>
      </c>
      <c r="S274" s="1" t="s">
        <v>76</v>
      </c>
      <c r="T274" s="1" t="s">
        <v>120</v>
      </c>
      <c r="U274" s="1" t="s">
        <v>76</v>
      </c>
      <c r="V274" s="1" t="s">
        <v>655</v>
      </c>
      <c r="W274" s="1" t="s">
        <v>269</v>
      </c>
      <c r="X274" s="1" t="s">
        <v>76</v>
      </c>
      <c r="Y274" s="1" t="s">
        <v>644</v>
      </c>
      <c r="Z274" s="1">
        <v>1E-3</v>
      </c>
      <c r="AA274" s="1">
        <v>3.0000000000000001E-3</v>
      </c>
      <c r="AB274" s="1">
        <v>5.0000000000000001E-3</v>
      </c>
      <c r="AC274" s="1">
        <v>0.01</v>
      </c>
      <c r="AD274" s="1">
        <v>0.56399999999999995</v>
      </c>
      <c r="AE274" s="1">
        <v>2E-3</v>
      </c>
      <c r="AF274" s="1">
        <v>3.0000000000000001E-3</v>
      </c>
      <c r="AG274" s="1">
        <v>0</v>
      </c>
      <c r="AH274" s="1">
        <v>0.01</v>
      </c>
      <c r="AI274" s="1">
        <v>1E-3</v>
      </c>
      <c r="AJ274" s="1">
        <v>2E-3</v>
      </c>
      <c r="AK274" s="1">
        <v>1.0999999999999999E-2</v>
      </c>
      <c r="AL274" s="1">
        <v>0</v>
      </c>
      <c r="AM274" s="1">
        <v>2E-3</v>
      </c>
      <c r="AN274" s="1">
        <v>2E-3</v>
      </c>
      <c r="AO274" s="1">
        <v>2E-3</v>
      </c>
      <c r="AP274" s="1">
        <v>2E-3</v>
      </c>
      <c r="AQ274" s="1">
        <v>0.109</v>
      </c>
      <c r="AR274" s="1">
        <v>2E-3</v>
      </c>
      <c r="AS274" s="1">
        <v>8.0000000000000002E-3</v>
      </c>
      <c r="AT274" s="1">
        <v>4.0000000000000001E-3</v>
      </c>
      <c r="AU274" s="1">
        <v>3.0000000000000001E-3</v>
      </c>
      <c r="AV274" s="1">
        <v>1E-3</v>
      </c>
      <c r="AW274" s="1">
        <v>4.0000000000000001E-3</v>
      </c>
      <c r="AX274" s="1">
        <v>5.0000000000000001E-3</v>
      </c>
      <c r="AY274" s="1">
        <v>5.0000000000000001E-3</v>
      </c>
      <c r="AZ274" s="1">
        <v>8.0000000000000002E-3</v>
      </c>
      <c r="BA274" s="1">
        <v>0.01</v>
      </c>
      <c r="BB274" s="1">
        <v>2E-3</v>
      </c>
      <c r="BC274" s="1">
        <v>1E-3</v>
      </c>
      <c r="BD274" s="1">
        <v>1.2999999999999999E-2</v>
      </c>
      <c r="BE274" s="1">
        <v>1E-3</v>
      </c>
      <c r="BF274" s="1">
        <v>1E-3</v>
      </c>
      <c r="BG274" s="1">
        <v>1E-3</v>
      </c>
      <c r="BH274" s="1">
        <v>1E-3</v>
      </c>
      <c r="BI274" s="1">
        <v>1E-3</v>
      </c>
      <c r="BJ274" s="1">
        <v>3.0000000000000001E-3</v>
      </c>
      <c r="BK274" s="1">
        <v>1E-3</v>
      </c>
      <c r="BL274" s="1">
        <v>5.0000000000000001E-3</v>
      </c>
      <c r="BM274" s="1">
        <v>2E-3</v>
      </c>
      <c r="BN274" s="1">
        <v>6.0000000000000001E-3</v>
      </c>
      <c r="BO274" s="1">
        <v>1E-3</v>
      </c>
      <c r="BP274" s="1">
        <v>1E-3</v>
      </c>
      <c r="BQ274" s="1">
        <v>4.0000000000000001E-3</v>
      </c>
      <c r="BR274" s="1">
        <v>3.0000000000000001E-3</v>
      </c>
      <c r="BS274" s="1">
        <v>2E-3</v>
      </c>
      <c r="BT274" s="1">
        <v>2E-3</v>
      </c>
      <c r="BU274" s="1">
        <v>2.5999999999999999E-2</v>
      </c>
      <c r="BV274" s="1">
        <v>1E-3</v>
      </c>
      <c r="BW274" s="1">
        <v>3.0000000000000001E-3</v>
      </c>
      <c r="BX274" s="1">
        <v>6.0000000000000001E-3</v>
      </c>
      <c r="BY274" s="1">
        <v>2.3E-2</v>
      </c>
      <c r="BZ274" s="1">
        <v>1.9E-2</v>
      </c>
      <c r="CA274" s="1">
        <v>4.0000000000000001E-3</v>
      </c>
      <c r="CB274" s="1">
        <v>1E-3</v>
      </c>
      <c r="CC274" s="1">
        <v>3.0000000000000001E-3</v>
      </c>
      <c r="CD274" s="1">
        <v>0</v>
      </c>
      <c r="CE274" s="1">
        <v>2E-3</v>
      </c>
      <c r="CF274" s="1">
        <v>2E-3</v>
      </c>
      <c r="CG274" s="1">
        <v>4.0000000000000001E-3</v>
      </c>
      <c r="CH274" s="1">
        <v>4.0000000000000001E-3</v>
      </c>
      <c r="CI274" s="1">
        <v>4.0000000000000001E-3</v>
      </c>
      <c r="CJ274" s="1">
        <v>6.0000000000000001E-3</v>
      </c>
      <c r="CK274" s="1">
        <v>6.0000000000000001E-3</v>
      </c>
      <c r="CL274" s="1">
        <v>5.5E-2</v>
      </c>
      <c r="CM274" s="1">
        <v>-76.884554210000005</v>
      </c>
      <c r="CN274" s="83">
        <v>-24.613364229999998</v>
      </c>
    </row>
    <row r="275" spans="1:92" s="3" customFormat="1" x14ac:dyDescent="0.25">
      <c r="A275" s="72">
        <v>282</v>
      </c>
      <c r="B275" s="81" t="s">
        <v>1327</v>
      </c>
      <c r="C275" s="1" t="s">
        <v>83</v>
      </c>
      <c r="D275" s="1" t="s">
        <v>73</v>
      </c>
      <c r="E275" s="1" t="s">
        <v>99</v>
      </c>
      <c r="F275" s="1" t="s">
        <v>669</v>
      </c>
      <c r="G275" s="1" t="s">
        <v>204</v>
      </c>
      <c r="H275" s="1" t="s">
        <v>68</v>
      </c>
      <c r="I275" s="1"/>
      <c r="J275" s="9" t="s">
        <v>544</v>
      </c>
      <c r="K275" s="10">
        <v>0.36326649999999999</v>
      </c>
      <c r="L275" s="1" t="s">
        <v>641</v>
      </c>
      <c r="M275" s="1" t="s">
        <v>76</v>
      </c>
      <c r="N275" s="1" t="s">
        <v>649</v>
      </c>
      <c r="O275" s="1" t="s">
        <v>68</v>
      </c>
      <c r="P275" s="82">
        <v>0.875</v>
      </c>
      <c r="Q275" s="1" t="s">
        <v>76</v>
      </c>
      <c r="R275" s="81" t="s">
        <v>177</v>
      </c>
      <c r="S275" s="1">
        <v>1</v>
      </c>
      <c r="T275" s="1" t="s">
        <v>120</v>
      </c>
      <c r="U275" s="1" t="s">
        <v>658</v>
      </c>
      <c r="V275" s="1" t="s">
        <v>655</v>
      </c>
      <c r="W275" s="1">
        <v>61</v>
      </c>
      <c r="X275" s="1" t="s">
        <v>259</v>
      </c>
      <c r="Y275" s="1" t="s">
        <v>645</v>
      </c>
      <c r="Z275" s="1">
        <v>3.0000000000000001E-3</v>
      </c>
      <c r="AA275" s="1">
        <v>1E-3</v>
      </c>
      <c r="AB275" s="1">
        <v>0</v>
      </c>
      <c r="AC275" s="1">
        <v>1E-3</v>
      </c>
      <c r="AD275" s="1">
        <v>2.1000000000000001E-2</v>
      </c>
      <c r="AE275" s="1">
        <v>0</v>
      </c>
      <c r="AF275" s="1">
        <v>1E-3</v>
      </c>
      <c r="AG275" s="1">
        <v>0</v>
      </c>
      <c r="AH275" s="1">
        <v>2E-3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2E-3</v>
      </c>
      <c r="AS275" s="1">
        <v>1E-3</v>
      </c>
      <c r="AT275" s="1">
        <v>0</v>
      </c>
      <c r="AU275" s="1">
        <v>1E-3</v>
      </c>
      <c r="AV275" s="1">
        <v>0</v>
      </c>
      <c r="AW275" s="1">
        <v>0</v>
      </c>
      <c r="AX275" s="1">
        <v>5.0000000000000001E-3</v>
      </c>
      <c r="AY275" s="1">
        <v>1E-3</v>
      </c>
      <c r="AZ275" s="1">
        <v>1E-3</v>
      </c>
      <c r="BA275" s="1">
        <v>1E-3</v>
      </c>
      <c r="BB275" s="1">
        <v>0</v>
      </c>
      <c r="BC275" s="1">
        <v>0</v>
      </c>
      <c r="BD275" s="1">
        <v>2E-3</v>
      </c>
      <c r="BE275" s="1">
        <v>0</v>
      </c>
      <c r="BF275" s="1">
        <v>1E-3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2E-3</v>
      </c>
      <c r="BM275" s="1">
        <v>0</v>
      </c>
      <c r="BN275" s="1">
        <v>0</v>
      </c>
      <c r="BO275" s="1">
        <v>0</v>
      </c>
      <c r="BP275" s="1">
        <v>1E-3</v>
      </c>
      <c r="BQ275" s="1">
        <v>0</v>
      </c>
      <c r="BR275" s="1">
        <v>0</v>
      </c>
      <c r="BS275" s="1">
        <v>3.0000000000000001E-3</v>
      </c>
      <c r="BT275" s="1">
        <v>0</v>
      </c>
      <c r="BU275" s="1">
        <v>1E-3</v>
      </c>
      <c r="BV275" s="1">
        <v>0</v>
      </c>
      <c r="BW275" s="1">
        <v>0</v>
      </c>
      <c r="BX275" s="1">
        <v>2E-3</v>
      </c>
      <c r="BY275" s="1">
        <v>1E-3</v>
      </c>
      <c r="BZ275" s="1">
        <v>2E-3</v>
      </c>
      <c r="CA275" s="1">
        <v>1E-3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1E-3</v>
      </c>
      <c r="CH275" s="1">
        <v>0</v>
      </c>
      <c r="CI275" s="1">
        <v>0</v>
      </c>
      <c r="CJ275" s="1">
        <v>1E-3</v>
      </c>
      <c r="CK275" s="1">
        <v>0.875</v>
      </c>
      <c r="CL275" s="1">
        <v>5.6000000000000001E-2</v>
      </c>
      <c r="CM275" s="1">
        <v>29.147353559999999</v>
      </c>
      <c r="CN275" s="83">
        <v>-38.100995480000002</v>
      </c>
    </row>
    <row r="276" spans="1:92" s="3" customFormat="1" x14ac:dyDescent="0.25">
      <c r="A276" s="72">
        <v>283</v>
      </c>
      <c r="B276" s="81" t="s">
        <v>875</v>
      </c>
      <c r="C276" s="1" t="s">
        <v>83</v>
      </c>
      <c r="D276" s="1" t="s">
        <v>73</v>
      </c>
      <c r="E276" s="1" t="s">
        <v>99</v>
      </c>
      <c r="F276" s="1" t="s">
        <v>669</v>
      </c>
      <c r="G276" s="1" t="s">
        <v>76</v>
      </c>
      <c r="H276" s="1" t="s">
        <v>68</v>
      </c>
      <c r="I276" s="1"/>
      <c r="J276" s="9" t="s">
        <v>544</v>
      </c>
      <c r="K276" s="10">
        <v>0.47547583333333299</v>
      </c>
      <c r="L276" s="1" t="s">
        <v>76</v>
      </c>
      <c r="M276" s="1" t="s">
        <v>506</v>
      </c>
      <c r="N276" s="1" t="s">
        <v>645</v>
      </c>
      <c r="O276" s="1" t="s">
        <v>68</v>
      </c>
      <c r="P276" s="82">
        <v>1</v>
      </c>
      <c r="Q276" s="1" t="s">
        <v>76</v>
      </c>
      <c r="R276" s="81" t="s">
        <v>194</v>
      </c>
      <c r="S276" s="1">
        <v>3</v>
      </c>
      <c r="T276" s="1" t="s">
        <v>120</v>
      </c>
      <c r="U276" s="1" t="s">
        <v>658</v>
      </c>
      <c r="V276" s="1" t="s">
        <v>655</v>
      </c>
      <c r="W276" s="1">
        <v>82</v>
      </c>
      <c r="X276" s="1" t="s">
        <v>76</v>
      </c>
      <c r="Y276" s="1" t="s">
        <v>645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1</v>
      </c>
      <c r="CL276" s="1">
        <v>0</v>
      </c>
      <c r="CM276" s="1">
        <v>20.97327632</v>
      </c>
      <c r="CN276" s="83">
        <v>-35.476810120000003</v>
      </c>
    </row>
    <row r="277" spans="1:92" s="3" customFormat="1" x14ac:dyDescent="0.25">
      <c r="A277" s="72">
        <v>284</v>
      </c>
      <c r="B277" s="81" t="s">
        <v>910</v>
      </c>
      <c r="C277" s="1" t="s">
        <v>83</v>
      </c>
      <c r="D277" s="1" t="s">
        <v>73</v>
      </c>
      <c r="E277" s="1" t="s">
        <v>74</v>
      </c>
      <c r="F277" s="1" t="s">
        <v>669</v>
      </c>
      <c r="G277" s="1" t="s">
        <v>76</v>
      </c>
      <c r="H277" s="1" t="s">
        <v>68</v>
      </c>
      <c r="I277" s="1"/>
      <c r="J277" s="9" t="s">
        <v>544</v>
      </c>
      <c r="K277" s="10">
        <v>0.52877099999999999</v>
      </c>
      <c r="L277" s="1" t="s">
        <v>76</v>
      </c>
      <c r="M277" s="1" t="s">
        <v>506</v>
      </c>
      <c r="N277" s="1" t="s">
        <v>645</v>
      </c>
      <c r="O277" s="1" t="s">
        <v>68</v>
      </c>
      <c r="P277" s="82">
        <v>0.999</v>
      </c>
      <c r="Q277" s="1" t="s">
        <v>76</v>
      </c>
      <c r="R277" s="81" t="s">
        <v>253</v>
      </c>
      <c r="S277" s="1">
        <v>3</v>
      </c>
      <c r="T277" s="1" t="s">
        <v>120</v>
      </c>
      <c r="U277" s="1" t="s">
        <v>658</v>
      </c>
      <c r="V277" s="1" t="s">
        <v>655</v>
      </c>
      <c r="W277" s="1">
        <v>56</v>
      </c>
      <c r="X277" s="1" t="s">
        <v>260</v>
      </c>
      <c r="Y277" s="1" t="s">
        <v>645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0.999</v>
      </c>
      <c r="CL277" s="1">
        <v>1E-3</v>
      </c>
      <c r="CM277" s="1">
        <v>32.304311749999997</v>
      </c>
      <c r="CN277" s="83">
        <v>-77.402448320000005</v>
      </c>
    </row>
    <row r="278" spans="1:92" s="3" customFormat="1" x14ac:dyDescent="0.25">
      <c r="A278" s="72">
        <v>285</v>
      </c>
      <c r="B278" s="81" t="s">
        <v>916</v>
      </c>
      <c r="C278" s="1" t="s">
        <v>83</v>
      </c>
      <c r="D278" s="1" t="s">
        <v>73</v>
      </c>
      <c r="E278" s="1" t="s">
        <v>99</v>
      </c>
      <c r="F278" s="1" t="s">
        <v>211</v>
      </c>
      <c r="G278" s="1" t="s">
        <v>76</v>
      </c>
      <c r="H278" s="1" t="s">
        <v>212</v>
      </c>
      <c r="I278" s="1"/>
      <c r="J278" s="9" t="s">
        <v>544</v>
      </c>
      <c r="K278" s="10">
        <v>0.34747600000000001</v>
      </c>
      <c r="L278" s="1" t="s">
        <v>641</v>
      </c>
      <c r="M278" s="1" t="s">
        <v>76</v>
      </c>
      <c r="N278" s="1" t="s">
        <v>649</v>
      </c>
      <c r="O278" s="1" t="s">
        <v>68</v>
      </c>
      <c r="P278" s="82">
        <v>0.502</v>
      </c>
      <c r="Q278" s="1" t="s">
        <v>76</v>
      </c>
      <c r="R278" s="81" t="s">
        <v>177</v>
      </c>
      <c r="S278" s="1">
        <v>3</v>
      </c>
      <c r="T278" s="1" t="s">
        <v>120</v>
      </c>
      <c r="U278" s="1" t="s">
        <v>658</v>
      </c>
      <c r="V278" s="1" t="s">
        <v>655</v>
      </c>
      <c r="W278" s="1">
        <v>58</v>
      </c>
      <c r="X278" s="1" t="s">
        <v>76</v>
      </c>
      <c r="Y278" s="1" t="s">
        <v>649</v>
      </c>
      <c r="Z278" s="1">
        <v>0.155</v>
      </c>
      <c r="AA278" s="1">
        <v>2E-3</v>
      </c>
      <c r="AB278" s="1">
        <v>1E-3</v>
      </c>
      <c r="AC278" s="1">
        <v>6.0000000000000001E-3</v>
      </c>
      <c r="AD278" s="1">
        <v>8.1000000000000003E-2</v>
      </c>
      <c r="AE278" s="1">
        <v>1E-3</v>
      </c>
      <c r="AF278" s="1">
        <v>1E-3</v>
      </c>
      <c r="AG278" s="1">
        <v>0</v>
      </c>
      <c r="AH278" s="1">
        <v>1.4E-2</v>
      </c>
      <c r="AI278" s="1">
        <v>2E-3</v>
      </c>
      <c r="AJ278" s="1">
        <v>1E-3</v>
      </c>
      <c r="AK278" s="1">
        <v>1E-3</v>
      </c>
      <c r="AL278" s="1">
        <v>0</v>
      </c>
      <c r="AM278" s="1">
        <v>1E-3</v>
      </c>
      <c r="AN278" s="1">
        <v>4.0000000000000001E-3</v>
      </c>
      <c r="AO278" s="1">
        <v>1E-3</v>
      </c>
      <c r="AP278" s="1">
        <v>1E-3</v>
      </c>
      <c r="AQ278" s="1">
        <v>1E-3</v>
      </c>
      <c r="AR278" s="1">
        <v>2E-3</v>
      </c>
      <c r="AS278" s="1">
        <v>2E-3</v>
      </c>
      <c r="AT278" s="1">
        <v>1E-3</v>
      </c>
      <c r="AU278" s="1">
        <v>2E-3</v>
      </c>
      <c r="AV278" s="1">
        <v>2E-3</v>
      </c>
      <c r="AW278" s="1">
        <v>1E-3</v>
      </c>
      <c r="AX278" s="1">
        <v>7.0000000000000001E-3</v>
      </c>
      <c r="AY278" s="1">
        <v>3.0000000000000001E-3</v>
      </c>
      <c r="AZ278" s="1">
        <v>3.0000000000000001E-3</v>
      </c>
      <c r="BA278" s="1">
        <v>4.0000000000000001E-3</v>
      </c>
      <c r="BB278" s="1">
        <v>1E-3</v>
      </c>
      <c r="BC278" s="1">
        <v>1E-3</v>
      </c>
      <c r="BD278" s="1">
        <v>6.0000000000000001E-3</v>
      </c>
      <c r="BE278" s="1">
        <v>1E-3</v>
      </c>
      <c r="BF278" s="1">
        <v>0.01</v>
      </c>
      <c r="BG278" s="1">
        <v>0</v>
      </c>
      <c r="BH278" s="1">
        <v>1E-3</v>
      </c>
      <c r="BI278" s="1">
        <v>1E-3</v>
      </c>
      <c r="BJ278" s="1">
        <v>1E-3</v>
      </c>
      <c r="BK278" s="1">
        <v>1E-3</v>
      </c>
      <c r="BL278" s="1">
        <v>2E-3</v>
      </c>
      <c r="BM278" s="1">
        <v>1E-3</v>
      </c>
      <c r="BN278" s="1">
        <v>1E-3</v>
      </c>
      <c r="BO278" s="1">
        <v>1E-3</v>
      </c>
      <c r="BP278" s="1">
        <v>1E-3</v>
      </c>
      <c r="BQ278" s="1">
        <v>1E-3</v>
      </c>
      <c r="BR278" s="1">
        <v>2E-3</v>
      </c>
      <c r="BS278" s="1">
        <v>3.0000000000000001E-3</v>
      </c>
      <c r="BT278" s="1">
        <v>1E-3</v>
      </c>
      <c r="BU278" s="1">
        <v>5.0000000000000001E-3</v>
      </c>
      <c r="BV278" s="1">
        <v>0</v>
      </c>
      <c r="BW278" s="1">
        <v>1E-3</v>
      </c>
      <c r="BX278" s="1">
        <v>5.0000000000000001E-3</v>
      </c>
      <c r="BY278" s="1">
        <v>4.0000000000000001E-3</v>
      </c>
      <c r="BZ278" s="1">
        <v>6.0000000000000001E-3</v>
      </c>
      <c r="CA278" s="1">
        <v>2E-3</v>
      </c>
      <c r="CB278" s="1">
        <v>1E-3</v>
      </c>
      <c r="CC278" s="1">
        <v>1E-3</v>
      </c>
      <c r="CD278" s="1">
        <v>0</v>
      </c>
      <c r="CE278" s="1">
        <v>1E-3</v>
      </c>
      <c r="CF278" s="1">
        <v>1E-3</v>
      </c>
      <c r="CG278" s="1">
        <v>3.0000000000000001E-3</v>
      </c>
      <c r="CH278" s="1">
        <v>1E-3</v>
      </c>
      <c r="CI278" s="1">
        <v>1E-3</v>
      </c>
      <c r="CJ278" s="1">
        <v>2E-3</v>
      </c>
      <c r="CK278" s="1">
        <v>0.502</v>
      </c>
      <c r="CL278" s="1">
        <v>0.127</v>
      </c>
      <c r="CM278" s="1">
        <v>4.9331458279999998</v>
      </c>
      <c r="CN278" s="83">
        <v>-33.104067499999999</v>
      </c>
    </row>
    <row r="279" spans="1:92" s="3" customFormat="1" x14ac:dyDescent="0.25">
      <c r="A279" s="72">
        <v>286</v>
      </c>
      <c r="B279" s="81" t="s">
        <v>1299</v>
      </c>
      <c r="C279" s="1" t="s">
        <v>83</v>
      </c>
      <c r="D279" s="1" t="s">
        <v>73</v>
      </c>
      <c r="E279" s="1" t="s">
        <v>99</v>
      </c>
      <c r="F279" s="1" t="s">
        <v>669</v>
      </c>
      <c r="G279" s="1" t="s">
        <v>76</v>
      </c>
      <c r="H279" s="1" t="s">
        <v>68</v>
      </c>
      <c r="I279" s="1"/>
      <c r="J279" s="9" t="s">
        <v>544</v>
      </c>
      <c r="K279" s="10">
        <v>0.44094883333333301</v>
      </c>
      <c r="L279" s="1" t="s">
        <v>76</v>
      </c>
      <c r="M279" s="1" t="s">
        <v>506</v>
      </c>
      <c r="N279" s="1" t="s">
        <v>645</v>
      </c>
      <c r="O279" s="1" t="s">
        <v>68</v>
      </c>
      <c r="P279" s="82">
        <v>0.999</v>
      </c>
      <c r="Q279" s="1" t="s">
        <v>76</v>
      </c>
      <c r="R279" s="81" t="s">
        <v>254</v>
      </c>
      <c r="S279" s="1">
        <v>3</v>
      </c>
      <c r="T279" s="1" t="s">
        <v>120</v>
      </c>
      <c r="U279" s="1" t="s">
        <v>658</v>
      </c>
      <c r="V279" s="1" t="s">
        <v>655</v>
      </c>
      <c r="W279" s="1">
        <v>45</v>
      </c>
      <c r="X279" s="1" t="s">
        <v>76</v>
      </c>
      <c r="Y279" s="1" t="s">
        <v>645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1E-3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0.999</v>
      </c>
      <c r="CL279" s="1">
        <v>0</v>
      </c>
      <c r="CM279" s="1">
        <v>49.657429270000002</v>
      </c>
      <c r="CN279" s="83">
        <v>-33.41834867</v>
      </c>
    </row>
    <row r="280" spans="1:92" s="3" customFormat="1" x14ac:dyDescent="0.25">
      <c r="A280" s="72">
        <v>287</v>
      </c>
      <c r="B280" s="81" t="s">
        <v>1323</v>
      </c>
      <c r="C280" s="1" t="s">
        <v>83</v>
      </c>
      <c r="D280" s="1" t="s">
        <v>73</v>
      </c>
      <c r="E280" s="1" t="s">
        <v>74</v>
      </c>
      <c r="F280" s="1" t="s">
        <v>380</v>
      </c>
      <c r="G280" s="1" t="s">
        <v>76</v>
      </c>
      <c r="H280" s="1" t="s">
        <v>24</v>
      </c>
      <c r="I280" s="1" t="s">
        <v>575</v>
      </c>
      <c r="J280" s="9" t="s">
        <v>544</v>
      </c>
      <c r="K280" s="10">
        <v>0.46441199999999999</v>
      </c>
      <c r="L280" s="1" t="s">
        <v>619</v>
      </c>
      <c r="M280" s="1" t="s">
        <v>544</v>
      </c>
      <c r="N280" s="1" t="s">
        <v>646</v>
      </c>
      <c r="O280" s="1" t="s">
        <v>24</v>
      </c>
      <c r="P280" s="82">
        <v>0.999</v>
      </c>
      <c r="Q280" s="1" t="s">
        <v>76</v>
      </c>
      <c r="R280" s="81" t="s">
        <v>253</v>
      </c>
      <c r="S280" s="1">
        <v>2</v>
      </c>
      <c r="T280" s="1" t="s">
        <v>120</v>
      </c>
      <c r="U280" s="1" t="s">
        <v>658</v>
      </c>
      <c r="V280" s="1" t="s">
        <v>655</v>
      </c>
      <c r="W280" s="1">
        <v>75</v>
      </c>
      <c r="X280" s="1" t="s">
        <v>76</v>
      </c>
      <c r="Y280" s="1" t="s">
        <v>646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0.999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-62.506040679999998</v>
      </c>
      <c r="CN280" s="83">
        <v>29.81142492</v>
      </c>
    </row>
    <row r="281" spans="1:92" s="3" customFormat="1" x14ac:dyDescent="0.25">
      <c r="A281" s="72">
        <v>288</v>
      </c>
      <c r="B281" s="81" t="s">
        <v>1144</v>
      </c>
      <c r="C281" s="1" t="s">
        <v>83</v>
      </c>
      <c r="D281" s="1" t="s">
        <v>73</v>
      </c>
      <c r="E281" s="1" t="s">
        <v>99</v>
      </c>
      <c r="F281" s="1" t="s">
        <v>669</v>
      </c>
      <c r="G281" s="1" t="s">
        <v>76</v>
      </c>
      <c r="H281" s="1" t="s">
        <v>68</v>
      </c>
      <c r="I281" s="1"/>
      <c r="J281" s="9" t="s">
        <v>544</v>
      </c>
      <c r="K281" s="10">
        <v>0.337594333333333</v>
      </c>
      <c r="L281" s="1" t="s">
        <v>76</v>
      </c>
      <c r="M281" s="1" t="s">
        <v>506</v>
      </c>
      <c r="N281" s="1" t="s">
        <v>645</v>
      </c>
      <c r="O281" s="1" t="s">
        <v>68</v>
      </c>
      <c r="P281" s="82">
        <v>0.995</v>
      </c>
      <c r="Q281" s="1" t="s">
        <v>76</v>
      </c>
      <c r="R281" s="81" t="s">
        <v>129</v>
      </c>
      <c r="S281" s="1">
        <v>3</v>
      </c>
      <c r="T281" s="1" t="s">
        <v>120</v>
      </c>
      <c r="U281" s="1" t="s">
        <v>658</v>
      </c>
      <c r="V281" s="1" t="s">
        <v>655</v>
      </c>
      <c r="W281" s="1">
        <v>64</v>
      </c>
      <c r="X281" s="1" t="s">
        <v>261</v>
      </c>
      <c r="Y281" s="1" t="s">
        <v>645</v>
      </c>
      <c r="Z281" s="1">
        <v>1E-3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1E-3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0.995</v>
      </c>
      <c r="CL281" s="1">
        <v>0</v>
      </c>
      <c r="CM281" s="1">
        <v>0.104178536</v>
      </c>
      <c r="CN281" s="83">
        <v>-61.158805129999998</v>
      </c>
    </row>
    <row r="282" spans="1:92" s="3" customFormat="1" x14ac:dyDescent="0.25">
      <c r="A282" s="72">
        <v>289</v>
      </c>
      <c r="B282" s="81" t="s">
        <v>881</v>
      </c>
      <c r="C282" s="1" t="s">
        <v>83</v>
      </c>
      <c r="D282" s="1" t="s">
        <v>73</v>
      </c>
      <c r="E282" s="1" t="s">
        <v>74</v>
      </c>
      <c r="F282" s="1" t="s">
        <v>669</v>
      </c>
      <c r="G282" s="1" t="s">
        <v>76</v>
      </c>
      <c r="H282" s="1" t="s">
        <v>68</v>
      </c>
      <c r="I282" s="1"/>
      <c r="J282" s="9" t="s">
        <v>544</v>
      </c>
      <c r="K282" s="10">
        <v>0.51029316666666602</v>
      </c>
      <c r="L282" s="1" t="s">
        <v>76</v>
      </c>
      <c r="M282" s="1" t="s">
        <v>506</v>
      </c>
      <c r="N282" s="1" t="s">
        <v>645</v>
      </c>
      <c r="O282" s="1" t="s">
        <v>68</v>
      </c>
      <c r="P282" s="82">
        <v>0.997</v>
      </c>
      <c r="Q282" s="1" t="s">
        <v>76</v>
      </c>
      <c r="R282" s="81" t="s">
        <v>193</v>
      </c>
      <c r="S282" s="1">
        <v>3</v>
      </c>
      <c r="T282" s="1" t="s">
        <v>120</v>
      </c>
      <c r="U282" s="1" t="s">
        <v>658</v>
      </c>
      <c r="V282" s="1" t="s">
        <v>655</v>
      </c>
      <c r="W282" s="1">
        <v>76</v>
      </c>
      <c r="X282" s="1" t="s">
        <v>76</v>
      </c>
      <c r="Y282" s="1" t="s">
        <v>645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0.997</v>
      </c>
      <c r="CL282" s="1">
        <v>0</v>
      </c>
      <c r="CM282" s="1">
        <v>58.414633899999998</v>
      </c>
      <c r="CN282" s="83">
        <v>-54.272551710000002</v>
      </c>
    </row>
    <row r="283" spans="1:92" s="3" customFormat="1" x14ac:dyDescent="0.25">
      <c r="A283" s="72">
        <v>290</v>
      </c>
      <c r="B283" s="81" t="s">
        <v>836</v>
      </c>
      <c r="C283" s="1" t="s">
        <v>83</v>
      </c>
      <c r="D283" s="1" t="s">
        <v>73</v>
      </c>
      <c r="E283" s="1" t="s">
        <v>74</v>
      </c>
      <c r="F283" s="1" t="s">
        <v>262</v>
      </c>
      <c r="G283" s="1" t="s">
        <v>76</v>
      </c>
      <c r="H283" s="1" t="s">
        <v>65</v>
      </c>
      <c r="I283" s="1"/>
      <c r="J283" s="9" t="s">
        <v>544</v>
      </c>
      <c r="K283" s="10">
        <v>0.58533100000000005</v>
      </c>
      <c r="L283" s="1" t="s">
        <v>641</v>
      </c>
      <c r="M283" s="1" t="s">
        <v>76</v>
      </c>
      <c r="N283" s="1" t="s">
        <v>644</v>
      </c>
      <c r="O283" s="1" t="s">
        <v>54</v>
      </c>
      <c r="P283" s="82">
        <v>0.55200000000000005</v>
      </c>
      <c r="Q283" s="1" t="s">
        <v>76</v>
      </c>
      <c r="R283" s="81" t="s">
        <v>91</v>
      </c>
      <c r="S283" s="1">
        <v>3</v>
      </c>
      <c r="T283" s="1" t="s">
        <v>120</v>
      </c>
      <c r="U283" s="1" t="s">
        <v>658</v>
      </c>
      <c r="V283" s="1" t="s">
        <v>657</v>
      </c>
      <c r="W283" s="1">
        <v>73</v>
      </c>
      <c r="X283" s="1" t="s">
        <v>263</v>
      </c>
      <c r="Y283" s="1" t="s">
        <v>644</v>
      </c>
      <c r="Z283" s="1">
        <v>1E-3</v>
      </c>
      <c r="AA283" s="1">
        <v>2E-3</v>
      </c>
      <c r="AB283" s="1">
        <v>2E-3</v>
      </c>
      <c r="AC283" s="1">
        <v>8.0000000000000002E-3</v>
      </c>
      <c r="AD283" s="1">
        <v>2E-3</v>
      </c>
      <c r="AE283" s="1">
        <v>1E-3</v>
      </c>
      <c r="AF283" s="1">
        <v>3.0000000000000001E-3</v>
      </c>
      <c r="AG283" s="1">
        <v>1E-3</v>
      </c>
      <c r="AH283" s="1">
        <v>5.0000000000000001E-3</v>
      </c>
      <c r="AI283" s="1">
        <v>1E-3</v>
      </c>
      <c r="AJ283" s="1">
        <v>1E-3</v>
      </c>
      <c r="AK283" s="1">
        <v>4.0000000000000001E-3</v>
      </c>
      <c r="AL283" s="1">
        <v>4.0000000000000001E-3</v>
      </c>
      <c r="AM283" s="1">
        <v>0</v>
      </c>
      <c r="AN283" s="1">
        <v>1E-3</v>
      </c>
      <c r="AO283" s="1">
        <v>2E-3</v>
      </c>
      <c r="AP283" s="1">
        <v>1E-3</v>
      </c>
      <c r="AQ283" s="1">
        <v>1E-3</v>
      </c>
      <c r="AR283" s="1">
        <v>1E-3</v>
      </c>
      <c r="AS283" s="1">
        <v>8.0000000000000002E-3</v>
      </c>
      <c r="AT283" s="1">
        <v>4.0000000000000001E-3</v>
      </c>
      <c r="AU283" s="1">
        <v>2E-3</v>
      </c>
      <c r="AV283" s="1">
        <v>1E-3</v>
      </c>
      <c r="AW283" s="1">
        <v>5.0000000000000001E-3</v>
      </c>
      <c r="AX283" s="1">
        <v>2E-3</v>
      </c>
      <c r="AY283" s="1">
        <v>0.16800000000000001</v>
      </c>
      <c r="AZ283" s="1">
        <v>4.4999999999999998E-2</v>
      </c>
      <c r="BA283" s="1">
        <v>1.6E-2</v>
      </c>
      <c r="BB283" s="1">
        <v>1E-3</v>
      </c>
      <c r="BC283" s="1">
        <v>1E-3</v>
      </c>
      <c r="BD283" s="1">
        <v>7.0000000000000001E-3</v>
      </c>
      <c r="BE283" s="1">
        <v>2E-3</v>
      </c>
      <c r="BF283" s="1">
        <v>1E-3</v>
      </c>
      <c r="BG283" s="1">
        <v>1E-3</v>
      </c>
      <c r="BH283" s="1">
        <v>1E-3</v>
      </c>
      <c r="BI283" s="1">
        <v>1E-3</v>
      </c>
      <c r="BJ283" s="1">
        <v>1E-3</v>
      </c>
      <c r="BK283" s="1">
        <v>1E-3</v>
      </c>
      <c r="BL283" s="1">
        <v>8.9999999999999993E-3</v>
      </c>
      <c r="BM283" s="1">
        <v>2E-3</v>
      </c>
      <c r="BN283" s="1">
        <v>3.0000000000000001E-3</v>
      </c>
      <c r="BO283" s="1">
        <v>1E-3</v>
      </c>
      <c r="BP283" s="1">
        <v>1E-3</v>
      </c>
      <c r="BQ283" s="1">
        <v>0.04</v>
      </c>
      <c r="BR283" s="1">
        <v>2E-3</v>
      </c>
      <c r="BS283" s="1">
        <v>1E-3</v>
      </c>
      <c r="BT283" s="1">
        <v>1E-3</v>
      </c>
      <c r="BU283" s="1">
        <v>1E-3</v>
      </c>
      <c r="BV283" s="1">
        <v>1E-3</v>
      </c>
      <c r="BW283" s="1">
        <v>0.55200000000000005</v>
      </c>
      <c r="BX283" s="1">
        <v>4.0000000000000001E-3</v>
      </c>
      <c r="BY283" s="1">
        <v>5.0000000000000001E-3</v>
      </c>
      <c r="BZ283" s="1">
        <v>7.0000000000000001E-3</v>
      </c>
      <c r="CA283" s="1">
        <v>2E-3</v>
      </c>
      <c r="CB283" s="1">
        <v>1E-3</v>
      </c>
      <c r="CC283" s="1">
        <v>3.0000000000000001E-3</v>
      </c>
      <c r="CD283" s="1">
        <v>2E-3</v>
      </c>
      <c r="CE283" s="1">
        <v>2E-3</v>
      </c>
      <c r="CF283" s="1">
        <v>1E-3</v>
      </c>
      <c r="CG283" s="1">
        <v>4.0000000000000001E-3</v>
      </c>
      <c r="CH283" s="1">
        <v>7.0000000000000001E-3</v>
      </c>
      <c r="CI283" s="1">
        <v>3.0000000000000001E-3</v>
      </c>
      <c r="CJ283" s="1">
        <v>6.0000000000000001E-3</v>
      </c>
      <c r="CK283" s="1">
        <v>1.6E-2</v>
      </c>
      <c r="CL283" s="1">
        <v>1.2999999999999999E-2</v>
      </c>
      <c r="CM283" s="1">
        <v>-48.80377223</v>
      </c>
      <c r="CN283" s="83">
        <v>50.921620619999999</v>
      </c>
    </row>
    <row r="284" spans="1:92" s="3" customFormat="1" x14ac:dyDescent="0.25">
      <c r="A284" s="72">
        <v>291</v>
      </c>
      <c r="B284" s="81" t="s">
        <v>1421</v>
      </c>
      <c r="C284" s="1" t="s">
        <v>83</v>
      </c>
      <c r="D284" s="1" t="s">
        <v>73</v>
      </c>
      <c r="E284" s="1" t="s">
        <v>74</v>
      </c>
      <c r="F284" s="1" t="s">
        <v>669</v>
      </c>
      <c r="G284" s="1" t="s">
        <v>76</v>
      </c>
      <c r="H284" s="1" t="s">
        <v>68</v>
      </c>
      <c r="I284" s="1"/>
      <c r="J284" s="9" t="s">
        <v>544</v>
      </c>
      <c r="K284" s="10">
        <v>0.44515749999999998</v>
      </c>
      <c r="L284" s="1" t="s">
        <v>76</v>
      </c>
      <c r="M284" s="1" t="s">
        <v>506</v>
      </c>
      <c r="N284" s="1" t="s">
        <v>645</v>
      </c>
      <c r="O284" s="1" t="s">
        <v>68</v>
      </c>
      <c r="P284" s="82">
        <v>1</v>
      </c>
      <c r="Q284" s="1" t="s">
        <v>76</v>
      </c>
      <c r="R284" s="81" t="s">
        <v>227</v>
      </c>
      <c r="S284" s="1">
        <v>3</v>
      </c>
      <c r="T284" s="1" t="s">
        <v>120</v>
      </c>
      <c r="U284" s="1" t="s">
        <v>658</v>
      </c>
      <c r="V284" s="1" t="s">
        <v>655</v>
      </c>
      <c r="W284" s="1">
        <v>37</v>
      </c>
      <c r="X284" s="1" t="s">
        <v>76</v>
      </c>
      <c r="Y284" s="1" t="s">
        <v>645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1</v>
      </c>
      <c r="CL284" s="1">
        <v>0</v>
      </c>
      <c r="CM284" s="1">
        <v>48.465035579999999</v>
      </c>
      <c r="CN284" s="83">
        <v>-48.351261600000001</v>
      </c>
    </row>
    <row r="285" spans="1:92" s="3" customFormat="1" x14ac:dyDescent="0.25">
      <c r="A285" s="72">
        <v>292</v>
      </c>
      <c r="B285" s="81" t="s">
        <v>1350</v>
      </c>
      <c r="C285" s="1" t="s">
        <v>83</v>
      </c>
      <c r="D285" s="1" t="s">
        <v>73</v>
      </c>
      <c r="E285" s="1" t="s">
        <v>74</v>
      </c>
      <c r="F285" s="1" t="s">
        <v>669</v>
      </c>
      <c r="G285" s="1" t="s">
        <v>76</v>
      </c>
      <c r="H285" s="1" t="s">
        <v>68</v>
      </c>
      <c r="I285" s="1"/>
      <c r="J285" s="9" t="s">
        <v>544</v>
      </c>
      <c r="K285" s="10">
        <v>0.55276950000000002</v>
      </c>
      <c r="L285" s="1" t="s">
        <v>641</v>
      </c>
      <c r="M285" s="1" t="s">
        <v>76</v>
      </c>
      <c r="N285" s="1" t="s">
        <v>644</v>
      </c>
      <c r="O285" s="1" t="s">
        <v>30</v>
      </c>
      <c r="P285" s="82">
        <v>0.35199999999999998</v>
      </c>
      <c r="Q285" s="1" t="s">
        <v>76</v>
      </c>
      <c r="R285" s="81" t="s">
        <v>177</v>
      </c>
      <c r="S285" s="1">
        <v>3</v>
      </c>
      <c r="T285" s="1" t="s">
        <v>120</v>
      </c>
      <c r="U285" s="1" t="s">
        <v>658</v>
      </c>
      <c r="V285" s="1" t="s">
        <v>655</v>
      </c>
      <c r="W285" s="1">
        <v>85</v>
      </c>
      <c r="X285" s="1" t="s">
        <v>76</v>
      </c>
      <c r="Y285" s="1" t="s">
        <v>644</v>
      </c>
      <c r="Z285" s="1">
        <v>3.0000000000000001E-3</v>
      </c>
      <c r="AA285" s="1">
        <v>4.0000000000000001E-3</v>
      </c>
      <c r="AB285" s="1">
        <v>3.0000000000000001E-3</v>
      </c>
      <c r="AC285" s="1">
        <v>8.0000000000000002E-3</v>
      </c>
      <c r="AD285" s="1">
        <v>4.0000000000000001E-3</v>
      </c>
      <c r="AE285" s="1">
        <v>3.0000000000000001E-3</v>
      </c>
      <c r="AF285" s="1">
        <v>4.0000000000000001E-3</v>
      </c>
      <c r="AG285" s="1">
        <v>2E-3</v>
      </c>
      <c r="AH285" s="1">
        <v>8.0000000000000002E-3</v>
      </c>
      <c r="AI285" s="1">
        <v>1E-3</v>
      </c>
      <c r="AJ285" s="1">
        <v>3.0000000000000001E-3</v>
      </c>
      <c r="AK285" s="1">
        <v>1.0999999999999999E-2</v>
      </c>
      <c r="AL285" s="1">
        <v>1.4E-2</v>
      </c>
      <c r="AM285" s="1">
        <v>1E-3</v>
      </c>
      <c r="AN285" s="1">
        <v>4.0000000000000001E-3</v>
      </c>
      <c r="AO285" s="1">
        <v>4.0000000000000001E-3</v>
      </c>
      <c r="AP285" s="1">
        <v>2E-3</v>
      </c>
      <c r="AQ285" s="1">
        <v>2E-3</v>
      </c>
      <c r="AR285" s="1">
        <v>4.0000000000000001E-3</v>
      </c>
      <c r="AS285" s="1">
        <v>8.9999999999999993E-3</v>
      </c>
      <c r="AT285" s="1">
        <v>7.0000000000000001E-3</v>
      </c>
      <c r="AU285" s="1">
        <v>6.0000000000000001E-3</v>
      </c>
      <c r="AV285" s="1">
        <v>3.0000000000000001E-3</v>
      </c>
      <c r="AW285" s="1">
        <v>8.0000000000000002E-3</v>
      </c>
      <c r="AX285" s="1">
        <v>5.0000000000000001E-3</v>
      </c>
      <c r="AY285" s="1">
        <v>0.35199999999999998</v>
      </c>
      <c r="AZ285" s="1">
        <v>8.3000000000000004E-2</v>
      </c>
      <c r="BA285" s="1">
        <v>3.2000000000000001E-2</v>
      </c>
      <c r="BB285" s="1">
        <v>3.0000000000000001E-3</v>
      </c>
      <c r="BC285" s="1">
        <v>2E-3</v>
      </c>
      <c r="BD285" s="1">
        <v>1.0999999999999999E-2</v>
      </c>
      <c r="BE285" s="1">
        <v>3.0000000000000001E-3</v>
      </c>
      <c r="BF285" s="1">
        <v>2E-3</v>
      </c>
      <c r="BG285" s="1">
        <v>2E-3</v>
      </c>
      <c r="BH285" s="1">
        <v>2E-3</v>
      </c>
      <c r="BI285" s="1">
        <v>2E-3</v>
      </c>
      <c r="BJ285" s="1">
        <v>2E-3</v>
      </c>
      <c r="BK285" s="1">
        <v>3.0000000000000001E-3</v>
      </c>
      <c r="BL285" s="1">
        <v>3.6999999999999998E-2</v>
      </c>
      <c r="BM285" s="1">
        <v>4.0000000000000001E-3</v>
      </c>
      <c r="BN285" s="1">
        <v>4.0000000000000001E-3</v>
      </c>
      <c r="BO285" s="1">
        <v>2E-3</v>
      </c>
      <c r="BP285" s="1">
        <v>2E-3</v>
      </c>
      <c r="BQ285" s="1">
        <v>4.3999999999999997E-2</v>
      </c>
      <c r="BR285" s="1">
        <v>3.0000000000000001E-3</v>
      </c>
      <c r="BS285" s="1">
        <v>4.0000000000000001E-3</v>
      </c>
      <c r="BT285" s="1">
        <v>2E-3</v>
      </c>
      <c r="BU285" s="1">
        <v>2E-3</v>
      </c>
      <c r="BV285" s="1">
        <v>2E-3</v>
      </c>
      <c r="BW285" s="1">
        <v>9.2999999999999999E-2</v>
      </c>
      <c r="BX285" s="1">
        <v>8.0000000000000002E-3</v>
      </c>
      <c r="BY285" s="1">
        <v>8.0000000000000002E-3</v>
      </c>
      <c r="BZ285" s="1">
        <v>1.4999999999999999E-2</v>
      </c>
      <c r="CA285" s="1">
        <v>5.0000000000000001E-3</v>
      </c>
      <c r="CB285" s="1">
        <v>2E-3</v>
      </c>
      <c r="CC285" s="1">
        <v>4.0000000000000001E-3</v>
      </c>
      <c r="CD285" s="1">
        <v>0.01</v>
      </c>
      <c r="CE285" s="1">
        <v>4.0000000000000001E-3</v>
      </c>
      <c r="CF285" s="1">
        <v>3.0000000000000001E-3</v>
      </c>
      <c r="CG285" s="1">
        <v>7.0000000000000001E-3</v>
      </c>
      <c r="CH285" s="1">
        <v>8.9999999999999993E-3</v>
      </c>
      <c r="CI285" s="1">
        <v>4.0000000000000001E-3</v>
      </c>
      <c r="CJ285" s="1">
        <v>8.9999999999999993E-3</v>
      </c>
      <c r="CK285" s="1">
        <v>5.0999999999999997E-2</v>
      </c>
      <c r="CL285" s="1">
        <v>3.9E-2</v>
      </c>
      <c r="CM285" s="1">
        <v>-45.538043199999997</v>
      </c>
      <c r="CN285" s="83">
        <v>48.933415199999999</v>
      </c>
    </row>
    <row r="286" spans="1:92" s="3" customFormat="1" hidden="1" x14ac:dyDescent="0.25">
      <c r="A286" s="72">
        <v>293</v>
      </c>
      <c r="B286" s="81" t="s">
        <v>1656</v>
      </c>
      <c r="C286" s="1" t="s">
        <v>83</v>
      </c>
      <c r="D286" s="1" t="s">
        <v>73</v>
      </c>
      <c r="E286" s="1" t="s">
        <v>76</v>
      </c>
      <c r="F286" s="1" t="s">
        <v>664</v>
      </c>
      <c r="G286" s="1" t="s">
        <v>76</v>
      </c>
      <c r="H286" s="1" t="s">
        <v>537</v>
      </c>
      <c r="I286" s="1"/>
      <c r="J286" s="9" t="s">
        <v>544</v>
      </c>
      <c r="K286" s="10">
        <v>0.37985283333333397</v>
      </c>
      <c r="L286" s="1" t="s">
        <v>76</v>
      </c>
      <c r="M286" s="1" t="s">
        <v>506</v>
      </c>
      <c r="N286" s="1" t="s">
        <v>645</v>
      </c>
      <c r="O286" s="1" t="s">
        <v>22</v>
      </c>
      <c r="P286" s="82">
        <v>0.996</v>
      </c>
      <c r="Q286" s="1" t="s">
        <v>76</v>
      </c>
      <c r="R286" s="81" t="s">
        <v>76</v>
      </c>
      <c r="S286" s="1" t="s">
        <v>76</v>
      </c>
      <c r="T286" s="1" t="s">
        <v>120</v>
      </c>
      <c r="U286" s="1" t="s">
        <v>76</v>
      </c>
      <c r="V286" s="1" t="s">
        <v>655</v>
      </c>
      <c r="W286" s="1" t="s">
        <v>269</v>
      </c>
      <c r="X286" s="1" t="s">
        <v>76</v>
      </c>
      <c r="Y286" s="1" t="s">
        <v>645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0.996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-76.236185430000006</v>
      </c>
      <c r="CN286" s="83">
        <v>-22.308199179999999</v>
      </c>
    </row>
    <row r="287" spans="1:92" s="3" customFormat="1" hidden="1" x14ac:dyDescent="0.25">
      <c r="A287" s="72">
        <v>294</v>
      </c>
      <c r="B287" s="81" t="s">
        <v>1657</v>
      </c>
      <c r="C287" s="1" t="s">
        <v>83</v>
      </c>
      <c r="D287" s="1" t="s">
        <v>73</v>
      </c>
      <c r="E287" s="1" t="s">
        <v>76</v>
      </c>
      <c r="F287" s="1" t="s">
        <v>664</v>
      </c>
      <c r="G287" s="1" t="s">
        <v>76</v>
      </c>
      <c r="H287" s="1" t="s">
        <v>537</v>
      </c>
      <c r="I287" s="1"/>
      <c r="J287" s="9" t="s">
        <v>544</v>
      </c>
      <c r="K287" s="10">
        <v>0.42495583333333298</v>
      </c>
      <c r="L287" s="1" t="s">
        <v>76</v>
      </c>
      <c r="M287" s="1" t="s">
        <v>506</v>
      </c>
      <c r="N287" s="1" t="s">
        <v>645</v>
      </c>
      <c r="O287" s="1" t="s">
        <v>22</v>
      </c>
      <c r="P287" s="82">
        <v>0.99099999999999999</v>
      </c>
      <c r="Q287" s="1" t="s">
        <v>76</v>
      </c>
      <c r="R287" s="81" t="s">
        <v>76</v>
      </c>
      <c r="S287" s="1" t="s">
        <v>76</v>
      </c>
      <c r="T287" s="1" t="s">
        <v>120</v>
      </c>
      <c r="U287" s="1" t="s">
        <v>76</v>
      </c>
      <c r="V287" s="1" t="s">
        <v>655</v>
      </c>
      <c r="W287" s="1" t="s">
        <v>269</v>
      </c>
      <c r="X287" s="1" t="s">
        <v>76</v>
      </c>
      <c r="Y287" s="1" t="s">
        <v>645</v>
      </c>
      <c r="Z287" s="1">
        <v>0</v>
      </c>
      <c r="AA287" s="1">
        <v>0</v>
      </c>
      <c r="AB287" s="1">
        <v>0</v>
      </c>
      <c r="AC287" s="1">
        <v>1E-3</v>
      </c>
      <c r="AD287" s="1">
        <v>1E-3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0.99099999999999999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1E-3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-81.165421699999996</v>
      </c>
      <c r="CN287" s="83">
        <v>-24.488362590000001</v>
      </c>
    </row>
    <row r="288" spans="1:92" s="3" customFormat="1" hidden="1" x14ac:dyDescent="0.25">
      <c r="A288" s="72">
        <v>295</v>
      </c>
      <c r="B288" s="81" t="s">
        <v>1667</v>
      </c>
      <c r="C288" s="1" t="s">
        <v>83</v>
      </c>
      <c r="D288" s="1" t="s">
        <v>73</v>
      </c>
      <c r="E288" s="1" t="s">
        <v>76</v>
      </c>
      <c r="F288" s="1" t="s">
        <v>664</v>
      </c>
      <c r="G288" s="1" t="s">
        <v>76</v>
      </c>
      <c r="H288" s="1" t="s">
        <v>537</v>
      </c>
      <c r="I288" s="1"/>
      <c r="J288" s="9" t="s">
        <v>544</v>
      </c>
      <c r="K288" s="10">
        <v>0.36875083333333403</v>
      </c>
      <c r="L288" s="1" t="s">
        <v>641</v>
      </c>
      <c r="M288" s="1" t="s">
        <v>76</v>
      </c>
      <c r="N288" s="1" t="s">
        <v>644</v>
      </c>
      <c r="O288" s="1" t="s">
        <v>9</v>
      </c>
      <c r="P288" s="82">
        <v>0.81499999999999995</v>
      </c>
      <c r="Q288" s="1" t="s">
        <v>76</v>
      </c>
      <c r="R288" s="81" t="s">
        <v>76</v>
      </c>
      <c r="S288" s="1" t="s">
        <v>76</v>
      </c>
      <c r="T288" s="1" t="s">
        <v>120</v>
      </c>
      <c r="U288" s="1" t="s">
        <v>76</v>
      </c>
      <c r="V288" s="1" t="s">
        <v>655</v>
      </c>
      <c r="W288" s="1" t="s">
        <v>269</v>
      </c>
      <c r="X288" s="1" t="s">
        <v>76</v>
      </c>
      <c r="Y288" s="1" t="s">
        <v>644</v>
      </c>
      <c r="Z288" s="1">
        <v>1E-3</v>
      </c>
      <c r="AA288" s="1">
        <v>1E-3</v>
      </c>
      <c r="AB288" s="1">
        <v>1E-3</v>
      </c>
      <c r="AC288" s="1">
        <v>2E-3</v>
      </c>
      <c r="AD288" s="1">
        <v>0.81499999999999995</v>
      </c>
      <c r="AE288" s="1">
        <v>0</v>
      </c>
      <c r="AF288" s="1">
        <v>1E-3</v>
      </c>
      <c r="AG288" s="1">
        <v>0</v>
      </c>
      <c r="AH288" s="1">
        <v>2E-3</v>
      </c>
      <c r="AI288" s="1">
        <v>0</v>
      </c>
      <c r="AJ288" s="1">
        <v>0</v>
      </c>
      <c r="AK288" s="1">
        <v>2E-3</v>
      </c>
      <c r="AL288" s="1">
        <v>0</v>
      </c>
      <c r="AM288" s="1">
        <v>0</v>
      </c>
      <c r="AN288" s="1">
        <v>1E-3</v>
      </c>
      <c r="AO288" s="1">
        <v>0</v>
      </c>
      <c r="AP288" s="1">
        <v>0</v>
      </c>
      <c r="AQ288" s="1">
        <v>8.0000000000000002E-3</v>
      </c>
      <c r="AR288" s="1">
        <v>1E-3</v>
      </c>
      <c r="AS288" s="1">
        <v>2E-3</v>
      </c>
      <c r="AT288" s="1">
        <v>1E-3</v>
      </c>
      <c r="AU288" s="1">
        <v>1E-3</v>
      </c>
      <c r="AV288" s="1">
        <v>0</v>
      </c>
      <c r="AW288" s="1">
        <v>1E-3</v>
      </c>
      <c r="AX288" s="1">
        <v>2E-3</v>
      </c>
      <c r="AY288" s="1">
        <v>1E-3</v>
      </c>
      <c r="AZ288" s="1">
        <v>2E-3</v>
      </c>
      <c r="BA288" s="1">
        <v>2E-3</v>
      </c>
      <c r="BB288" s="1">
        <v>0</v>
      </c>
      <c r="BC288" s="1">
        <v>0</v>
      </c>
      <c r="BD288" s="1">
        <v>3.0000000000000001E-3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7.0000000000000001E-3</v>
      </c>
      <c r="BK288" s="1">
        <v>0</v>
      </c>
      <c r="BL288" s="1">
        <v>1E-3</v>
      </c>
      <c r="BM288" s="1">
        <v>0</v>
      </c>
      <c r="BN288" s="1">
        <v>1E-3</v>
      </c>
      <c r="BO288" s="1">
        <v>0</v>
      </c>
      <c r="BP288" s="1">
        <v>1E-3</v>
      </c>
      <c r="BQ288" s="1">
        <v>1E-3</v>
      </c>
      <c r="BR288" s="1">
        <v>1E-3</v>
      </c>
      <c r="BS288" s="1">
        <v>0</v>
      </c>
      <c r="BT288" s="1">
        <v>0</v>
      </c>
      <c r="BU288" s="1">
        <v>5.0000000000000001E-3</v>
      </c>
      <c r="BV288" s="1">
        <v>0</v>
      </c>
      <c r="BW288" s="1">
        <v>1E-3</v>
      </c>
      <c r="BX288" s="1">
        <v>1E-3</v>
      </c>
      <c r="BY288" s="1">
        <v>4.0000000000000001E-3</v>
      </c>
      <c r="BZ288" s="1">
        <v>7.0000000000000001E-3</v>
      </c>
      <c r="CA288" s="1">
        <v>1E-3</v>
      </c>
      <c r="CB288" s="1">
        <v>0</v>
      </c>
      <c r="CC288" s="1">
        <v>1E-3</v>
      </c>
      <c r="CD288" s="1">
        <v>0</v>
      </c>
      <c r="CE288" s="1">
        <v>0</v>
      </c>
      <c r="CF288" s="1">
        <v>0</v>
      </c>
      <c r="CG288" s="1">
        <v>1E-3</v>
      </c>
      <c r="CH288" s="1">
        <v>1E-3</v>
      </c>
      <c r="CI288" s="1">
        <v>1E-3</v>
      </c>
      <c r="CJ288" s="1">
        <v>1E-3</v>
      </c>
      <c r="CK288" s="1">
        <v>1E-3</v>
      </c>
      <c r="CL288" s="1">
        <v>0.111</v>
      </c>
      <c r="CM288" s="1">
        <v>-74.050951990000002</v>
      </c>
      <c r="CN288" s="83">
        <v>-23.56392464</v>
      </c>
    </row>
    <row r="289" spans="1:92" s="3" customFormat="1" hidden="1" x14ac:dyDescent="0.25">
      <c r="A289" s="72">
        <v>296</v>
      </c>
      <c r="B289" s="81" t="s">
        <v>1668</v>
      </c>
      <c r="C289" s="1" t="s">
        <v>83</v>
      </c>
      <c r="D289" s="1" t="s">
        <v>73</v>
      </c>
      <c r="E289" s="1" t="s">
        <v>76</v>
      </c>
      <c r="F289" s="1" t="s">
        <v>664</v>
      </c>
      <c r="G289" s="1" t="s">
        <v>76</v>
      </c>
      <c r="H289" s="1" t="s">
        <v>537</v>
      </c>
      <c r="I289" s="1"/>
      <c r="J289" s="9" t="s">
        <v>544</v>
      </c>
      <c r="K289" s="10">
        <v>0.36606133333333402</v>
      </c>
      <c r="L289" s="1" t="s">
        <v>641</v>
      </c>
      <c r="M289" s="1" t="s">
        <v>76</v>
      </c>
      <c r="N289" s="1" t="s">
        <v>644</v>
      </c>
      <c r="O289" s="1" t="s">
        <v>9</v>
      </c>
      <c r="P289" s="82">
        <v>0.82799999999999996</v>
      </c>
      <c r="Q289" s="1" t="s">
        <v>76</v>
      </c>
      <c r="R289" s="81" t="s">
        <v>76</v>
      </c>
      <c r="S289" s="1" t="s">
        <v>76</v>
      </c>
      <c r="T289" s="1" t="s">
        <v>120</v>
      </c>
      <c r="U289" s="1" t="s">
        <v>76</v>
      </c>
      <c r="V289" s="1" t="s">
        <v>655</v>
      </c>
      <c r="W289" s="1" t="s">
        <v>269</v>
      </c>
      <c r="X289" s="1" t="s">
        <v>76</v>
      </c>
      <c r="Y289" s="1" t="s">
        <v>644</v>
      </c>
      <c r="Z289" s="1">
        <v>1E-3</v>
      </c>
      <c r="AA289" s="1">
        <v>1E-3</v>
      </c>
      <c r="AB289" s="1">
        <v>1E-3</v>
      </c>
      <c r="AC289" s="1">
        <v>2E-3</v>
      </c>
      <c r="AD289" s="1">
        <v>0.82799999999999996</v>
      </c>
      <c r="AE289" s="1">
        <v>0</v>
      </c>
      <c r="AF289" s="1">
        <v>1E-3</v>
      </c>
      <c r="AG289" s="1">
        <v>0</v>
      </c>
      <c r="AH289" s="1">
        <v>2E-3</v>
      </c>
      <c r="AI289" s="1">
        <v>0</v>
      </c>
      <c r="AJ289" s="1">
        <v>0</v>
      </c>
      <c r="AK289" s="1">
        <v>2E-3</v>
      </c>
      <c r="AL289" s="1">
        <v>0</v>
      </c>
      <c r="AM289" s="1">
        <v>0</v>
      </c>
      <c r="AN289" s="1">
        <v>1E-3</v>
      </c>
      <c r="AO289" s="1">
        <v>0</v>
      </c>
      <c r="AP289" s="1">
        <v>0</v>
      </c>
      <c r="AQ289" s="1">
        <v>7.0000000000000001E-3</v>
      </c>
      <c r="AR289" s="1">
        <v>1E-3</v>
      </c>
      <c r="AS289" s="1">
        <v>2E-3</v>
      </c>
      <c r="AT289" s="1">
        <v>1E-3</v>
      </c>
      <c r="AU289" s="1">
        <v>1E-3</v>
      </c>
      <c r="AV289" s="1">
        <v>0</v>
      </c>
      <c r="AW289" s="1">
        <v>1E-3</v>
      </c>
      <c r="AX289" s="1">
        <v>2E-3</v>
      </c>
      <c r="AY289" s="1">
        <v>1E-3</v>
      </c>
      <c r="AZ289" s="1">
        <v>2E-3</v>
      </c>
      <c r="BA289" s="1">
        <v>2E-3</v>
      </c>
      <c r="BB289" s="1">
        <v>0</v>
      </c>
      <c r="BC289" s="1">
        <v>0</v>
      </c>
      <c r="BD289" s="1">
        <v>3.0000000000000001E-3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6.0000000000000001E-3</v>
      </c>
      <c r="BK289" s="1">
        <v>0</v>
      </c>
      <c r="BL289" s="1">
        <v>1E-3</v>
      </c>
      <c r="BM289" s="1">
        <v>0</v>
      </c>
      <c r="BN289" s="1">
        <v>1E-3</v>
      </c>
      <c r="BO289" s="1">
        <v>0</v>
      </c>
      <c r="BP289" s="1">
        <v>1E-3</v>
      </c>
      <c r="BQ289" s="1">
        <v>1E-3</v>
      </c>
      <c r="BR289" s="1">
        <v>1E-3</v>
      </c>
      <c r="BS289" s="1">
        <v>0</v>
      </c>
      <c r="BT289" s="1">
        <v>0</v>
      </c>
      <c r="BU289" s="1">
        <v>4.0000000000000001E-3</v>
      </c>
      <c r="BV289" s="1">
        <v>0</v>
      </c>
      <c r="BW289" s="1">
        <v>1E-3</v>
      </c>
      <c r="BX289" s="1">
        <v>1E-3</v>
      </c>
      <c r="BY289" s="1">
        <v>4.0000000000000001E-3</v>
      </c>
      <c r="BZ289" s="1">
        <v>7.0000000000000001E-3</v>
      </c>
      <c r="CA289" s="1">
        <v>1E-3</v>
      </c>
      <c r="CB289" s="1">
        <v>0</v>
      </c>
      <c r="CC289" s="1">
        <v>1E-3</v>
      </c>
      <c r="CD289" s="1">
        <v>0</v>
      </c>
      <c r="CE289" s="1">
        <v>0</v>
      </c>
      <c r="CF289" s="1">
        <v>0</v>
      </c>
      <c r="CG289" s="1">
        <v>1E-3</v>
      </c>
      <c r="CH289" s="1">
        <v>1E-3</v>
      </c>
      <c r="CI289" s="1">
        <v>1E-3</v>
      </c>
      <c r="CJ289" s="1">
        <v>1E-3</v>
      </c>
      <c r="CK289" s="1">
        <v>1E-3</v>
      </c>
      <c r="CL289" s="1">
        <v>0.1</v>
      </c>
      <c r="CM289" s="1">
        <v>-73.842357719999995</v>
      </c>
      <c r="CN289" s="83">
        <v>-22.63788546</v>
      </c>
    </row>
    <row r="290" spans="1:92" s="3" customFormat="1" hidden="1" x14ac:dyDescent="0.25">
      <c r="A290" s="72">
        <v>297</v>
      </c>
      <c r="B290" s="81" t="s">
        <v>1663</v>
      </c>
      <c r="C290" s="1" t="s">
        <v>83</v>
      </c>
      <c r="D290" s="1" t="s">
        <v>73</v>
      </c>
      <c r="E290" s="1" t="s">
        <v>76</v>
      </c>
      <c r="F290" s="1" t="s">
        <v>664</v>
      </c>
      <c r="G290" s="1" t="s">
        <v>76</v>
      </c>
      <c r="H290" s="1" t="s">
        <v>537</v>
      </c>
      <c r="I290" s="1"/>
      <c r="J290" s="9" t="s">
        <v>544</v>
      </c>
      <c r="K290" s="10">
        <v>0.405017666666667</v>
      </c>
      <c r="L290" s="1" t="s">
        <v>641</v>
      </c>
      <c r="M290" s="1" t="s">
        <v>76</v>
      </c>
      <c r="N290" s="1" t="s">
        <v>649</v>
      </c>
      <c r="O290" s="1" t="s">
        <v>22</v>
      </c>
      <c r="P290" s="82">
        <v>0.65900000000000003</v>
      </c>
      <c r="Q290" s="1" t="s">
        <v>76</v>
      </c>
      <c r="R290" s="81" t="s">
        <v>76</v>
      </c>
      <c r="S290" s="1" t="s">
        <v>76</v>
      </c>
      <c r="T290" s="1" t="s">
        <v>120</v>
      </c>
      <c r="U290" s="1" t="s">
        <v>76</v>
      </c>
      <c r="V290" s="1" t="s">
        <v>655</v>
      </c>
      <c r="W290" s="1" t="s">
        <v>269</v>
      </c>
      <c r="X290" s="1" t="s">
        <v>76</v>
      </c>
      <c r="Y290" s="1" t="s">
        <v>649</v>
      </c>
      <c r="Z290" s="1">
        <v>1E-3</v>
      </c>
      <c r="AA290" s="1">
        <v>2E-3</v>
      </c>
      <c r="AB290" s="1">
        <v>3.0000000000000001E-3</v>
      </c>
      <c r="AC290" s="1">
        <v>0.01</v>
      </c>
      <c r="AD290" s="1">
        <v>0.17499999999999999</v>
      </c>
      <c r="AE290" s="1">
        <v>1E-3</v>
      </c>
      <c r="AF290" s="1">
        <v>1E-3</v>
      </c>
      <c r="AG290" s="1">
        <v>0</v>
      </c>
      <c r="AH290" s="1">
        <v>5.0000000000000001E-3</v>
      </c>
      <c r="AI290" s="1">
        <v>0</v>
      </c>
      <c r="AJ290" s="1">
        <v>1E-3</v>
      </c>
      <c r="AK290" s="1">
        <v>6.0000000000000001E-3</v>
      </c>
      <c r="AL290" s="1">
        <v>0</v>
      </c>
      <c r="AM290" s="1">
        <v>1E-3</v>
      </c>
      <c r="AN290" s="1">
        <v>1E-3</v>
      </c>
      <c r="AO290" s="1">
        <v>1E-3</v>
      </c>
      <c r="AP290" s="1">
        <v>1E-3</v>
      </c>
      <c r="AQ290" s="1">
        <v>0.65900000000000003</v>
      </c>
      <c r="AR290" s="1">
        <v>1E-3</v>
      </c>
      <c r="AS290" s="1">
        <v>5.0000000000000001E-3</v>
      </c>
      <c r="AT290" s="1">
        <v>2E-3</v>
      </c>
      <c r="AU290" s="1">
        <v>1E-3</v>
      </c>
      <c r="AV290" s="1">
        <v>1E-3</v>
      </c>
      <c r="AW290" s="1">
        <v>3.0000000000000001E-3</v>
      </c>
      <c r="AX290" s="1">
        <v>2E-3</v>
      </c>
      <c r="AY290" s="1">
        <v>3.0000000000000001E-3</v>
      </c>
      <c r="AZ290" s="1">
        <v>3.0000000000000001E-3</v>
      </c>
      <c r="BA290" s="1">
        <v>4.0000000000000001E-3</v>
      </c>
      <c r="BB290" s="1">
        <v>1E-3</v>
      </c>
      <c r="BC290" s="1">
        <v>1E-3</v>
      </c>
      <c r="BD290" s="1">
        <v>7.0000000000000001E-3</v>
      </c>
      <c r="BE290" s="1">
        <v>1E-3</v>
      </c>
      <c r="BF290" s="1">
        <v>1E-3</v>
      </c>
      <c r="BG290" s="1">
        <v>1E-3</v>
      </c>
      <c r="BH290" s="1">
        <v>1E-3</v>
      </c>
      <c r="BI290" s="1">
        <v>1E-3</v>
      </c>
      <c r="BJ290" s="1">
        <v>2E-3</v>
      </c>
      <c r="BK290" s="1">
        <v>1E-3</v>
      </c>
      <c r="BL290" s="1">
        <v>4.0000000000000001E-3</v>
      </c>
      <c r="BM290" s="1">
        <v>1E-3</v>
      </c>
      <c r="BN290" s="1">
        <v>5.0000000000000001E-3</v>
      </c>
      <c r="BO290" s="1">
        <v>1E-3</v>
      </c>
      <c r="BP290" s="1">
        <v>1E-3</v>
      </c>
      <c r="BQ290" s="1">
        <v>2E-3</v>
      </c>
      <c r="BR290" s="1">
        <v>1E-3</v>
      </c>
      <c r="BS290" s="1">
        <v>1E-3</v>
      </c>
      <c r="BT290" s="1">
        <v>1E-3</v>
      </c>
      <c r="BU290" s="1">
        <v>1E-3</v>
      </c>
      <c r="BV290" s="1">
        <v>1E-3</v>
      </c>
      <c r="BW290" s="1">
        <v>1E-3</v>
      </c>
      <c r="BX290" s="1">
        <v>4.0000000000000001E-3</v>
      </c>
      <c r="BY290" s="1">
        <v>1.2999999999999999E-2</v>
      </c>
      <c r="BZ290" s="1">
        <v>1.0999999999999999E-2</v>
      </c>
      <c r="CA290" s="1">
        <v>2E-3</v>
      </c>
      <c r="CB290" s="1">
        <v>0</v>
      </c>
      <c r="CC290" s="1">
        <v>2E-3</v>
      </c>
      <c r="CD290" s="1">
        <v>0</v>
      </c>
      <c r="CE290" s="1">
        <v>1E-3</v>
      </c>
      <c r="CF290" s="1">
        <v>1E-3</v>
      </c>
      <c r="CG290" s="1">
        <v>2E-3</v>
      </c>
      <c r="CH290" s="1">
        <v>3.0000000000000001E-3</v>
      </c>
      <c r="CI290" s="1">
        <v>2E-3</v>
      </c>
      <c r="CJ290" s="1">
        <v>3.0000000000000001E-3</v>
      </c>
      <c r="CK290" s="1">
        <v>3.0000000000000001E-3</v>
      </c>
      <c r="CL290" s="1">
        <v>2.1999999999999999E-2</v>
      </c>
      <c r="CM290" s="1">
        <v>-79.746824279999998</v>
      </c>
      <c r="CN290" s="83">
        <v>-24.08537239</v>
      </c>
    </row>
    <row r="291" spans="1:92" s="3" customFormat="1" hidden="1" x14ac:dyDescent="0.25">
      <c r="A291" s="72">
        <v>298</v>
      </c>
      <c r="B291" s="81" t="s">
        <v>1664</v>
      </c>
      <c r="C291" s="1" t="s">
        <v>83</v>
      </c>
      <c r="D291" s="1" t="s">
        <v>73</v>
      </c>
      <c r="E291" s="1" t="s">
        <v>76</v>
      </c>
      <c r="F291" s="1" t="s">
        <v>664</v>
      </c>
      <c r="G291" s="1" t="s">
        <v>76</v>
      </c>
      <c r="H291" s="1" t="s">
        <v>537</v>
      </c>
      <c r="I291" s="1"/>
      <c r="J291" s="9" t="s">
        <v>544</v>
      </c>
      <c r="K291" s="10">
        <v>0.40980883333333301</v>
      </c>
      <c r="L291" s="1" t="s">
        <v>641</v>
      </c>
      <c r="M291" s="1" t="s">
        <v>76</v>
      </c>
      <c r="N291" s="1" t="s">
        <v>649</v>
      </c>
      <c r="O291" s="1" t="s">
        <v>22</v>
      </c>
      <c r="P291" s="82">
        <v>0.81599999999999995</v>
      </c>
      <c r="Q291" s="1" t="s">
        <v>76</v>
      </c>
      <c r="R291" s="81" t="s">
        <v>76</v>
      </c>
      <c r="S291" s="1" t="s">
        <v>76</v>
      </c>
      <c r="T291" s="1" t="s">
        <v>120</v>
      </c>
      <c r="U291" s="1" t="s">
        <v>76</v>
      </c>
      <c r="V291" s="1" t="s">
        <v>655</v>
      </c>
      <c r="W291" s="1" t="s">
        <v>269</v>
      </c>
      <c r="X291" s="1" t="s">
        <v>76</v>
      </c>
      <c r="Y291" s="1" t="s">
        <v>649</v>
      </c>
      <c r="Z291" s="1">
        <v>0</v>
      </c>
      <c r="AA291" s="1">
        <v>1E-3</v>
      </c>
      <c r="AB291" s="1">
        <v>2E-3</v>
      </c>
      <c r="AC291" s="1">
        <v>7.0000000000000001E-3</v>
      </c>
      <c r="AD291" s="1">
        <v>7.4999999999999997E-2</v>
      </c>
      <c r="AE291" s="1">
        <v>1E-3</v>
      </c>
      <c r="AF291" s="1">
        <v>1E-3</v>
      </c>
      <c r="AG291" s="1">
        <v>0</v>
      </c>
      <c r="AH291" s="1">
        <v>5.0000000000000001E-3</v>
      </c>
      <c r="AI291" s="1">
        <v>0</v>
      </c>
      <c r="AJ291" s="1">
        <v>1E-3</v>
      </c>
      <c r="AK291" s="1">
        <v>4.0000000000000001E-3</v>
      </c>
      <c r="AL291" s="1">
        <v>0</v>
      </c>
      <c r="AM291" s="1">
        <v>1E-3</v>
      </c>
      <c r="AN291" s="1">
        <v>1E-3</v>
      </c>
      <c r="AO291" s="1">
        <v>1E-3</v>
      </c>
      <c r="AP291" s="1">
        <v>1E-3</v>
      </c>
      <c r="AQ291" s="1">
        <v>0.81599999999999995</v>
      </c>
      <c r="AR291" s="1">
        <v>1E-3</v>
      </c>
      <c r="AS291" s="1">
        <v>3.0000000000000001E-3</v>
      </c>
      <c r="AT291" s="1">
        <v>2E-3</v>
      </c>
      <c r="AU291" s="1">
        <v>1E-3</v>
      </c>
      <c r="AV291" s="1">
        <v>1E-3</v>
      </c>
      <c r="AW291" s="1">
        <v>2E-3</v>
      </c>
      <c r="AX291" s="1">
        <v>2E-3</v>
      </c>
      <c r="AY291" s="1">
        <v>2E-3</v>
      </c>
      <c r="AZ291" s="1">
        <v>2E-3</v>
      </c>
      <c r="BA291" s="1">
        <v>3.0000000000000001E-3</v>
      </c>
      <c r="BB291" s="1">
        <v>1E-3</v>
      </c>
      <c r="BC291" s="1">
        <v>0</v>
      </c>
      <c r="BD291" s="1">
        <v>5.0000000000000001E-3</v>
      </c>
      <c r="BE291" s="1">
        <v>1E-3</v>
      </c>
      <c r="BF291" s="1">
        <v>0</v>
      </c>
      <c r="BG291" s="1">
        <v>0</v>
      </c>
      <c r="BH291" s="1">
        <v>1E-3</v>
      </c>
      <c r="BI291" s="1">
        <v>0</v>
      </c>
      <c r="BJ291" s="1">
        <v>1E-3</v>
      </c>
      <c r="BK291" s="1">
        <v>0</v>
      </c>
      <c r="BL291" s="1">
        <v>3.0000000000000001E-3</v>
      </c>
      <c r="BM291" s="1">
        <v>1E-3</v>
      </c>
      <c r="BN291" s="1">
        <v>3.0000000000000001E-3</v>
      </c>
      <c r="BO291" s="1">
        <v>0</v>
      </c>
      <c r="BP291" s="1">
        <v>0</v>
      </c>
      <c r="BQ291" s="1">
        <v>2E-3</v>
      </c>
      <c r="BR291" s="1">
        <v>1E-3</v>
      </c>
      <c r="BS291" s="1">
        <v>1E-3</v>
      </c>
      <c r="BT291" s="1">
        <v>1E-3</v>
      </c>
      <c r="BU291" s="1">
        <v>1E-3</v>
      </c>
      <c r="BV291" s="1">
        <v>1E-3</v>
      </c>
      <c r="BW291" s="1">
        <v>1E-3</v>
      </c>
      <c r="BX291" s="1">
        <v>2E-3</v>
      </c>
      <c r="BY291" s="1">
        <v>0.01</v>
      </c>
      <c r="BZ291" s="1">
        <v>6.0000000000000001E-3</v>
      </c>
      <c r="CA291" s="1">
        <v>1E-3</v>
      </c>
      <c r="CB291" s="1">
        <v>0</v>
      </c>
      <c r="CC291" s="1">
        <v>1E-3</v>
      </c>
      <c r="CD291" s="1">
        <v>0</v>
      </c>
      <c r="CE291" s="1">
        <v>1E-3</v>
      </c>
      <c r="CF291" s="1">
        <v>1E-3</v>
      </c>
      <c r="CG291" s="1">
        <v>2E-3</v>
      </c>
      <c r="CH291" s="1">
        <v>2E-3</v>
      </c>
      <c r="CI291" s="1">
        <v>1E-3</v>
      </c>
      <c r="CJ291" s="1">
        <v>2E-3</v>
      </c>
      <c r="CK291" s="1">
        <v>2E-3</v>
      </c>
      <c r="CL291" s="1">
        <v>1.0999999999999999E-2</v>
      </c>
      <c r="CM291" s="1">
        <v>-77.345781639999998</v>
      </c>
      <c r="CN291" s="83">
        <v>-23.379104179999999</v>
      </c>
    </row>
    <row r="292" spans="1:92" s="3" customFormat="1" hidden="1" x14ac:dyDescent="0.25">
      <c r="A292" s="72">
        <v>299</v>
      </c>
      <c r="B292" s="81" t="s">
        <v>1658</v>
      </c>
      <c r="C292" s="1" t="s">
        <v>83</v>
      </c>
      <c r="D292" s="1" t="s">
        <v>73</v>
      </c>
      <c r="E292" s="1" t="s">
        <v>76</v>
      </c>
      <c r="F292" s="1" t="s">
        <v>664</v>
      </c>
      <c r="G292" s="1" t="s">
        <v>76</v>
      </c>
      <c r="H292" s="1" t="s">
        <v>537</v>
      </c>
      <c r="I292" s="1"/>
      <c r="J292" s="9" t="s">
        <v>544</v>
      </c>
      <c r="K292" s="10">
        <v>0.42370833333333302</v>
      </c>
      <c r="L292" s="1" t="s">
        <v>76</v>
      </c>
      <c r="M292" s="1" t="s">
        <v>506</v>
      </c>
      <c r="N292" s="1" t="s">
        <v>645</v>
      </c>
      <c r="O292" s="1" t="s">
        <v>22</v>
      </c>
      <c r="P292" s="82">
        <v>0.999</v>
      </c>
      <c r="Q292" s="1" t="s">
        <v>76</v>
      </c>
      <c r="R292" s="81" t="s">
        <v>76</v>
      </c>
      <c r="S292" s="1" t="s">
        <v>76</v>
      </c>
      <c r="T292" s="1" t="s">
        <v>120</v>
      </c>
      <c r="U292" s="1" t="s">
        <v>76</v>
      </c>
      <c r="V292" s="1" t="s">
        <v>655</v>
      </c>
      <c r="W292" s="1" t="s">
        <v>269</v>
      </c>
      <c r="X292" s="1" t="s">
        <v>76</v>
      </c>
      <c r="Y292" s="1" t="s">
        <v>645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0.999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-79.968367499999999</v>
      </c>
      <c r="CN292" s="83">
        <v>-28.31601848</v>
      </c>
    </row>
    <row r="293" spans="1:92" s="3" customFormat="1" hidden="1" x14ac:dyDescent="0.25">
      <c r="A293" s="72">
        <v>300</v>
      </c>
      <c r="B293" s="81" t="s">
        <v>1659</v>
      </c>
      <c r="C293" s="1" t="s">
        <v>83</v>
      </c>
      <c r="D293" s="1" t="s">
        <v>73</v>
      </c>
      <c r="E293" s="1" t="s">
        <v>76</v>
      </c>
      <c r="F293" s="1" t="s">
        <v>664</v>
      </c>
      <c r="G293" s="1" t="s">
        <v>76</v>
      </c>
      <c r="H293" s="1" t="s">
        <v>537</v>
      </c>
      <c r="I293" s="1"/>
      <c r="J293" s="9" t="s">
        <v>544</v>
      </c>
      <c r="K293" s="10">
        <v>0.409511666666667</v>
      </c>
      <c r="L293" s="1" t="s">
        <v>76</v>
      </c>
      <c r="M293" s="1" t="s">
        <v>506</v>
      </c>
      <c r="N293" s="1" t="s">
        <v>645</v>
      </c>
      <c r="O293" s="1" t="s">
        <v>22</v>
      </c>
      <c r="P293" s="82">
        <v>0.96</v>
      </c>
      <c r="Q293" s="1" t="s">
        <v>76</v>
      </c>
      <c r="R293" s="81" t="s">
        <v>76</v>
      </c>
      <c r="S293" s="1" t="s">
        <v>76</v>
      </c>
      <c r="T293" s="1" t="s">
        <v>120</v>
      </c>
      <c r="U293" s="1" t="s">
        <v>76</v>
      </c>
      <c r="V293" s="1" t="s">
        <v>655</v>
      </c>
      <c r="W293" s="1" t="s">
        <v>269</v>
      </c>
      <c r="X293" s="1" t="s">
        <v>76</v>
      </c>
      <c r="Y293" s="1" t="s">
        <v>645</v>
      </c>
      <c r="Z293" s="1">
        <v>0</v>
      </c>
      <c r="AA293" s="1">
        <v>0</v>
      </c>
      <c r="AB293" s="1">
        <v>0</v>
      </c>
      <c r="AC293" s="1">
        <v>3.0000000000000001E-3</v>
      </c>
      <c r="AD293" s="1">
        <v>6.0000000000000001E-3</v>
      </c>
      <c r="AE293" s="1">
        <v>0</v>
      </c>
      <c r="AF293" s="1">
        <v>0</v>
      </c>
      <c r="AG293" s="1">
        <v>0</v>
      </c>
      <c r="AH293" s="1">
        <v>1E-3</v>
      </c>
      <c r="AI293" s="1">
        <v>0</v>
      </c>
      <c r="AJ293" s="1">
        <v>0</v>
      </c>
      <c r="AK293" s="1">
        <v>1E-3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0.96</v>
      </c>
      <c r="AR293" s="1">
        <v>0</v>
      </c>
      <c r="AS293" s="1">
        <v>1E-3</v>
      </c>
      <c r="AT293" s="1">
        <v>1E-3</v>
      </c>
      <c r="AU293" s="1">
        <v>0</v>
      </c>
      <c r="AV293" s="1">
        <v>0</v>
      </c>
      <c r="AW293" s="1">
        <v>1E-3</v>
      </c>
      <c r="AX293" s="1">
        <v>0</v>
      </c>
      <c r="AY293" s="1">
        <v>1E-3</v>
      </c>
      <c r="AZ293" s="1">
        <v>1E-3</v>
      </c>
      <c r="BA293" s="1">
        <v>1E-3</v>
      </c>
      <c r="BB293" s="1">
        <v>0</v>
      </c>
      <c r="BC293" s="1">
        <v>0</v>
      </c>
      <c r="BD293" s="1">
        <v>2E-3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1E-3</v>
      </c>
      <c r="BM293" s="1">
        <v>0</v>
      </c>
      <c r="BN293" s="1">
        <v>1E-3</v>
      </c>
      <c r="BO293" s="1">
        <v>0</v>
      </c>
      <c r="BP293" s="1">
        <v>0</v>
      </c>
      <c r="BQ293" s="1">
        <v>1E-3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1E-3</v>
      </c>
      <c r="BY293" s="1">
        <v>3.0000000000000001E-3</v>
      </c>
      <c r="BZ293" s="1">
        <v>2E-3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1E-3</v>
      </c>
      <c r="CH293" s="1">
        <v>1E-3</v>
      </c>
      <c r="CI293" s="1">
        <v>0</v>
      </c>
      <c r="CJ293" s="1">
        <v>1E-3</v>
      </c>
      <c r="CK293" s="1">
        <v>1E-3</v>
      </c>
      <c r="CL293" s="1">
        <v>3.0000000000000001E-3</v>
      </c>
      <c r="CM293" s="1">
        <v>-80.941985560000006</v>
      </c>
      <c r="CN293" s="83">
        <v>-27.32638747</v>
      </c>
    </row>
    <row r="294" spans="1:92" s="3" customFormat="1" hidden="1" x14ac:dyDescent="0.25">
      <c r="A294" s="72">
        <v>301</v>
      </c>
      <c r="B294" s="81" t="s">
        <v>1660</v>
      </c>
      <c r="C294" s="1" t="s">
        <v>83</v>
      </c>
      <c r="D294" s="1" t="s">
        <v>73</v>
      </c>
      <c r="E294" s="1" t="s">
        <v>76</v>
      </c>
      <c r="F294" s="1" t="s">
        <v>664</v>
      </c>
      <c r="G294" s="1" t="s">
        <v>76</v>
      </c>
      <c r="H294" s="1" t="s">
        <v>537</v>
      </c>
      <c r="I294" s="1"/>
      <c r="J294" s="9" t="s">
        <v>544</v>
      </c>
      <c r="K294" s="10">
        <v>0.392072166666667</v>
      </c>
      <c r="L294" s="1" t="s">
        <v>76</v>
      </c>
      <c r="M294" s="1" t="s">
        <v>506</v>
      </c>
      <c r="N294" s="1" t="s">
        <v>645</v>
      </c>
      <c r="O294" s="1" t="s">
        <v>22</v>
      </c>
      <c r="P294" s="82">
        <v>0.995</v>
      </c>
      <c r="Q294" s="1" t="s">
        <v>76</v>
      </c>
      <c r="R294" s="81" t="s">
        <v>76</v>
      </c>
      <c r="S294" s="1" t="s">
        <v>76</v>
      </c>
      <c r="T294" s="1" t="s">
        <v>120</v>
      </c>
      <c r="U294" s="1" t="s">
        <v>76</v>
      </c>
      <c r="V294" s="1" t="s">
        <v>655</v>
      </c>
      <c r="W294" s="1" t="s">
        <v>269</v>
      </c>
      <c r="X294" s="1" t="s">
        <v>76</v>
      </c>
      <c r="Y294" s="1" t="s">
        <v>645</v>
      </c>
      <c r="Z294" s="1">
        <v>0</v>
      </c>
      <c r="AA294" s="1">
        <v>0</v>
      </c>
      <c r="AB294" s="1">
        <v>0</v>
      </c>
      <c r="AC294" s="1">
        <v>1E-3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0.995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-79.16859565</v>
      </c>
      <c r="CN294" s="83">
        <v>-26.400209759999999</v>
      </c>
    </row>
    <row r="295" spans="1:92" s="3" customFormat="1" hidden="1" x14ac:dyDescent="0.25">
      <c r="A295" s="72">
        <v>302</v>
      </c>
      <c r="B295" s="81" t="s">
        <v>1661</v>
      </c>
      <c r="C295" s="1" t="s">
        <v>83</v>
      </c>
      <c r="D295" s="1" t="s">
        <v>73</v>
      </c>
      <c r="E295" s="1" t="s">
        <v>76</v>
      </c>
      <c r="F295" s="1" t="s">
        <v>664</v>
      </c>
      <c r="G295" s="1" t="s">
        <v>76</v>
      </c>
      <c r="H295" s="1" t="s">
        <v>537</v>
      </c>
      <c r="I295" s="1"/>
      <c r="J295" s="9" t="s">
        <v>544</v>
      </c>
      <c r="K295" s="10">
        <v>0.40549299999999999</v>
      </c>
      <c r="L295" s="1" t="s">
        <v>76</v>
      </c>
      <c r="M295" s="1" t="s">
        <v>506</v>
      </c>
      <c r="N295" s="1" t="s">
        <v>645</v>
      </c>
      <c r="O295" s="1" t="s">
        <v>22</v>
      </c>
      <c r="P295" s="82">
        <v>0.96899999999999997</v>
      </c>
      <c r="Q295" s="1" t="s">
        <v>76</v>
      </c>
      <c r="R295" s="81" t="s">
        <v>76</v>
      </c>
      <c r="S295" s="1" t="s">
        <v>76</v>
      </c>
      <c r="T295" s="1" t="s">
        <v>120</v>
      </c>
      <c r="U295" s="1" t="s">
        <v>76</v>
      </c>
      <c r="V295" s="1" t="s">
        <v>655</v>
      </c>
      <c r="W295" s="1" t="s">
        <v>269</v>
      </c>
      <c r="X295" s="1" t="s">
        <v>76</v>
      </c>
      <c r="Y295" s="1" t="s">
        <v>645</v>
      </c>
      <c r="Z295" s="1">
        <v>0</v>
      </c>
      <c r="AA295" s="1">
        <v>0</v>
      </c>
      <c r="AB295" s="1">
        <v>0</v>
      </c>
      <c r="AC295" s="1">
        <v>3.0000000000000001E-3</v>
      </c>
      <c r="AD295" s="1">
        <v>4.0000000000000001E-3</v>
      </c>
      <c r="AE295" s="1">
        <v>0</v>
      </c>
      <c r="AF295" s="1">
        <v>0</v>
      </c>
      <c r="AG295" s="1">
        <v>0</v>
      </c>
      <c r="AH295" s="1">
        <v>1E-3</v>
      </c>
      <c r="AI295" s="1">
        <v>0</v>
      </c>
      <c r="AJ295" s="1">
        <v>0</v>
      </c>
      <c r="AK295" s="1">
        <v>1E-3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0.96899999999999997</v>
      </c>
      <c r="AR295" s="1">
        <v>0</v>
      </c>
      <c r="AS295" s="1">
        <v>1E-3</v>
      </c>
      <c r="AT295" s="1">
        <v>0</v>
      </c>
      <c r="AU295" s="1">
        <v>0</v>
      </c>
      <c r="AV295" s="1">
        <v>0</v>
      </c>
      <c r="AW295" s="1">
        <v>1E-3</v>
      </c>
      <c r="AX295" s="1">
        <v>0</v>
      </c>
      <c r="AY295" s="1">
        <v>1E-3</v>
      </c>
      <c r="AZ295" s="1">
        <v>0</v>
      </c>
      <c r="BA295" s="1">
        <v>1E-3</v>
      </c>
      <c r="BB295" s="1">
        <v>0</v>
      </c>
      <c r="BC295" s="1">
        <v>0</v>
      </c>
      <c r="BD295" s="1">
        <v>1E-3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1E-3</v>
      </c>
      <c r="BM295" s="1">
        <v>0</v>
      </c>
      <c r="BN295" s="1">
        <v>1E-3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1E-3</v>
      </c>
      <c r="BY295" s="1">
        <v>3.0000000000000001E-3</v>
      </c>
      <c r="BZ295" s="1">
        <v>1E-3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1E-3</v>
      </c>
      <c r="CI295" s="1">
        <v>0</v>
      </c>
      <c r="CJ295" s="1">
        <v>1E-3</v>
      </c>
      <c r="CK295" s="1">
        <v>1E-3</v>
      </c>
      <c r="CL295" s="1">
        <v>2E-3</v>
      </c>
      <c r="CM295" s="1">
        <v>-80.374255140000002</v>
      </c>
      <c r="CN295" s="83">
        <v>-25.664614960000002</v>
      </c>
    </row>
    <row r="296" spans="1:92" s="3" customFormat="1" hidden="1" x14ac:dyDescent="0.25">
      <c r="A296" s="72">
        <v>303</v>
      </c>
      <c r="B296" s="81" t="s">
        <v>1665</v>
      </c>
      <c r="C296" s="1" t="s">
        <v>83</v>
      </c>
      <c r="D296" s="1" t="s">
        <v>73</v>
      </c>
      <c r="E296" s="1" t="s">
        <v>76</v>
      </c>
      <c r="F296" s="1" t="s">
        <v>664</v>
      </c>
      <c r="G296" s="1" t="s">
        <v>76</v>
      </c>
      <c r="H296" s="1" t="s">
        <v>537</v>
      </c>
      <c r="I296" s="1"/>
      <c r="J296" s="9" t="s">
        <v>544</v>
      </c>
      <c r="K296" s="10">
        <v>0.42016266666666702</v>
      </c>
      <c r="L296" s="1" t="s">
        <v>641</v>
      </c>
      <c r="M296" s="1" t="s">
        <v>76</v>
      </c>
      <c r="N296" s="1" t="s">
        <v>649</v>
      </c>
      <c r="O296" s="1" t="s">
        <v>22</v>
      </c>
      <c r="P296" s="82">
        <v>0.80900000000000005</v>
      </c>
      <c r="Q296" s="1" t="s">
        <v>76</v>
      </c>
      <c r="R296" s="81" t="s">
        <v>76</v>
      </c>
      <c r="S296" s="1" t="s">
        <v>76</v>
      </c>
      <c r="T296" s="1" t="s">
        <v>120</v>
      </c>
      <c r="U296" s="1" t="s">
        <v>76</v>
      </c>
      <c r="V296" s="1" t="s">
        <v>655</v>
      </c>
      <c r="W296" s="1" t="s">
        <v>269</v>
      </c>
      <c r="X296" s="1" t="s">
        <v>76</v>
      </c>
      <c r="Y296" s="1" t="s">
        <v>649</v>
      </c>
      <c r="Z296" s="1">
        <v>1E-3</v>
      </c>
      <c r="AA296" s="1">
        <v>1E-3</v>
      </c>
      <c r="AB296" s="1">
        <v>2E-3</v>
      </c>
      <c r="AC296" s="1">
        <v>0.01</v>
      </c>
      <c r="AD296" s="1">
        <v>0.04</v>
      </c>
      <c r="AE296" s="1">
        <v>1E-3</v>
      </c>
      <c r="AF296" s="1">
        <v>1E-3</v>
      </c>
      <c r="AG296" s="1">
        <v>0</v>
      </c>
      <c r="AH296" s="1">
        <v>5.0000000000000001E-3</v>
      </c>
      <c r="AI296" s="1">
        <v>0</v>
      </c>
      <c r="AJ296" s="1">
        <v>1E-3</v>
      </c>
      <c r="AK296" s="1">
        <v>6.0000000000000001E-3</v>
      </c>
      <c r="AL296" s="1">
        <v>0</v>
      </c>
      <c r="AM296" s="1">
        <v>1E-3</v>
      </c>
      <c r="AN296" s="1">
        <v>1E-3</v>
      </c>
      <c r="AO296" s="1">
        <v>1E-3</v>
      </c>
      <c r="AP296" s="1">
        <v>1E-3</v>
      </c>
      <c r="AQ296" s="1">
        <v>0.80900000000000005</v>
      </c>
      <c r="AR296" s="1">
        <v>1E-3</v>
      </c>
      <c r="AS296" s="1">
        <v>5.0000000000000001E-3</v>
      </c>
      <c r="AT296" s="1">
        <v>2E-3</v>
      </c>
      <c r="AU296" s="1">
        <v>1E-3</v>
      </c>
      <c r="AV296" s="1">
        <v>1E-3</v>
      </c>
      <c r="AW296" s="1">
        <v>3.0000000000000001E-3</v>
      </c>
      <c r="AX296" s="1">
        <v>2E-3</v>
      </c>
      <c r="AY296" s="1">
        <v>3.0000000000000001E-3</v>
      </c>
      <c r="AZ296" s="1">
        <v>3.0000000000000001E-3</v>
      </c>
      <c r="BA296" s="1">
        <v>4.0000000000000001E-3</v>
      </c>
      <c r="BB296" s="1">
        <v>1E-3</v>
      </c>
      <c r="BC296" s="1">
        <v>1E-3</v>
      </c>
      <c r="BD296" s="1">
        <v>7.0000000000000001E-3</v>
      </c>
      <c r="BE296" s="1">
        <v>1E-3</v>
      </c>
      <c r="BF296" s="1">
        <v>1E-3</v>
      </c>
      <c r="BG296" s="1">
        <v>1E-3</v>
      </c>
      <c r="BH296" s="1">
        <v>1E-3</v>
      </c>
      <c r="BI296" s="1">
        <v>1E-3</v>
      </c>
      <c r="BJ296" s="1">
        <v>1E-3</v>
      </c>
      <c r="BK296" s="1">
        <v>1E-3</v>
      </c>
      <c r="BL296" s="1">
        <v>4.0000000000000001E-3</v>
      </c>
      <c r="BM296" s="1">
        <v>1E-3</v>
      </c>
      <c r="BN296" s="1">
        <v>4.0000000000000001E-3</v>
      </c>
      <c r="BO296" s="1">
        <v>1E-3</v>
      </c>
      <c r="BP296" s="1">
        <v>1E-3</v>
      </c>
      <c r="BQ296" s="1">
        <v>2E-3</v>
      </c>
      <c r="BR296" s="1">
        <v>1E-3</v>
      </c>
      <c r="BS296" s="1">
        <v>1E-3</v>
      </c>
      <c r="BT296" s="1">
        <v>1E-3</v>
      </c>
      <c r="BU296" s="1">
        <v>2E-3</v>
      </c>
      <c r="BV296" s="1">
        <v>1E-3</v>
      </c>
      <c r="BW296" s="1">
        <v>1E-3</v>
      </c>
      <c r="BX296" s="1">
        <v>3.0000000000000001E-3</v>
      </c>
      <c r="BY296" s="1">
        <v>1.2999999999999999E-2</v>
      </c>
      <c r="BZ296" s="1">
        <v>0.01</v>
      </c>
      <c r="CA296" s="1">
        <v>2E-3</v>
      </c>
      <c r="CB296" s="1">
        <v>0</v>
      </c>
      <c r="CC296" s="1">
        <v>2E-3</v>
      </c>
      <c r="CD296" s="1">
        <v>0</v>
      </c>
      <c r="CE296" s="1">
        <v>1E-3</v>
      </c>
      <c r="CF296" s="1">
        <v>1E-3</v>
      </c>
      <c r="CG296" s="1">
        <v>2E-3</v>
      </c>
      <c r="CH296" s="1">
        <v>3.0000000000000001E-3</v>
      </c>
      <c r="CI296" s="1">
        <v>2E-3</v>
      </c>
      <c r="CJ296" s="1">
        <v>3.0000000000000001E-3</v>
      </c>
      <c r="CK296" s="1">
        <v>3.0000000000000001E-3</v>
      </c>
      <c r="CL296" s="1">
        <v>1.7000000000000001E-2</v>
      </c>
      <c r="CM296" s="1">
        <v>-82.018872220000006</v>
      </c>
      <c r="CN296" s="83">
        <v>-28.572986749999998</v>
      </c>
    </row>
    <row r="297" spans="1:92" s="3" customFormat="1" x14ac:dyDescent="0.25">
      <c r="A297" s="72">
        <v>214</v>
      </c>
      <c r="B297" s="81" t="s">
        <v>913</v>
      </c>
      <c r="C297" s="1" t="s">
        <v>83</v>
      </c>
      <c r="D297" s="1" t="s">
        <v>79</v>
      </c>
      <c r="E297" s="1" t="s">
        <v>99</v>
      </c>
      <c r="F297" s="1" t="s">
        <v>208</v>
      </c>
      <c r="G297" s="1" t="s">
        <v>240</v>
      </c>
      <c r="H297" s="1" t="s">
        <v>29</v>
      </c>
      <c r="I297" s="1"/>
      <c r="J297" s="9" t="s">
        <v>544</v>
      </c>
      <c r="K297" s="10">
        <v>0.56947566666666705</v>
      </c>
      <c r="L297" s="1" t="s">
        <v>599</v>
      </c>
      <c r="M297" s="1" t="s">
        <v>506</v>
      </c>
      <c r="N297" s="1" t="s">
        <v>648</v>
      </c>
      <c r="O297" s="1" t="s">
        <v>49</v>
      </c>
      <c r="P297" s="82">
        <v>0.96699999999999997</v>
      </c>
      <c r="Q297" s="1" t="s">
        <v>76</v>
      </c>
      <c r="R297" s="81" t="s">
        <v>193</v>
      </c>
      <c r="S297" s="1">
        <v>3</v>
      </c>
      <c r="T297" s="1" t="s">
        <v>120</v>
      </c>
      <c r="U297" s="1" t="s">
        <v>658</v>
      </c>
      <c r="V297" s="1" t="s">
        <v>655</v>
      </c>
      <c r="W297" s="1">
        <v>22</v>
      </c>
      <c r="X297" s="1" t="s">
        <v>76</v>
      </c>
      <c r="Y297" s="1" t="s">
        <v>648</v>
      </c>
      <c r="Z297" s="1">
        <v>0</v>
      </c>
      <c r="AA297" s="1">
        <v>0</v>
      </c>
      <c r="AB297" s="1">
        <v>0</v>
      </c>
      <c r="AC297" s="1">
        <v>1E-3</v>
      </c>
      <c r="AD297" s="1">
        <v>0</v>
      </c>
      <c r="AE297" s="1">
        <v>0</v>
      </c>
      <c r="AF297" s="1">
        <v>0</v>
      </c>
      <c r="AG297" s="1">
        <v>0</v>
      </c>
      <c r="AH297" s="1">
        <v>1E-3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1E-3</v>
      </c>
      <c r="AT297" s="1">
        <v>1E-3</v>
      </c>
      <c r="AU297" s="1">
        <v>0</v>
      </c>
      <c r="AV297" s="1">
        <v>0</v>
      </c>
      <c r="AW297" s="1">
        <v>0</v>
      </c>
      <c r="AX297" s="1">
        <v>1E-3</v>
      </c>
      <c r="AY297" s="1">
        <v>1E-3</v>
      </c>
      <c r="AZ297" s="1">
        <v>0</v>
      </c>
      <c r="BA297" s="1">
        <v>1E-3</v>
      </c>
      <c r="BB297" s="1">
        <v>0</v>
      </c>
      <c r="BC297" s="1">
        <v>0</v>
      </c>
      <c r="BD297" s="1">
        <v>1E-3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2E-3</v>
      </c>
      <c r="BM297" s="1">
        <v>0</v>
      </c>
      <c r="BN297" s="1">
        <v>0</v>
      </c>
      <c r="BO297" s="1">
        <v>0</v>
      </c>
      <c r="BP297" s="1">
        <v>0</v>
      </c>
      <c r="BQ297" s="1">
        <v>1E-3</v>
      </c>
      <c r="BR297" s="1">
        <v>0.96699999999999997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1E-3</v>
      </c>
      <c r="BY297" s="1">
        <v>1E-3</v>
      </c>
      <c r="BZ297" s="1">
        <v>1E-3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4.0000000000000001E-3</v>
      </c>
      <c r="CH297" s="1">
        <v>0</v>
      </c>
      <c r="CI297" s="1">
        <v>0</v>
      </c>
      <c r="CJ297" s="1">
        <v>7.0000000000000001E-3</v>
      </c>
      <c r="CK297" s="1">
        <v>0</v>
      </c>
      <c r="CL297" s="1">
        <v>0</v>
      </c>
      <c r="CM297" s="1">
        <v>-27.667392530000001</v>
      </c>
      <c r="CN297" s="83">
        <v>37.652061379999999</v>
      </c>
    </row>
    <row r="298" spans="1:92" s="3" customFormat="1" x14ac:dyDescent="0.25">
      <c r="A298" s="72">
        <v>305</v>
      </c>
      <c r="B298" s="81" t="s">
        <v>1183</v>
      </c>
      <c r="C298" s="1" t="s">
        <v>83</v>
      </c>
      <c r="D298" s="1" t="s">
        <v>73</v>
      </c>
      <c r="E298" s="1" t="s">
        <v>99</v>
      </c>
      <c r="F298" s="1" t="s">
        <v>264</v>
      </c>
      <c r="G298" s="1" t="s">
        <v>521</v>
      </c>
      <c r="H298" s="1" t="s">
        <v>264</v>
      </c>
      <c r="I298" s="1"/>
      <c r="J298" s="9" t="s">
        <v>506</v>
      </c>
      <c r="K298" s="10">
        <v>0.46114966666666701</v>
      </c>
      <c r="L298" s="1" t="s">
        <v>641</v>
      </c>
      <c r="M298" s="1" t="s">
        <v>76</v>
      </c>
      <c r="N298" s="1" t="s">
        <v>644</v>
      </c>
      <c r="O298" s="1" t="s">
        <v>68</v>
      </c>
      <c r="P298" s="82">
        <v>0.247</v>
      </c>
      <c r="Q298" s="1" t="s">
        <v>76</v>
      </c>
      <c r="R298" s="81" t="s">
        <v>129</v>
      </c>
      <c r="S298" s="1">
        <v>3</v>
      </c>
      <c r="T298" s="1" t="s">
        <v>120</v>
      </c>
      <c r="U298" s="1" t="s">
        <v>424</v>
      </c>
      <c r="V298" s="1" t="s">
        <v>657</v>
      </c>
      <c r="W298" s="1" t="s">
        <v>424</v>
      </c>
      <c r="X298" s="1" t="s">
        <v>76</v>
      </c>
      <c r="Y298" s="1" t="s">
        <v>644</v>
      </c>
      <c r="Z298" s="1">
        <v>0.17399999999999999</v>
      </c>
      <c r="AA298" s="1">
        <v>8.7999999999999995E-2</v>
      </c>
      <c r="AB298" s="1">
        <v>3.0000000000000001E-3</v>
      </c>
      <c r="AC298" s="1">
        <v>3.7999999999999999E-2</v>
      </c>
      <c r="AD298" s="1">
        <v>5.0000000000000001E-3</v>
      </c>
      <c r="AE298" s="1">
        <v>3.0000000000000001E-3</v>
      </c>
      <c r="AF298" s="1">
        <v>4.0000000000000001E-3</v>
      </c>
      <c r="AG298" s="1">
        <v>0</v>
      </c>
      <c r="AH298" s="1">
        <v>7.8E-2</v>
      </c>
      <c r="AI298" s="1">
        <v>2.1000000000000001E-2</v>
      </c>
      <c r="AJ298" s="1">
        <v>2E-3</v>
      </c>
      <c r="AK298" s="1">
        <v>2E-3</v>
      </c>
      <c r="AL298" s="1">
        <v>3.0000000000000001E-3</v>
      </c>
      <c r="AM298" s="1">
        <v>2E-3</v>
      </c>
      <c r="AN298" s="1">
        <v>0.02</v>
      </c>
      <c r="AO298" s="1">
        <v>2E-3</v>
      </c>
      <c r="AP298" s="1">
        <v>3.0000000000000001E-3</v>
      </c>
      <c r="AQ298" s="1">
        <v>2E-3</v>
      </c>
      <c r="AR298" s="1">
        <v>4.0000000000000001E-3</v>
      </c>
      <c r="AS298" s="1">
        <v>5.0000000000000001E-3</v>
      </c>
      <c r="AT298" s="1">
        <v>5.0000000000000001E-3</v>
      </c>
      <c r="AU298" s="1">
        <v>5.0000000000000001E-3</v>
      </c>
      <c r="AV298" s="1">
        <v>6.0000000000000001E-3</v>
      </c>
      <c r="AW298" s="1">
        <v>3.0000000000000001E-3</v>
      </c>
      <c r="AX298" s="1">
        <v>1.6E-2</v>
      </c>
      <c r="AY298" s="1">
        <v>8.9999999999999993E-3</v>
      </c>
      <c r="AZ298" s="1">
        <v>6.0000000000000001E-3</v>
      </c>
      <c r="BA298" s="1">
        <v>1.2999999999999999E-2</v>
      </c>
      <c r="BB298" s="1">
        <v>2E-3</v>
      </c>
      <c r="BC298" s="1">
        <v>2E-3</v>
      </c>
      <c r="BD298" s="1">
        <v>1.6E-2</v>
      </c>
      <c r="BE298" s="1">
        <v>2E-3</v>
      </c>
      <c r="BF298" s="1">
        <v>1.0999999999999999E-2</v>
      </c>
      <c r="BG298" s="1">
        <v>1E-3</v>
      </c>
      <c r="BH298" s="1">
        <v>5.0000000000000001E-3</v>
      </c>
      <c r="BI298" s="1">
        <v>2E-3</v>
      </c>
      <c r="BJ298" s="1">
        <v>2E-3</v>
      </c>
      <c r="BK298" s="1">
        <v>2E-3</v>
      </c>
      <c r="BL298" s="1">
        <v>7.0000000000000001E-3</v>
      </c>
      <c r="BM298" s="1">
        <v>5.0000000000000001E-3</v>
      </c>
      <c r="BN298" s="1">
        <v>3.0000000000000001E-3</v>
      </c>
      <c r="BO298" s="1">
        <v>2E-3</v>
      </c>
      <c r="BP298" s="1">
        <v>2E-3</v>
      </c>
      <c r="BQ298" s="1">
        <v>1.2999999999999999E-2</v>
      </c>
      <c r="BR298" s="1">
        <v>6.0000000000000001E-3</v>
      </c>
      <c r="BS298" s="1">
        <v>3.0000000000000001E-3</v>
      </c>
      <c r="BT298" s="1">
        <v>2E-3</v>
      </c>
      <c r="BU298" s="1">
        <v>5.0000000000000001E-3</v>
      </c>
      <c r="BV298" s="1">
        <v>2E-3</v>
      </c>
      <c r="BW298" s="1">
        <v>3.0000000000000001E-3</v>
      </c>
      <c r="BX298" s="1">
        <v>1.9E-2</v>
      </c>
      <c r="BY298" s="1">
        <v>8.9999999999999993E-3</v>
      </c>
      <c r="BZ298" s="1">
        <v>8.9999999999999993E-3</v>
      </c>
      <c r="CA298" s="1">
        <v>6.0000000000000001E-3</v>
      </c>
      <c r="CB298" s="1">
        <v>2E-3</v>
      </c>
      <c r="CC298" s="1">
        <v>3.0000000000000001E-3</v>
      </c>
      <c r="CD298" s="1">
        <v>0</v>
      </c>
      <c r="CE298" s="1">
        <v>3.0000000000000001E-3</v>
      </c>
      <c r="CF298" s="1">
        <v>1.0999999999999999E-2</v>
      </c>
      <c r="CG298" s="1">
        <v>2.1999999999999999E-2</v>
      </c>
      <c r="CH298" s="1">
        <v>4.0000000000000001E-3</v>
      </c>
      <c r="CI298" s="1">
        <v>4.0000000000000001E-3</v>
      </c>
      <c r="CJ298" s="1">
        <v>8.0000000000000002E-3</v>
      </c>
      <c r="CK298" s="1">
        <v>0.247</v>
      </c>
      <c r="CL298" s="1">
        <v>3.5000000000000003E-2</v>
      </c>
      <c r="CM298" s="1">
        <v>-26.859542569999999</v>
      </c>
      <c r="CN298" s="83">
        <v>35.851218279999998</v>
      </c>
    </row>
    <row r="299" spans="1:92" s="3" customFormat="1" x14ac:dyDescent="0.25">
      <c r="A299" s="72">
        <v>306</v>
      </c>
      <c r="B299" s="81" t="s">
        <v>1431</v>
      </c>
      <c r="C299" s="1" t="s">
        <v>83</v>
      </c>
      <c r="D299" s="1" t="s">
        <v>73</v>
      </c>
      <c r="E299" s="1" t="s">
        <v>74</v>
      </c>
      <c r="F299" s="1" t="s">
        <v>669</v>
      </c>
      <c r="G299" s="1" t="s">
        <v>76</v>
      </c>
      <c r="H299" s="1" t="s">
        <v>68</v>
      </c>
      <c r="I299" s="1"/>
      <c r="J299" s="9" t="s">
        <v>544</v>
      </c>
      <c r="K299" s="10">
        <v>0.40082583333333399</v>
      </c>
      <c r="L299" s="1" t="s">
        <v>76</v>
      </c>
      <c r="M299" s="1" t="s">
        <v>506</v>
      </c>
      <c r="N299" s="1" t="s">
        <v>645</v>
      </c>
      <c r="O299" s="1" t="s">
        <v>68</v>
      </c>
      <c r="P299" s="82">
        <v>0.92600000000000005</v>
      </c>
      <c r="Q299" s="1" t="s">
        <v>76</v>
      </c>
      <c r="R299" s="81" t="s">
        <v>193</v>
      </c>
      <c r="S299" s="1">
        <v>3</v>
      </c>
      <c r="T299" s="1" t="s">
        <v>120</v>
      </c>
      <c r="U299" s="1" t="s">
        <v>660</v>
      </c>
      <c r="V299" s="1" t="s">
        <v>657</v>
      </c>
      <c r="W299" s="1">
        <v>78</v>
      </c>
      <c r="X299" s="1" t="s">
        <v>76</v>
      </c>
      <c r="Y299" s="1" t="s">
        <v>645</v>
      </c>
      <c r="Z299" s="1">
        <v>8.9999999999999993E-3</v>
      </c>
      <c r="AA299" s="1">
        <v>1E-3</v>
      </c>
      <c r="AB299" s="1">
        <v>0</v>
      </c>
      <c r="AC299" s="1">
        <v>2E-3</v>
      </c>
      <c r="AD299" s="1">
        <v>1E-3</v>
      </c>
      <c r="AE299" s="1">
        <v>1E-3</v>
      </c>
      <c r="AF299" s="1">
        <v>1E-3</v>
      </c>
      <c r="AG299" s="1">
        <v>0</v>
      </c>
      <c r="AH299" s="1">
        <v>2E-3</v>
      </c>
      <c r="AI299" s="1">
        <v>0</v>
      </c>
      <c r="AJ299" s="1">
        <v>1E-3</v>
      </c>
      <c r="AK299" s="1">
        <v>0</v>
      </c>
      <c r="AL299" s="1">
        <v>0</v>
      </c>
      <c r="AM299" s="1">
        <v>0</v>
      </c>
      <c r="AN299" s="1">
        <v>1E-3</v>
      </c>
      <c r="AO299" s="1">
        <v>0</v>
      </c>
      <c r="AP299" s="1">
        <v>0</v>
      </c>
      <c r="AQ299" s="1">
        <v>0</v>
      </c>
      <c r="AR299" s="1">
        <v>5.0000000000000001E-3</v>
      </c>
      <c r="AS299" s="1">
        <v>1E-3</v>
      </c>
      <c r="AT299" s="1">
        <v>0</v>
      </c>
      <c r="AU299" s="1">
        <v>2E-3</v>
      </c>
      <c r="AV299" s="1">
        <v>1E-3</v>
      </c>
      <c r="AW299" s="1">
        <v>0</v>
      </c>
      <c r="AX299" s="1">
        <v>3.0000000000000001E-3</v>
      </c>
      <c r="AY299" s="1">
        <v>1E-3</v>
      </c>
      <c r="AZ299" s="1">
        <v>1E-3</v>
      </c>
      <c r="BA299" s="1">
        <v>1E-3</v>
      </c>
      <c r="BB299" s="1">
        <v>1E-3</v>
      </c>
      <c r="BC299" s="1">
        <v>0</v>
      </c>
      <c r="BD299" s="1">
        <v>2E-3</v>
      </c>
      <c r="BE299" s="1">
        <v>0</v>
      </c>
      <c r="BF299" s="1">
        <v>1E-3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1E-3</v>
      </c>
      <c r="BM299" s="1">
        <v>0</v>
      </c>
      <c r="BN299" s="1">
        <v>0</v>
      </c>
      <c r="BO299" s="1">
        <v>1E-3</v>
      </c>
      <c r="BP299" s="1">
        <v>1E-3</v>
      </c>
      <c r="BQ299" s="1">
        <v>1E-3</v>
      </c>
      <c r="BR299" s="1">
        <v>0</v>
      </c>
      <c r="BS299" s="1">
        <v>4.0000000000000001E-3</v>
      </c>
      <c r="BT299" s="1">
        <v>0</v>
      </c>
      <c r="BU299" s="1">
        <v>1E-3</v>
      </c>
      <c r="BV299" s="1">
        <v>0</v>
      </c>
      <c r="BW299" s="1">
        <v>0</v>
      </c>
      <c r="BX299" s="1">
        <v>1.6E-2</v>
      </c>
      <c r="BY299" s="1">
        <v>1E-3</v>
      </c>
      <c r="BZ299" s="1">
        <v>1E-3</v>
      </c>
      <c r="CA299" s="1">
        <v>1E-3</v>
      </c>
      <c r="CB299" s="1">
        <v>1E-3</v>
      </c>
      <c r="CC299" s="1">
        <v>1E-3</v>
      </c>
      <c r="CD299" s="1">
        <v>0</v>
      </c>
      <c r="CE299" s="1">
        <v>0</v>
      </c>
      <c r="CF299" s="1">
        <v>0</v>
      </c>
      <c r="CG299" s="1">
        <v>1E-3</v>
      </c>
      <c r="CH299" s="1">
        <v>0</v>
      </c>
      <c r="CI299" s="1">
        <v>0</v>
      </c>
      <c r="CJ299" s="1">
        <v>1E-3</v>
      </c>
      <c r="CK299" s="1">
        <v>0.92600000000000005</v>
      </c>
      <c r="CL299" s="1">
        <v>1E-3</v>
      </c>
      <c r="CM299" s="1">
        <v>26.46891089</v>
      </c>
      <c r="CN299" s="83">
        <v>-39.69302055</v>
      </c>
    </row>
    <row r="300" spans="1:92" s="3" customFormat="1" x14ac:dyDescent="0.25">
      <c r="A300" s="72">
        <v>307</v>
      </c>
      <c r="B300" s="81" t="s">
        <v>1169</v>
      </c>
      <c r="C300" s="1" t="s">
        <v>83</v>
      </c>
      <c r="D300" s="1" t="s">
        <v>73</v>
      </c>
      <c r="E300" s="1" t="s">
        <v>424</v>
      </c>
      <c r="F300" s="1" t="s">
        <v>669</v>
      </c>
      <c r="G300" s="1" t="s">
        <v>76</v>
      </c>
      <c r="H300" s="1" t="s">
        <v>68</v>
      </c>
      <c r="I300" s="1"/>
      <c r="J300" s="9" t="s">
        <v>544</v>
      </c>
      <c r="K300" s="10">
        <v>0.38244566666666702</v>
      </c>
      <c r="L300" s="1" t="s">
        <v>76</v>
      </c>
      <c r="M300" s="1" t="s">
        <v>506</v>
      </c>
      <c r="N300" s="1" t="s">
        <v>645</v>
      </c>
      <c r="O300" s="1" t="s">
        <v>68</v>
      </c>
      <c r="P300" s="82">
        <v>1</v>
      </c>
      <c r="Q300" s="1" t="s">
        <v>76</v>
      </c>
      <c r="R300" s="81" t="s">
        <v>193</v>
      </c>
      <c r="S300" s="1" t="s">
        <v>76</v>
      </c>
      <c r="T300" s="1" t="s">
        <v>120</v>
      </c>
      <c r="U300" s="1" t="s">
        <v>424</v>
      </c>
      <c r="V300" s="1" t="s">
        <v>657</v>
      </c>
      <c r="W300" s="1" t="s">
        <v>424</v>
      </c>
      <c r="X300" s="1" t="s">
        <v>76</v>
      </c>
      <c r="Y300" s="1" t="s">
        <v>645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1</v>
      </c>
      <c r="CL300" s="1">
        <v>0</v>
      </c>
      <c r="CM300" s="1">
        <v>-3.7342142840000001</v>
      </c>
      <c r="CN300" s="83">
        <v>-68.345109140000005</v>
      </c>
    </row>
    <row r="301" spans="1:92" s="3" customFormat="1" x14ac:dyDescent="0.25">
      <c r="A301" s="72">
        <v>308</v>
      </c>
      <c r="B301" s="81" t="s">
        <v>1335</v>
      </c>
      <c r="C301" s="1" t="s">
        <v>83</v>
      </c>
      <c r="D301" s="1" t="s">
        <v>73</v>
      </c>
      <c r="E301" s="1" t="s">
        <v>99</v>
      </c>
      <c r="F301" s="1" t="s">
        <v>140</v>
      </c>
      <c r="G301" s="1" t="s">
        <v>219</v>
      </c>
      <c r="H301" s="1" t="s">
        <v>43</v>
      </c>
      <c r="I301" s="1"/>
      <c r="J301" s="9" t="s">
        <v>544</v>
      </c>
      <c r="K301" s="10">
        <v>0.59933083333333403</v>
      </c>
      <c r="L301" s="1" t="s">
        <v>641</v>
      </c>
      <c r="M301" s="1" t="s">
        <v>76</v>
      </c>
      <c r="N301" s="1" t="s">
        <v>644</v>
      </c>
      <c r="O301" s="1" t="s">
        <v>55</v>
      </c>
      <c r="P301" s="82">
        <v>0.28699999999999998</v>
      </c>
      <c r="Q301" s="1" t="s">
        <v>76</v>
      </c>
      <c r="R301" s="81" t="s">
        <v>193</v>
      </c>
      <c r="S301" s="1">
        <v>3</v>
      </c>
      <c r="T301" s="1" t="s">
        <v>120</v>
      </c>
      <c r="U301" s="1" t="s">
        <v>424</v>
      </c>
      <c r="V301" s="1" t="s">
        <v>657</v>
      </c>
      <c r="W301" s="1" t="s">
        <v>424</v>
      </c>
      <c r="X301" s="1" t="s">
        <v>76</v>
      </c>
      <c r="Y301" s="1" t="s">
        <v>644</v>
      </c>
      <c r="Z301" s="1">
        <v>1E-3</v>
      </c>
      <c r="AA301" s="1">
        <v>0.255</v>
      </c>
      <c r="AB301" s="1">
        <v>3.0000000000000001E-3</v>
      </c>
      <c r="AC301" s="1">
        <v>1.9E-2</v>
      </c>
      <c r="AD301" s="1">
        <v>3.0000000000000001E-3</v>
      </c>
      <c r="AE301" s="1">
        <v>2E-3</v>
      </c>
      <c r="AF301" s="1">
        <v>4.0000000000000001E-3</v>
      </c>
      <c r="AG301" s="1">
        <v>0</v>
      </c>
      <c r="AH301" s="1">
        <v>1.2999999999999999E-2</v>
      </c>
      <c r="AI301" s="1">
        <v>6.0000000000000001E-3</v>
      </c>
      <c r="AJ301" s="1">
        <v>2E-3</v>
      </c>
      <c r="AK301" s="1">
        <v>5.0000000000000001E-3</v>
      </c>
      <c r="AL301" s="1">
        <v>8.0000000000000002E-3</v>
      </c>
      <c r="AM301" s="1">
        <v>2E-3</v>
      </c>
      <c r="AN301" s="1">
        <v>2E-3</v>
      </c>
      <c r="AO301" s="1">
        <v>3.0000000000000001E-3</v>
      </c>
      <c r="AP301" s="1">
        <v>3.0000000000000001E-3</v>
      </c>
      <c r="AQ301" s="1">
        <v>2E-3</v>
      </c>
      <c r="AR301" s="1">
        <v>3.0000000000000001E-3</v>
      </c>
      <c r="AS301" s="1">
        <v>8.0000000000000002E-3</v>
      </c>
      <c r="AT301" s="1">
        <v>8.0000000000000002E-3</v>
      </c>
      <c r="AU301" s="1">
        <v>1.2999999999999999E-2</v>
      </c>
      <c r="AV301" s="1">
        <v>2E-3</v>
      </c>
      <c r="AW301" s="1">
        <v>7.0000000000000001E-3</v>
      </c>
      <c r="AX301" s="1">
        <v>8.9999999999999993E-3</v>
      </c>
      <c r="AY301" s="1">
        <v>1.2999999999999999E-2</v>
      </c>
      <c r="AZ301" s="1">
        <v>6.0000000000000001E-3</v>
      </c>
      <c r="BA301" s="1">
        <v>1.2E-2</v>
      </c>
      <c r="BB301" s="1">
        <v>3.0000000000000001E-3</v>
      </c>
      <c r="BC301" s="1">
        <v>2E-3</v>
      </c>
      <c r="BD301" s="1">
        <v>1.0999999999999999E-2</v>
      </c>
      <c r="BE301" s="1">
        <v>2E-3</v>
      </c>
      <c r="BF301" s="1">
        <v>1E-3</v>
      </c>
      <c r="BG301" s="1">
        <v>2E-3</v>
      </c>
      <c r="BH301" s="1">
        <v>2E-3</v>
      </c>
      <c r="BI301" s="1">
        <v>2E-3</v>
      </c>
      <c r="BJ301" s="1">
        <v>1E-3</v>
      </c>
      <c r="BK301" s="1">
        <v>2E-3</v>
      </c>
      <c r="BL301" s="1">
        <v>0.03</v>
      </c>
      <c r="BM301" s="1">
        <v>4.0000000000000001E-3</v>
      </c>
      <c r="BN301" s="1">
        <v>4.0000000000000001E-3</v>
      </c>
      <c r="BO301" s="1">
        <v>2E-3</v>
      </c>
      <c r="BP301" s="1">
        <v>1E-3</v>
      </c>
      <c r="BQ301" s="1">
        <v>8.0000000000000002E-3</v>
      </c>
      <c r="BR301" s="1">
        <v>6.0000000000000001E-3</v>
      </c>
      <c r="BS301" s="1">
        <v>4.0000000000000001E-3</v>
      </c>
      <c r="BT301" s="1">
        <v>2E-3</v>
      </c>
      <c r="BU301" s="1">
        <v>2E-3</v>
      </c>
      <c r="BV301" s="1">
        <v>2E-3</v>
      </c>
      <c r="BW301" s="1">
        <v>6.0000000000000001E-3</v>
      </c>
      <c r="BX301" s="1">
        <v>0.28699999999999998</v>
      </c>
      <c r="BY301" s="1">
        <v>1.2E-2</v>
      </c>
      <c r="BZ301" s="1">
        <v>0.01</v>
      </c>
      <c r="CA301" s="1">
        <v>5.0000000000000001E-3</v>
      </c>
      <c r="CB301" s="1">
        <v>1E-3</v>
      </c>
      <c r="CC301" s="1">
        <v>5.0000000000000001E-3</v>
      </c>
      <c r="CD301" s="1">
        <v>1E-3</v>
      </c>
      <c r="CE301" s="1">
        <v>4.0000000000000001E-3</v>
      </c>
      <c r="CF301" s="1">
        <v>5.0000000000000001E-3</v>
      </c>
      <c r="CG301" s="1">
        <v>1.9E-2</v>
      </c>
      <c r="CH301" s="1">
        <v>6.0000000000000001E-3</v>
      </c>
      <c r="CI301" s="1">
        <v>5.0000000000000001E-3</v>
      </c>
      <c r="CJ301" s="1">
        <v>1.0999999999999999E-2</v>
      </c>
      <c r="CK301" s="1">
        <v>0.107</v>
      </c>
      <c r="CL301" s="1">
        <v>8.9999999999999993E-3</v>
      </c>
      <c r="CM301" s="1">
        <v>71.07092059</v>
      </c>
      <c r="CN301" s="83">
        <v>-6.5680701680000002</v>
      </c>
    </row>
    <row r="302" spans="1:92" s="3" customFormat="1" x14ac:dyDescent="0.25">
      <c r="A302" s="72">
        <v>309</v>
      </c>
      <c r="B302" s="81" t="s">
        <v>1342</v>
      </c>
      <c r="C302" s="1" t="s">
        <v>83</v>
      </c>
      <c r="D302" s="1" t="s">
        <v>73</v>
      </c>
      <c r="E302" s="1" t="s">
        <v>99</v>
      </c>
      <c r="F302" s="1" t="s">
        <v>140</v>
      </c>
      <c r="G302" s="1" t="s">
        <v>76</v>
      </c>
      <c r="H302" s="1" t="s">
        <v>43</v>
      </c>
      <c r="I302" s="1"/>
      <c r="J302" s="9" t="s">
        <v>544</v>
      </c>
      <c r="K302" s="10">
        <v>0.44894416666666698</v>
      </c>
      <c r="L302" s="1" t="s">
        <v>641</v>
      </c>
      <c r="M302" s="1" t="s">
        <v>76</v>
      </c>
      <c r="N302" s="1" t="s">
        <v>644</v>
      </c>
      <c r="O302" s="1" t="s">
        <v>29</v>
      </c>
      <c r="P302" s="82">
        <v>0.78100000000000003</v>
      </c>
      <c r="Q302" s="1" t="s">
        <v>76</v>
      </c>
      <c r="R302" s="81" t="s">
        <v>193</v>
      </c>
      <c r="S302" s="1">
        <v>3</v>
      </c>
      <c r="T302" s="1" t="s">
        <v>120</v>
      </c>
      <c r="U302" s="1" t="s">
        <v>424</v>
      </c>
      <c r="V302" s="1" t="s">
        <v>657</v>
      </c>
      <c r="W302" s="1" t="s">
        <v>424</v>
      </c>
      <c r="X302" s="1" t="s">
        <v>76</v>
      </c>
      <c r="Y302" s="1" t="s">
        <v>644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0.78100000000000003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0.21299999999999999</v>
      </c>
      <c r="CL302" s="1">
        <v>0</v>
      </c>
      <c r="CM302" s="1">
        <v>24.230233519999999</v>
      </c>
      <c r="CN302" s="83">
        <v>-26.077236889999998</v>
      </c>
    </row>
    <row r="303" spans="1:92" s="3" customFormat="1" x14ac:dyDescent="0.25">
      <c r="A303" s="72">
        <v>310</v>
      </c>
      <c r="B303" s="81" t="s">
        <v>1274</v>
      </c>
      <c r="C303" s="1" t="s">
        <v>83</v>
      </c>
      <c r="D303" s="1" t="s">
        <v>73</v>
      </c>
      <c r="E303" s="1" t="s">
        <v>74</v>
      </c>
      <c r="F303" s="1" t="s">
        <v>665</v>
      </c>
      <c r="G303" s="1" t="s">
        <v>98</v>
      </c>
      <c r="H303" s="1" t="s">
        <v>48</v>
      </c>
      <c r="I303" s="1"/>
      <c r="J303" s="9" t="s">
        <v>544</v>
      </c>
      <c r="K303" s="10">
        <v>0.45013866666666702</v>
      </c>
      <c r="L303" s="1" t="s">
        <v>641</v>
      </c>
      <c r="M303" s="1" t="s">
        <v>76</v>
      </c>
      <c r="N303" s="1" t="s">
        <v>644</v>
      </c>
      <c r="O303" s="1" t="s">
        <v>29</v>
      </c>
      <c r="P303" s="82">
        <v>0.64800000000000002</v>
      </c>
      <c r="Q303" s="1" t="s">
        <v>76</v>
      </c>
      <c r="R303" s="81" t="s">
        <v>193</v>
      </c>
      <c r="S303" s="1">
        <v>3</v>
      </c>
      <c r="T303" s="1" t="s">
        <v>120</v>
      </c>
      <c r="U303" s="1" t="s">
        <v>424</v>
      </c>
      <c r="V303" s="1" t="s">
        <v>657</v>
      </c>
      <c r="W303" s="1" t="s">
        <v>424</v>
      </c>
      <c r="X303" s="1" t="s">
        <v>76</v>
      </c>
      <c r="Y303" s="1" t="s">
        <v>644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0.64800000000000002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0.34599999999999997</v>
      </c>
      <c r="CL303" s="1">
        <v>0</v>
      </c>
      <c r="CM303" s="1">
        <v>24.469706370000001</v>
      </c>
      <c r="CN303" s="83">
        <v>-26.80622765</v>
      </c>
    </row>
    <row r="304" spans="1:92" s="3" customFormat="1" x14ac:dyDescent="0.25">
      <c r="A304" s="72">
        <v>311</v>
      </c>
      <c r="B304" s="81" t="s">
        <v>1440</v>
      </c>
      <c r="C304" s="1" t="s">
        <v>83</v>
      </c>
      <c r="D304" s="1" t="s">
        <v>73</v>
      </c>
      <c r="E304" s="1" t="s">
        <v>74</v>
      </c>
      <c r="F304" s="1" t="s">
        <v>264</v>
      </c>
      <c r="G304" s="1" t="s">
        <v>522</v>
      </c>
      <c r="H304" s="1" t="s">
        <v>264</v>
      </c>
      <c r="I304" s="1"/>
      <c r="J304" s="9" t="s">
        <v>506</v>
      </c>
      <c r="K304" s="10">
        <v>0.392498333333333</v>
      </c>
      <c r="L304" s="1" t="s">
        <v>628</v>
      </c>
      <c r="M304" s="1" t="s">
        <v>506</v>
      </c>
      <c r="N304" s="1" t="s">
        <v>648</v>
      </c>
      <c r="O304" s="1" t="s">
        <v>68</v>
      </c>
      <c r="P304" s="82">
        <v>0.90900000000000003</v>
      </c>
      <c r="Q304" s="1" t="s">
        <v>76</v>
      </c>
      <c r="R304" s="81" t="s">
        <v>174</v>
      </c>
      <c r="S304" s="1" t="s">
        <v>76</v>
      </c>
      <c r="T304" s="1" t="s">
        <v>120</v>
      </c>
      <c r="U304" s="1" t="s">
        <v>424</v>
      </c>
      <c r="V304" s="1" t="s">
        <v>657</v>
      </c>
      <c r="W304" s="1" t="s">
        <v>424</v>
      </c>
      <c r="X304" s="1" t="s">
        <v>76</v>
      </c>
      <c r="Y304" s="1" t="s">
        <v>648</v>
      </c>
      <c r="Z304" s="1">
        <v>4.0000000000000001E-3</v>
      </c>
      <c r="AA304" s="1">
        <v>1E-3</v>
      </c>
      <c r="AB304" s="1">
        <v>0</v>
      </c>
      <c r="AC304" s="1">
        <v>1E-3</v>
      </c>
      <c r="AD304" s="1">
        <v>0.01</v>
      </c>
      <c r="AE304" s="1">
        <v>0</v>
      </c>
      <c r="AF304" s="1">
        <v>1E-3</v>
      </c>
      <c r="AG304" s="1">
        <v>0</v>
      </c>
      <c r="AH304" s="1">
        <v>1E-3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8.9999999999999993E-3</v>
      </c>
      <c r="AS304" s="1">
        <v>1E-3</v>
      </c>
      <c r="AT304" s="1">
        <v>0</v>
      </c>
      <c r="AU304" s="1">
        <v>1E-3</v>
      </c>
      <c r="AV304" s="1">
        <v>1E-3</v>
      </c>
      <c r="AW304" s="1">
        <v>0</v>
      </c>
      <c r="AX304" s="1">
        <v>0.01</v>
      </c>
      <c r="AY304" s="1">
        <v>1E-3</v>
      </c>
      <c r="AZ304" s="1">
        <v>1E-3</v>
      </c>
      <c r="BA304" s="1">
        <v>1E-3</v>
      </c>
      <c r="BB304" s="1">
        <v>0</v>
      </c>
      <c r="BC304" s="1">
        <v>0</v>
      </c>
      <c r="BD304" s="1">
        <v>1E-3</v>
      </c>
      <c r="BE304" s="1">
        <v>0</v>
      </c>
      <c r="BF304" s="1">
        <v>1E-3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1.4999999999999999E-2</v>
      </c>
      <c r="BQ304" s="1">
        <v>0</v>
      </c>
      <c r="BR304" s="1">
        <v>0</v>
      </c>
      <c r="BS304" s="1">
        <v>7.0000000000000001E-3</v>
      </c>
      <c r="BT304" s="1">
        <v>0</v>
      </c>
      <c r="BU304" s="1">
        <v>1E-3</v>
      </c>
      <c r="BV304" s="1">
        <v>0</v>
      </c>
      <c r="BW304" s="1">
        <v>0</v>
      </c>
      <c r="BX304" s="1">
        <v>2E-3</v>
      </c>
      <c r="BY304" s="1">
        <v>1E-3</v>
      </c>
      <c r="BZ304" s="1">
        <v>4.0000000000000001E-3</v>
      </c>
      <c r="CA304" s="1">
        <v>1E-3</v>
      </c>
      <c r="CB304" s="1">
        <v>0</v>
      </c>
      <c r="CC304" s="1">
        <v>1E-3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0.90900000000000003</v>
      </c>
      <c r="CL304" s="1">
        <v>5.0000000000000001E-3</v>
      </c>
      <c r="CM304" s="1">
        <v>-45.287901380000001</v>
      </c>
      <c r="CN304" s="83">
        <v>-11.429601679999999</v>
      </c>
    </row>
    <row r="305" spans="1:92" s="3" customFormat="1" x14ac:dyDescent="0.25">
      <c r="A305" s="72">
        <v>312</v>
      </c>
      <c r="B305" s="81" t="s">
        <v>1267</v>
      </c>
      <c r="C305" s="1" t="s">
        <v>83</v>
      </c>
      <c r="D305" s="1" t="s">
        <v>73</v>
      </c>
      <c r="E305" s="1" t="s">
        <v>99</v>
      </c>
      <c r="F305" s="1" t="s">
        <v>665</v>
      </c>
      <c r="G305" s="1" t="s">
        <v>98</v>
      </c>
      <c r="H305" s="1" t="s">
        <v>48</v>
      </c>
      <c r="I305" s="1"/>
      <c r="J305" s="9" t="s">
        <v>544</v>
      </c>
      <c r="K305" s="10">
        <v>0.67567266666666603</v>
      </c>
      <c r="L305" s="1" t="s">
        <v>76</v>
      </c>
      <c r="M305" s="1" t="s">
        <v>506</v>
      </c>
      <c r="N305" s="1" t="s">
        <v>645</v>
      </c>
      <c r="O305" s="1" t="s">
        <v>48</v>
      </c>
      <c r="P305" s="82">
        <v>1</v>
      </c>
      <c r="Q305" s="1" t="s">
        <v>76</v>
      </c>
      <c r="R305" s="81" t="s">
        <v>241</v>
      </c>
      <c r="S305" s="1">
        <v>3</v>
      </c>
      <c r="T305" s="1" t="s">
        <v>120</v>
      </c>
      <c r="U305" s="1" t="s">
        <v>424</v>
      </c>
      <c r="V305" s="1" t="s">
        <v>657</v>
      </c>
      <c r="W305" s="1" t="s">
        <v>424</v>
      </c>
      <c r="X305" s="1" t="s">
        <v>76</v>
      </c>
      <c r="Y305" s="1" t="s">
        <v>645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1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-63.028401250000002</v>
      </c>
      <c r="CN305" s="83">
        <v>53.657672150000003</v>
      </c>
    </row>
    <row r="306" spans="1:92" s="3" customFormat="1" x14ac:dyDescent="0.25">
      <c r="A306" s="72">
        <v>313</v>
      </c>
      <c r="B306" s="81" t="s">
        <v>1332</v>
      </c>
      <c r="C306" s="1" t="s">
        <v>83</v>
      </c>
      <c r="D306" s="1" t="s">
        <v>73</v>
      </c>
      <c r="E306" s="1" t="s">
        <v>74</v>
      </c>
      <c r="F306" s="1" t="s">
        <v>140</v>
      </c>
      <c r="G306" s="1" t="s">
        <v>76</v>
      </c>
      <c r="H306" s="1" t="s">
        <v>43</v>
      </c>
      <c r="I306" s="1"/>
      <c r="J306" s="9" t="s">
        <v>544</v>
      </c>
      <c r="K306" s="10">
        <v>0.50542149999999997</v>
      </c>
      <c r="L306" s="1" t="s">
        <v>76</v>
      </c>
      <c r="M306" s="1" t="s">
        <v>506</v>
      </c>
      <c r="N306" s="1" t="s">
        <v>645</v>
      </c>
      <c r="O306" s="1" t="s">
        <v>43</v>
      </c>
      <c r="P306" s="82">
        <v>0.99299999999999999</v>
      </c>
      <c r="Q306" s="1" t="s">
        <v>76</v>
      </c>
      <c r="R306" s="81" t="s">
        <v>174</v>
      </c>
      <c r="S306" s="1">
        <v>3</v>
      </c>
      <c r="T306" s="1" t="s">
        <v>120</v>
      </c>
      <c r="U306" s="1" t="s">
        <v>424</v>
      </c>
      <c r="V306" s="1" t="s">
        <v>657</v>
      </c>
      <c r="W306" s="1" t="s">
        <v>424</v>
      </c>
      <c r="X306" s="1" t="s">
        <v>76</v>
      </c>
      <c r="Y306" s="1" t="s">
        <v>645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0.99299999999999999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2E-3</v>
      </c>
      <c r="CL306" s="1">
        <v>1E-3</v>
      </c>
      <c r="CM306" s="1">
        <v>29.384882080000001</v>
      </c>
      <c r="CN306" s="83">
        <v>-72.526064550000001</v>
      </c>
    </row>
    <row r="307" spans="1:92" s="3" customFormat="1" hidden="1" x14ac:dyDescent="0.25">
      <c r="A307" s="72">
        <v>314</v>
      </c>
      <c r="B307" s="81" t="s">
        <v>1662</v>
      </c>
      <c r="C307" s="1" t="s">
        <v>83</v>
      </c>
      <c r="D307" s="1" t="s">
        <v>73</v>
      </c>
      <c r="E307" s="1" t="s">
        <v>76</v>
      </c>
      <c r="F307" s="1" t="s">
        <v>664</v>
      </c>
      <c r="G307" s="1" t="s">
        <v>76</v>
      </c>
      <c r="H307" s="1" t="s">
        <v>537</v>
      </c>
      <c r="I307" s="1"/>
      <c r="J307" s="9" t="s">
        <v>544</v>
      </c>
      <c r="K307" s="10">
        <v>0.43390983333333299</v>
      </c>
      <c r="L307" s="1" t="s">
        <v>76</v>
      </c>
      <c r="M307" s="1" t="s">
        <v>506</v>
      </c>
      <c r="N307" s="1" t="s">
        <v>645</v>
      </c>
      <c r="O307" s="1" t="s">
        <v>22</v>
      </c>
      <c r="P307" s="82">
        <v>0.97699999999999998</v>
      </c>
      <c r="Q307" s="1" t="s">
        <v>76</v>
      </c>
      <c r="R307" s="81" t="s">
        <v>76</v>
      </c>
      <c r="S307" s="1" t="s">
        <v>76</v>
      </c>
      <c r="T307" s="1" t="s">
        <v>120</v>
      </c>
      <c r="U307" s="1" t="s">
        <v>76</v>
      </c>
      <c r="V307" s="1" t="s">
        <v>655</v>
      </c>
      <c r="W307" s="1" t="s">
        <v>269</v>
      </c>
      <c r="X307" s="1" t="s">
        <v>76</v>
      </c>
      <c r="Y307" s="1" t="s">
        <v>645</v>
      </c>
      <c r="Z307" s="1">
        <v>0</v>
      </c>
      <c r="AA307" s="1">
        <v>0</v>
      </c>
      <c r="AB307" s="1">
        <v>0</v>
      </c>
      <c r="AC307" s="1">
        <v>2E-3</v>
      </c>
      <c r="AD307" s="1">
        <v>3.0000000000000001E-3</v>
      </c>
      <c r="AE307" s="1">
        <v>0</v>
      </c>
      <c r="AF307" s="1">
        <v>0</v>
      </c>
      <c r="AG307" s="1">
        <v>0</v>
      </c>
      <c r="AH307" s="1">
        <v>1E-3</v>
      </c>
      <c r="AI307" s="1">
        <v>0</v>
      </c>
      <c r="AJ307" s="1">
        <v>0</v>
      </c>
      <c r="AK307" s="1">
        <v>1E-3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0.97699999999999998</v>
      </c>
      <c r="AR307" s="1">
        <v>0</v>
      </c>
      <c r="AS307" s="1">
        <v>1E-3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1E-3</v>
      </c>
      <c r="AZ307" s="1">
        <v>0</v>
      </c>
      <c r="BA307" s="1">
        <v>1E-3</v>
      </c>
      <c r="BB307" s="1">
        <v>0</v>
      </c>
      <c r="BC307" s="1">
        <v>0</v>
      </c>
      <c r="BD307" s="1">
        <v>1E-3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1E-3</v>
      </c>
      <c r="BM307" s="1">
        <v>0</v>
      </c>
      <c r="BN307" s="1">
        <v>1E-3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2E-3</v>
      </c>
      <c r="BZ307" s="1">
        <v>1E-3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1E-3</v>
      </c>
      <c r="CM307" s="1">
        <v>-82.629984719999996</v>
      </c>
      <c r="CN307" s="83">
        <v>-27.41842132</v>
      </c>
    </row>
    <row r="308" spans="1:92" s="3" customFormat="1" x14ac:dyDescent="0.25">
      <c r="A308" s="72">
        <v>315</v>
      </c>
      <c r="B308" s="81" t="s">
        <v>860</v>
      </c>
      <c r="C308" s="1" t="s">
        <v>83</v>
      </c>
      <c r="D308" s="1" t="s">
        <v>173</v>
      </c>
      <c r="E308" s="1" t="s">
        <v>99</v>
      </c>
      <c r="F308" s="1" t="s">
        <v>128</v>
      </c>
      <c r="G308" s="1" t="s">
        <v>265</v>
      </c>
      <c r="H308" s="1" t="s">
        <v>570</v>
      </c>
      <c r="I308" s="1"/>
      <c r="J308" s="9" t="s">
        <v>544</v>
      </c>
      <c r="K308" s="10">
        <v>0.40155216666666699</v>
      </c>
      <c r="L308" s="1" t="s">
        <v>641</v>
      </c>
      <c r="M308" s="1" t="s">
        <v>76</v>
      </c>
      <c r="N308" s="1" t="s">
        <v>649</v>
      </c>
      <c r="O308" s="1" t="s">
        <v>55</v>
      </c>
      <c r="P308" s="82">
        <v>0.71299999999999997</v>
      </c>
      <c r="Q308" s="1" t="s">
        <v>76</v>
      </c>
      <c r="R308" s="81" t="s">
        <v>87</v>
      </c>
      <c r="S308" s="1">
        <v>3</v>
      </c>
      <c r="T308" s="1" t="s">
        <v>78</v>
      </c>
      <c r="U308" s="1" t="s">
        <v>658</v>
      </c>
      <c r="V308" s="1" t="s">
        <v>655</v>
      </c>
      <c r="W308" s="1">
        <v>47</v>
      </c>
      <c r="X308" s="1" t="s">
        <v>266</v>
      </c>
      <c r="Y308" s="1" t="s">
        <v>649</v>
      </c>
      <c r="Z308" s="1">
        <v>0</v>
      </c>
      <c r="AA308" s="1">
        <v>1E-3</v>
      </c>
      <c r="AB308" s="1">
        <v>1E-3</v>
      </c>
      <c r="AC308" s="1">
        <v>4.0000000000000001E-3</v>
      </c>
      <c r="AD308" s="1">
        <v>1E-3</v>
      </c>
      <c r="AE308" s="1">
        <v>1E-3</v>
      </c>
      <c r="AF308" s="1">
        <v>1E-3</v>
      </c>
      <c r="AG308" s="1">
        <v>0</v>
      </c>
      <c r="AH308" s="1">
        <v>4.0000000000000001E-3</v>
      </c>
      <c r="AI308" s="1">
        <v>1E-3</v>
      </c>
      <c r="AJ308" s="1">
        <v>1E-3</v>
      </c>
      <c r="AK308" s="1">
        <v>1E-3</v>
      </c>
      <c r="AL308" s="1">
        <v>2.7E-2</v>
      </c>
      <c r="AM308" s="1">
        <v>0</v>
      </c>
      <c r="AN308" s="1">
        <v>2E-3</v>
      </c>
      <c r="AO308" s="1">
        <v>1E-3</v>
      </c>
      <c r="AP308" s="1">
        <v>1E-3</v>
      </c>
      <c r="AQ308" s="1">
        <v>0</v>
      </c>
      <c r="AR308" s="1">
        <v>0</v>
      </c>
      <c r="AS308" s="1">
        <v>2E-3</v>
      </c>
      <c r="AT308" s="1">
        <v>1E-3</v>
      </c>
      <c r="AU308" s="1">
        <v>1E-3</v>
      </c>
      <c r="AV308" s="1">
        <v>1E-3</v>
      </c>
      <c r="AW308" s="1">
        <v>1E-3</v>
      </c>
      <c r="AX308" s="1">
        <v>1.2E-2</v>
      </c>
      <c r="AY308" s="1">
        <v>1E-3</v>
      </c>
      <c r="AZ308" s="1">
        <v>1E-3</v>
      </c>
      <c r="BA308" s="1">
        <v>2E-3</v>
      </c>
      <c r="BB308" s="1">
        <v>1E-3</v>
      </c>
      <c r="BC308" s="1">
        <v>0.16600000000000001</v>
      </c>
      <c r="BD308" s="1">
        <v>3.0000000000000001E-3</v>
      </c>
      <c r="BE308" s="1">
        <v>1E-3</v>
      </c>
      <c r="BF308" s="1">
        <v>0</v>
      </c>
      <c r="BG308" s="1">
        <v>1E-3</v>
      </c>
      <c r="BH308" s="1">
        <v>1E-3</v>
      </c>
      <c r="BI308" s="1">
        <v>0</v>
      </c>
      <c r="BJ308" s="1">
        <v>0</v>
      </c>
      <c r="BK308" s="1">
        <v>0</v>
      </c>
      <c r="BL308" s="1">
        <v>5.0000000000000001E-3</v>
      </c>
      <c r="BM308" s="1">
        <v>1E-3</v>
      </c>
      <c r="BN308" s="1">
        <v>1E-3</v>
      </c>
      <c r="BO308" s="1">
        <v>1E-3</v>
      </c>
      <c r="BP308" s="1">
        <v>0</v>
      </c>
      <c r="BQ308" s="1">
        <v>2E-3</v>
      </c>
      <c r="BR308" s="1">
        <v>1E-3</v>
      </c>
      <c r="BS308" s="1">
        <v>1E-3</v>
      </c>
      <c r="BT308" s="1">
        <v>0</v>
      </c>
      <c r="BU308" s="1">
        <v>0</v>
      </c>
      <c r="BV308" s="1">
        <v>1E-3</v>
      </c>
      <c r="BW308" s="1">
        <v>1E-3</v>
      </c>
      <c r="BX308" s="1">
        <v>0.71299999999999997</v>
      </c>
      <c r="BY308" s="1">
        <v>3.0000000000000001E-3</v>
      </c>
      <c r="BZ308" s="1">
        <v>2E-3</v>
      </c>
      <c r="CA308" s="1">
        <v>1E-3</v>
      </c>
      <c r="CB308" s="1">
        <v>0</v>
      </c>
      <c r="CC308" s="1">
        <v>1E-3</v>
      </c>
      <c r="CD308" s="1">
        <v>0</v>
      </c>
      <c r="CE308" s="1">
        <v>1E-3</v>
      </c>
      <c r="CF308" s="1">
        <v>1E-3</v>
      </c>
      <c r="CG308" s="1">
        <v>1E-3</v>
      </c>
      <c r="CH308" s="1">
        <v>1E-3</v>
      </c>
      <c r="CI308" s="1">
        <v>1E-3</v>
      </c>
      <c r="CJ308" s="1">
        <v>2E-3</v>
      </c>
      <c r="CK308" s="1">
        <v>1.4E-2</v>
      </c>
      <c r="CL308" s="1">
        <v>1E-3</v>
      </c>
      <c r="CM308" s="1">
        <v>46.872941519999998</v>
      </c>
      <c r="CN308" s="83">
        <v>-5.8297515500000001</v>
      </c>
    </row>
    <row r="309" spans="1:92" s="3" customFormat="1" x14ac:dyDescent="0.25">
      <c r="A309" s="72">
        <v>316</v>
      </c>
      <c r="B309" s="81" t="s">
        <v>1167</v>
      </c>
      <c r="C309" s="1" t="s">
        <v>83</v>
      </c>
      <c r="D309" s="1" t="s">
        <v>73</v>
      </c>
      <c r="E309" s="1" t="s">
        <v>74</v>
      </c>
      <c r="F309" s="1" t="s">
        <v>267</v>
      </c>
      <c r="G309" s="1" t="s">
        <v>80</v>
      </c>
      <c r="H309" s="1" t="s">
        <v>13</v>
      </c>
      <c r="I309" s="1"/>
      <c r="J309" s="9" t="s">
        <v>544</v>
      </c>
      <c r="K309" s="10">
        <v>0.47604716666666702</v>
      </c>
      <c r="L309" s="1" t="s">
        <v>76</v>
      </c>
      <c r="M309" s="1" t="s">
        <v>506</v>
      </c>
      <c r="N309" s="1" t="s">
        <v>645</v>
      </c>
      <c r="O309" s="1" t="s">
        <v>13</v>
      </c>
      <c r="P309" s="82">
        <v>0.99299999999999999</v>
      </c>
      <c r="Q309" s="1" t="s">
        <v>76</v>
      </c>
      <c r="R309" s="81" t="s">
        <v>100</v>
      </c>
      <c r="S309" s="1" t="s">
        <v>76</v>
      </c>
      <c r="T309" s="1" t="s">
        <v>78</v>
      </c>
      <c r="U309" s="1" t="s">
        <v>659</v>
      </c>
      <c r="V309" s="1" t="s">
        <v>655</v>
      </c>
      <c r="W309" s="1">
        <v>43</v>
      </c>
      <c r="X309" s="1" t="s">
        <v>268</v>
      </c>
      <c r="Y309" s="1" t="s">
        <v>645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0.99299999999999999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1E-3</v>
      </c>
      <c r="CL309" s="1">
        <v>0</v>
      </c>
      <c r="CM309" s="1">
        <v>0.89019894499999996</v>
      </c>
      <c r="CN309" s="83">
        <v>-128.7542971</v>
      </c>
    </row>
    <row r="310" spans="1:92" s="3" customFormat="1" x14ac:dyDescent="0.25">
      <c r="A310" s="72">
        <v>318</v>
      </c>
      <c r="B310" s="81" t="s">
        <v>1082</v>
      </c>
      <c r="C310" s="1" t="s">
        <v>83</v>
      </c>
      <c r="D310" s="1" t="s">
        <v>73</v>
      </c>
      <c r="E310" s="1" t="s">
        <v>99</v>
      </c>
      <c r="F310" s="1" t="s">
        <v>267</v>
      </c>
      <c r="G310" s="1" t="s">
        <v>80</v>
      </c>
      <c r="H310" s="1" t="s">
        <v>13</v>
      </c>
      <c r="I310" s="1"/>
      <c r="J310" s="9" t="s">
        <v>544</v>
      </c>
      <c r="K310" s="10">
        <v>0.45332749999999999</v>
      </c>
      <c r="L310" s="1" t="s">
        <v>76</v>
      </c>
      <c r="M310" s="1" t="s">
        <v>506</v>
      </c>
      <c r="N310" s="1" t="s">
        <v>645</v>
      </c>
      <c r="O310" s="1" t="s">
        <v>13</v>
      </c>
      <c r="P310" s="82">
        <v>0.999</v>
      </c>
      <c r="Q310" s="1" t="s">
        <v>76</v>
      </c>
      <c r="R310" s="81" t="s">
        <v>100</v>
      </c>
      <c r="S310" s="1" t="s">
        <v>76</v>
      </c>
      <c r="T310" s="1" t="s">
        <v>78</v>
      </c>
      <c r="U310" s="1" t="s">
        <v>659</v>
      </c>
      <c r="V310" s="1" t="s">
        <v>655</v>
      </c>
      <c r="W310" s="1">
        <v>61</v>
      </c>
      <c r="X310" s="1" t="s">
        <v>268</v>
      </c>
      <c r="Y310" s="1" t="s">
        <v>645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0.999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-19.625450310000002</v>
      </c>
      <c r="CN310" s="83">
        <v>-131.4454939</v>
      </c>
    </row>
    <row r="311" spans="1:92" s="3" customFormat="1" x14ac:dyDescent="0.25">
      <c r="A311" s="72">
        <v>319</v>
      </c>
      <c r="B311" s="81" t="s">
        <v>1432</v>
      </c>
      <c r="C311" s="1" t="s">
        <v>83</v>
      </c>
      <c r="D311" s="1" t="s">
        <v>173</v>
      </c>
      <c r="E311" s="1" t="s">
        <v>74</v>
      </c>
      <c r="F311" s="1" t="s">
        <v>93</v>
      </c>
      <c r="G311" s="1" t="s">
        <v>270</v>
      </c>
      <c r="H311" s="1" t="s">
        <v>525</v>
      </c>
      <c r="I311" s="1"/>
      <c r="J311" s="9" t="s">
        <v>506</v>
      </c>
      <c r="K311" s="10">
        <v>0.46111733333333299</v>
      </c>
      <c r="L311" s="1" t="s">
        <v>612</v>
      </c>
      <c r="M311" s="1" t="s">
        <v>506</v>
      </c>
      <c r="N311" s="2" t="s">
        <v>1711</v>
      </c>
      <c r="O311" s="1" t="s">
        <v>34</v>
      </c>
      <c r="P311" s="82">
        <v>0.998</v>
      </c>
      <c r="Q311" s="1" t="s">
        <v>76</v>
      </c>
      <c r="R311" s="81" t="s">
        <v>87</v>
      </c>
      <c r="S311" s="1">
        <v>1</v>
      </c>
      <c r="T311" s="1" t="s">
        <v>78</v>
      </c>
      <c r="U311" s="1" t="s">
        <v>658</v>
      </c>
      <c r="V311" s="1" t="s">
        <v>655</v>
      </c>
      <c r="W311" s="1">
        <v>17</v>
      </c>
      <c r="X311" s="1" t="s">
        <v>96</v>
      </c>
      <c r="Y311" s="2" t="s">
        <v>1711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2E-3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0.998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45.131383</v>
      </c>
      <c r="CN311" s="83">
        <v>2.472290203</v>
      </c>
    </row>
    <row r="312" spans="1:92" s="3" customFormat="1" x14ac:dyDescent="0.25">
      <c r="A312" s="72">
        <v>320</v>
      </c>
      <c r="B312" s="81" t="s">
        <v>934</v>
      </c>
      <c r="C312" s="1" t="s">
        <v>83</v>
      </c>
      <c r="D312" s="1" t="s">
        <v>73</v>
      </c>
      <c r="E312" s="1" t="s">
        <v>74</v>
      </c>
      <c r="F312" s="1" t="s">
        <v>267</v>
      </c>
      <c r="G312" s="1" t="s">
        <v>80</v>
      </c>
      <c r="H312" s="1" t="s">
        <v>13</v>
      </c>
      <c r="I312" s="1"/>
      <c r="J312" s="9" t="s">
        <v>544</v>
      </c>
      <c r="K312" s="10">
        <v>0.45294099999999898</v>
      </c>
      <c r="L312" s="1" t="s">
        <v>76</v>
      </c>
      <c r="M312" s="1" t="s">
        <v>506</v>
      </c>
      <c r="N312" s="1" t="s">
        <v>645</v>
      </c>
      <c r="O312" s="1" t="s">
        <v>13</v>
      </c>
      <c r="P312" s="82">
        <v>0.999</v>
      </c>
      <c r="Q312" s="1" t="s">
        <v>76</v>
      </c>
      <c r="R312" s="81" t="s">
        <v>100</v>
      </c>
      <c r="S312" s="1" t="s">
        <v>76</v>
      </c>
      <c r="T312" s="1" t="s">
        <v>78</v>
      </c>
      <c r="U312" s="1" t="s">
        <v>658</v>
      </c>
      <c r="V312" s="1" t="s">
        <v>655</v>
      </c>
      <c r="W312" s="1">
        <v>75</v>
      </c>
      <c r="X312" s="1" t="s">
        <v>271</v>
      </c>
      <c r="Y312" s="1" t="s">
        <v>645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0.999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-10.8332909</v>
      </c>
      <c r="CN312" s="83">
        <v>-112.7757917</v>
      </c>
    </row>
    <row r="313" spans="1:92" s="3" customFormat="1" x14ac:dyDescent="0.25">
      <c r="A313" s="72">
        <v>321</v>
      </c>
      <c r="B313" s="81" t="s">
        <v>940</v>
      </c>
      <c r="C313" s="1" t="s">
        <v>83</v>
      </c>
      <c r="D313" s="1" t="s">
        <v>73</v>
      </c>
      <c r="E313" s="1" t="s">
        <v>99</v>
      </c>
      <c r="F313" s="1" t="s">
        <v>267</v>
      </c>
      <c r="G313" s="1" t="s">
        <v>80</v>
      </c>
      <c r="H313" s="1" t="s">
        <v>13</v>
      </c>
      <c r="I313" s="1"/>
      <c r="J313" s="9" t="s">
        <v>544</v>
      </c>
      <c r="K313" s="10">
        <v>0.385657166666667</v>
      </c>
      <c r="L313" s="1" t="s">
        <v>76</v>
      </c>
      <c r="M313" s="1" t="s">
        <v>506</v>
      </c>
      <c r="N313" s="1" t="s">
        <v>645</v>
      </c>
      <c r="O313" s="1" t="s">
        <v>13</v>
      </c>
      <c r="P313" s="82">
        <v>0.996</v>
      </c>
      <c r="Q313" s="1" t="s">
        <v>76</v>
      </c>
      <c r="R313" s="81" t="s">
        <v>100</v>
      </c>
      <c r="S313" s="1" t="s">
        <v>76</v>
      </c>
      <c r="T313" s="1" t="s">
        <v>78</v>
      </c>
      <c r="U313" s="1" t="s">
        <v>658</v>
      </c>
      <c r="V313" s="1" t="s">
        <v>655</v>
      </c>
      <c r="W313" s="1">
        <v>78</v>
      </c>
      <c r="X313" s="1" t="s">
        <v>271</v>
      </c>
      <c r="Y313" s="1" t="s">
        <v>645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0.996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-28.633744610000001</v>
      </c>
      <c r="CN313" s="83">
        <v>-114.850886</v>
      </c>
    </row>
    <row r="314" spans="1:92" s="3" customFormat="1" x14ac:dyDescent="0.25">
      <c r="A314" s="72">
        <v>322</v>
      </c>
      <c r="B314" s="81" t="s">
        <v>971</v>
      </c>
      <c r="C314" s="1" t="s">
        <v>83</v>
      </c>
      <c r="D314" s="1" t="s">
        <v>173</v>
      </c>
      <c r="E314" s="1" t="s">
        <v>99</v>
      </c>
      <c r="F314" s="1" t="s">
        <v>93</v>
      </c>
      <c r="G314" s="1" t="s">
        <v>94</v>
      </c>
      <c r="H314" s="1" t="s">
        <v>525</v>
      </c>
      <c r="I314" s="1"/>
      <c r="J314" s="9" t="s">
        <v>506</v>
      </c>
      <c r="K314" s="10">
        <v>0.32562716666666702</v>
      </c>
      <c r="L314" s="1" t="s">
        <v>600</v>
      </c>
      <c r="M314" s="1" t="s">
        <v>506</v>
      </c>
      <c r="N314" s="2" t="s">
        <v>1711</v>
      </c>
      <c r="O314" s="1" t="s">
        <v>34</v>
      </c>
      <c r="P314" s="82">
        <v>0.99299999999999999</v>
      </c>
      <c r="Q314" s="1" t="s">
        <v>76</v>
      </c>
      <c r="R314" s="81" t="s">
        <v>272</v>
      </c>
      <c r="S314" s="1">
        <v>3</v>
      </c>
      <c r="T314" s="1" t="s">
        <v>78</v>
      </c>
      <c r="U314" s="1" t="s">
        <v>659</v>
      </c>
      <c r="V314" s="1" t="s">
        <v>655</v>
      </c>
      <c r="W314" s="1">
        <v>29</v>
      </c>
      <c r="X314" s="1" t="s">
        <v>96</v>
      </c>
      <c r="Y314" s="2" t="s">
        <v>1711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3.0000000000000001E-3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0.99299999999999999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1E-3</v>
      </c>
      <c r="CL314" s="1">
        <v>0</v>
      </c>
      <c r="CM314" s="1">
        <v>43.528257760000002</v>
      </c>
      <c r="CN314" s="83">
        <v>-3.3679830860000002</v>
      </c>
    </row>
    <row r="315" spans="1:92" s="3" customFormat="1" x14ac:dyDescent="0.25">
      <c r="A315" s="72">
        <v>323</v>
      </c>
      <c r="B315" s="81" t="s">
        <v>975</v>
      </c>
      <c r="C315" s="1" t="s">
        <v>83</v>
      </c>
      <c r="D315" s="1" t="s">
        <v>73</v>
      </c>
      <c r="E315" s="1" t="s">
        <v>74</v>
      </c>
      <c r="F315" s="1" t="s">
        <v>267</v>
      </c>
      <c r="G315" s="1" t="s">
        <v>80</v>
      </c>
      <c r="H315" s="1" t="s">
        <v>13</v>
      </c>
      <c r="I315" s="1"/>
      <c r="J315" s="9" t="s">
        <v>544</v>
      </c>
      <c r="K315" s="10">
        <v>0.34086949999999999</v>
      </c>
      <c r="L315" s="1" t="s">
        <v>76</v>
      </c>
      <c r="M315" s="1" t="s">
        <v>506</v>
      </c>
      <c r="N315" s="1" t="s">
        <v>645</v>
      </c>
      <c r="O315" s="1" t="s">
        <v>13</v>
      </c>
      <c r="P315" s="82">
        <v>0.99299999999999999</v>
      </c>
      <c r="Q315" s="1" t="s">
        <v>76</v>
      </c>
      <c r="R315" s="81" t="s">
        <v>100</v>
      </c>
      <c r="S315" s="1" t="s">
        <v>76</v>
      </c>
      <c r="T315" s="1" t="s">
        <v>78</v>
      </c>
      <c r="U315" s="1" t="s">
        <v>658</v>
      </c>
      <c r="V315" s="1" t="s">
        <v>655</v>
      </c>
      <c r="W315" s="1">
        <v>58</v>
      </c>
      <c r="X315" s="1" t="s">
        <v>268</v>
      </c>
      <c r="Y315" s="1" t="s">
        <v>645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0.99299999999999999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-28.49926125</v>
      </c>
      <c r="CN315" s="83">
        <v>-109.0934736</v>
      </c>
    </row>
    <row r="316" spans="1:92" s="3" customFormat="1" x14ac:dyDescent="0.25">
      <c r="A316" s="72">
        <v>324</v>
      </c>
      <c r="B316" s="81" t="s">
        <v>986</v>
      </c>
      <c r="C316" s="1" t="s">
        <v>83</v>
      </c>
      <c r="D316" s="1" t="s">
        <v>73</v>
      </c>
      <c r="E316" s="1" t="s">
        <v>195</v>
      </c>
      <c r="F316" s="1" t="s">
        <v>267</v>
      </c>
      <c r="G316" s="1" t="s">
        <v>80</v>
      </c>
      <c r="H316" s="1" t="s">
        <v>13</v>
      </c>
      <c r="I316" s="1"/>
      <c r="J316" s="9" t="s">
        <v>544</v>
      </c>
      <c r="K316" s="10">
        <v>0.50248316666666604</v>
      </c>
      <c r="L316" s="1" t="s">
        <v>76</v>
      </c>
      <c r="M316" s="1" t="s">
        <v>506</v>
      </c>
      <c r="N316" s="1" t="s">
        <v>645</v>
      </c>
      <c r="O316" s="1" t="s">
        <v>13</v>
      </c>
      <c r="P316" s="82">
        <v>1</v>
      </c>
      <c r="Q316" s="1" t="s">
        <v>76</v>
      </c>
      <c r="R316" s="81" t="s">
        <v>100</v>
      </c>
      <c r="S316" s="1" t="s">
        <v>76</v>
      </c>
      <c r="T316" s="1" t="s">
        <v>78</v>
      </c>
      <c r="U316" s="1" t="s">
        <v>658</v>
      </c>
      <c r="V316" s="1" t="s">
        <v>655</v>
      </c>
      <c r="W316" s="1">
        <v>58</v>
      </c>
      <c r="X316" s="1" t="s">
        <v>268</v>
      </c>
      <c r="Y316" s="1" t="s">
        <v>645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1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-9.6417247699999997</v>
      </c>
      <c r="CN316" s="83">
        <v>-124.2224958</v>
      </c>
    </row>
    <row r="317" spans="1:92" s="3" customFormat="1" x14ac:dyDescent="0.25">
      <c r="A317" s="72">
        <v>325</v>
      </c>
      <c r="B317" s="81" t="s">
        <v>1385</v>
      </c>
      <c r="C317" s="1" t="s">
        <v>83</v>
      </c>
      <c r="D317" s="1" t="s">
        <v>173</v>
      </c>
      <c r="E317" s="1" t="s">
        <v>99</v>
      </c>
      <c r="F317" s="1" t="s">
        <v>93</v>
      </c>
      <c r="G317" s="1" t="s">
        <v>94</v>
      </c>
      <c r="H317" s="1" t="s">
        <v>525</v>
      </c>
      <c r="I317" s="1"/>
      <c r="J317" s="9" t="s">
        <v>506</v>
      </c>
      <c r="K317" s="10">
        <v>0.49666466666666598</v>
      </c>
      <c r="L317" s="1" t="s">
        <v>612</v>
      </c>
      <c r="M317" s="1" t="s">
        <v>506</v>
      </c>
      <c r="N317" s="2" t="s">
        <v>1711</v>
      </c>
      <c r="O317" s="1" t="s">
        <v>34</v>
      </c>
      <c r="P317" s="82">
        <v>0.98699999999999999</v>
      </c>
      <c r="Q317" s="1" t="s">
        <v>76</v>
      </c>
      <c r="R317" s="81" t="s">
        <v>243</v>
      </c>
      <c r="S317" s="1">
        <v>3</v>
      </c>
      <c r="T317" s="1" t="s">
        <v>78</v>
      </c>
      <c r="U317" s="1" t="s">
        <v>658</v>
      </c>
      <c r="V317" s="1" t="s">
        <v>655</v>
      </c>
      <c r="W317" s="1">
        <v>53</v>
      </c>
      <c r="X317" s="1" t="s">
        <v>96</v>
      </c>
      <c r="Y317" s="2" t="s">
        <v>1711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8.9999999999999993E-3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0.98699999999999999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1E-3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1E-3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1E-3</v>
      </c>
      <c r="CL317" s="1">
        <v>0</v>
      </c>
      <c r="CM317" s="1">
        <v>53.836162029999997</v>
      </c>
      <c r="CN317" s="83">
        <v>-1.3766678779999999</v>
      </c>
    </row>
    <row r="318" spans="1:92" s="3" customFormat="1" x14ac:dyDescent="0.25">
      <c r="A318" s="72">
        <v>326</v>
      </c>
      <c r="B318" s="81" t="s">
        <v>1056</v>
      </c>
      <c r="C318" s="1" t="s">
        <v>83</v>
      </c>
      <c r="D318" s="1" t="s">
        <v>73</v>
      </c>
      <c r="E318" s="1" t="s">
        <v>195</v>
      </c>
      <c r="F318" s="1" t="s">
        <v>267</v>
      </c>
      <c r="G318" s="1" t="s">
        <v>80</v>
      </c>
      <c r="H318" s="1" t="s">
        <v>13</v>
      </c>
      <c r="I318" s="1"/>
      <c r="J318" s="9" t="s">
        <v>544</v>
      </c>
      <c r="K318" s="10">
        <v>0.36992783333333301</v>
      </c>
      <c r="L318" s="1" t="s">
        <v>76</v>
      </c>
      <c r="M318" s="1" t="s">
        <v>506</v>
      </c>
      <c r="N318" s="1" t="s">
        <v>645</v>
      </c>
      <c r="O318" s="1" t="s">
        <v>13</v>
      </c>
      <c r="P318" s="82">
        <v>0.90400000000000003</v>
      </c>
      <c r="Q318" s="1" t="s">
        <v>76</v>
      </c>
      <c r="R318" s="81" t="s">
        <v>100</v>
      </c>
      <c r="S318" s="1" t="s">
        <v>76</v>
      </c>
      <c r="T318" s="1" t="s">
        <v>78</v>
      </c>
      <c r="U318" s="1" t="s">
        <v>658</v>
      </c>
      <c r="V318" s="1" t="s">
        <v>655</v>
      </c>
      <c r="W318" s="1">
        <v>62</v>
      </c>
      <c r="X318" s="1" t="s">
        <v>268</v>
      </c>
      <c r="Y318" s="1" t="s">
        <v>645</v>
      </c>
      <c r="Z318" s="1">
        <v>1E-3</v>
      </c>
      <c r="AA318" s="1">
        <v>1E-3</v>
      </c>
      <c r="AB318" s="1">
        <v>1E-3</v>
      </c>
      <c r="AC318" s="1">
        <v>2E-3</v>
      </c>
      <c r="AD318" s="1">
        <v>1E-3</v>
      </c>
      <c r="AE318" s="1">
        <v>1E-3</v>
      </c>
      <c r="AF318" s="1">
        <v>1E-3</v>
      </c>
      <c r="AG318" s="1">
        <v>0</v>
      </c>
      <c r="AH318" s="1">
        <v>0.90400000000000003</v>
      </c>
      <c r="AI318" s="1">
        <v>1E-3</v>
      </c>
      <c r="AJ318" s="1">
        <v>1E-3</v>
      </c>
      <c r="AK318" s="1">
        <v>5.0000000000000001E-3</v>
      </c>
      <c r="AL318" s="1">
        <v>0</v>
      </c>
      <c r="AM318" s="1">
        <v>1E-3</v>
      </c>
      <c r="AN318" s="1">
        <v>3.0000000000000001E-3</v>
      </c>
      <c r="AO318" s="1">
        <v>1E-3</v>
      </c>
      <c r="AP318" s="1">
        <v>0</v>
      </c>
      <c r="AQ318" s="1">
        <v>0</v>
      </c>
      <c r="AR318" s="1">
        <v>1E-3</v>
      </c>
      <c r="AS318" s="1">
        <v>2E-3</v>
      </c>
      <c r="AT318" s="1">
        <v>1E-3</v>
      </c>
      <c r="AU318" s="1">
        <v>1E-3</v>
      </c>
      <c r="AV318" s="1">
        <v>1E-3</v>
      </c>
      <c r="AW318" s="1">
        <v>1E-3</v>
      </c>
      <c r="AX318" s="1">
        <v>2E-3</v>
      </c>
      <c r="AY318" s="1">
        <v>1E-3</v>
      </c>
      <c r="AZ318" s="1">
        <v>2E-3</v>
      </c>
      <c r="BA318" s="1">
        <v>3.0000000000000001E-3</v>
      </c>
      <c r="BB318" s="1">
        <v>0</v>
      </c>
      <c r="BC318" s="1">
        <v>0</v>
      </c>
      <c r="BD318" s="1">
        <v>4.0000000000000001E-3</v>
      </c>
      <c r="BE318" s="1">
        <v>1E-3</v>
      </c>
      <c r="BF318" s="1">
        <v>0</v>
      </c>
      <c r="BG318" s="1">
        <v>0</v>
      </c>
      <c r="BH318" s="1">
        <v>0</v>
      </c>
      <c r="BI318" s="1">
        <v>0</v>
      </c>
      <c r="BJ318" s="1">
        <v>1E-3</v>
      </c>
      <c r="BK318" s="1">
        <v>0</v>
      </c>
      <c r="BL318" s="1">
        <v>1E-3</v>
      </c>
      <c r="BM318" s="1">
        <v>1E-3</v>
      </c>
      <c r="BN318" s="1">
        <v>1E-3</v>
      </c>
      <c r="BO318" s="1">
        <v>0</v>
      </c>
      <c r="BP318" s="1">
        <v>1E-3</v>
      </c>
      <c r="BQ318" s="1">
        <v>1E-3</v>
      </c>
      <c r="BR318" s="1">
        <v>1E-3</v>
      </c>
      <c r="BS318" s="1">
        <v>1E-3</v>
      </c>
      <c r="BT318" s="1">
        <v>0</v>
      </c>
      <c r="BU318" s="1">
        <v>2E-3</v>
      </c>
      <c r="BV318" s="1">
        <v>0</v>
      </c>
      <c r="BW318" s="1">
        <v>1E-3</v>
      </c>
      <c r="BX318" s="1">
        <v>1E-3</v>
      </c>
      <c r="BY318" s="1">
        <v>2E-3</v>
      </c>
      <c r="BZ318" s="1">
        <v>2E-3</v>
      </c>
      <c r="CA318" s="1">
        <v>1E-3</v>
      </c>
      <c r="CB318" s="1">
        <v>1E-3</v>
      </c>
      <c r="CC318" s="1">
        <v>1E-3</v>
      </c>
      <c r="CD318" s="1">
        <v>0</v>
      </c>
      <c r="CE318" s="1">
        <v>1E-3</v>
      </c>
      <c r="CF318" s="1">
        <v>1E-3</v>
      </c>
      <c r="CG318" s="1">
        <v>1E-3</v>
      </c>
      <c r="CH318" s="1">
        <v>1E-3</v>
      </c>
      <c r="CI318" s="1">
        <v>1E-3</v>
      </c>
      <c r="CJ318" s="1">
        <v>2E-3</v>
      </c>
      <c r="CK318" s="1">
        <v>8.0000000000000002E-3</v>
      </c>
      <c r="CL318" s="1">
        <v>2.1999999999999999E-2</v>
      </c>
      <c r="CM318" s="1">
        <v>-31.817943589999999</v>
      </c>
      <c r="CN318" s="83">
        <v>-120.0105434</v>
      </c>
    </row>
    <row r="319" spans="1:92" s="3" customFormat="1" x14ac:dyDescent="0.25">
      <c r="A319" s="72">
        <v>327</v>
      </c>
      <c r="B319" s="81" t="s">
        <v>1055</v>
      </c>
      <c r="C319" s="1" t="s">
        <v>83</v>
      </c>
      <c r="D319" s="1" t="s">
        <v>73</v>
      </c>
      <c r="E319" s="1" t="s">
        <v>195</v>
      </c>
      <c r="F319" s="1" t="s">
        <v>267</v>
      </c>
      <c r="G319" s="1" t="s">
        <v>80</v>
      </c>
      <c r="H319" s="1" t="s">
        <v>13</v>
      </c>
      <c r="I319" s="1"/>
      <c r="J319" s="9" t="s">
        <v>544</v>
      </c>
      <c r="K319" s="10">
        <v>0.45161449999999997</v>
      </c>
      <c r="L319" s="1" t="s">
        <v>76</v>
      </c>
      <c r="M319" s="1" t="s">
        <v>506</v>
      </c>
      <c r="N319" s="1" t="s">
        <v>645</v>
      </c>
      <c r="O319" s="1" t="s">
        <v>13</v>
      </c>
      <c r="P319" s="82">
        <v>1</v>
      </c>
      <c r="Q319" s="1" t="s">
        <v>76</v>
      </c>
      <c r="R319" s="81" t="s">
        <v>100</v>
      </c>
      <c r="S319" s="1" t="s">
        <v>76</v>
      </c>
      <c r="T319" s="1" t="s">
        <v>78</v>
      </c>
      <c r="U319" s="1" t="s">
        <v>658</v>
      </c>
      <c r="V319" s="1" t="s">
        <v>655</v>
      </c>
      <c r="W319" s="1">
        <v>51</v>
      </c>
      <c r="X319" s="1" t="s">
        <v>268</v>
      </c>
      <c r="Y319" s="1" t="s">
        <v>645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-9.5889686390000008</v>
      </c>
      <c r="CN319" s="83">
        <v>-129.71478870000001</v>
      </c>
    </row>
    <row r="320" spans="1:92" s="3" customFormat="1" x14ac:dyDescent="0.25">
      <c r="A320" s="72">
        <v>328</v>
      </c>
      <c r="B320" s="81" t="s">
        <v>1038</v>
      </c>
      <c r="C320" s="1" t="s">
        <v>83</v>
      </c>
      <c r="D320" s="1" t="s">
        <v>73</v>
      </c>
      <c r="E320" s="1" t="s">
        <v>74</v>
      </c>
      <c r="F320" s="1" t="s">
        <v>267</v>
      </c>
      <c r="G320" s="1" t="s">
        <v>80</v>
      </c>
      <c r="H320" s="1" t="s">
        <v>13</v>
      </c>
      <c r="I320" s="1"/>
      <c r="J320" s="9" t="s">
        <v>544</v>
      </c>
      <c r="K320" s="10">
        <v>0.50854200000000005</v>
      </c>
      <c r="L320" s="1" t="s">
        <v>76</v>
      </c>
      <c r="M320" s="1" t="s">
        <v>506</v>
      </c>
      <c r="N320" s="1" t="s">
        <v>645</v>
      </c>
      <c r="O320" s="1" t="s">
        <v>13</v>
      </c>
      <c r="P320" s="82">
        <v>0.999</v>
      </c>
      <c r="Q320" s="1" t="s">
        <v>76</v>
      </c>
      <c r="R320" s="81" t="s">
        <v>100</v>
      </c>
      <c r="S320" s="1" t="s">
        <v>76</v>
      </c>
      <c r="T320" s="1" t="s">
        <v>78</v>
      </c>
      <c r="U320" s="1" t="s">
        <v>658</v>
      </c>
      <c r="V320" s="1" t="s">
        <v>655</v>
      </c>
      <c r="W320" s="1">
        <v>67</v>
      </c>
      <c r="X320" s="1" t="s">
        <v>268</v>
      </c>
      <c r="Y320" s="1" t="s">
        <v>645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0.999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-7.5006879309999999</v>
      </c>
      <c r="CN320" s="83">
        <v>-124.06749240000001</v>
      </c>
    </row>
    <row r="321" spans="1:92" s="3" customFormat="1" x14ac:dyDescent="0.25">
      <c r="A321" s="72">
        <v>329</v>
      </c>
      <c r="B321" s="81" t="s">
        <v>1030</v>
      </c>
      <c r="C321" s="1" t="s">
        <v>83</v>
      </c>
      <c r="D321" s="1" t="s">
        <v>73</v>
      </c>
      <c r="E321" s="1" t="s">
        <v>99</v>
      </c>
      <c r="F321" s="1" t="s">
        <v>267</v>
      </c>
      <c r="G321" s="1" t="s">
        <v>80</v>
      </c>
      <c r="H321" s="1" t="s">
        <v>13</v>
      </c>
      <c r="I321" s="1"/>
      <c r="J321" s="9" t="s">
        <v>544</v>
      </c>
      <c r="K321" s="10">
        <v>0.368068333333334</v>
      </c>
      <c r="L321" s="1" t="s">
        <v>76</v>
      </c>
      <c r="M321" s="1" t="s">
        <v>506</v>
      </c>
      <c r="N321" s="1" t="s">
        <v>645</v>
      </c>
      <c r="O321" s="1" t="s">
        <v>13</v>
      </c>
      <c r="P321" s="82">
        <v>0.99199999999999999</v>
      </c>
      <c r="Q321" s="1" t="s">
        <v>76</v>
      </c>
      <c r="R321" s="81" t="s">
        <v>100</v>
      </c>
      <c r="S321" s="1" t="s">
        <v>76</v>
      </c>
      <c r="T321" s="1" t="s">
        <v>78</v>
      </c>
      <c r="U321" s="1" t="s">
        <v>658</v>
      </c>
      <c r="V321" s="1" t="s">
        <v>655</v>
      </c>
      <c r="W321" s="1">
        <v>54</v>
      </c>
      <c r="X321" s="1" t="s">
        <v>268</v>
      </c>
      <c r="Y321" s="1" t="s">
        <v>645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0.99199999999999999</v>
      </c>
      <c r="AI321" s="1">
        <v>0</v>
      </c>
      <c r="AJ321" s="1">
        <v>0</v>
      </c>
      <c r="AK321" s="1">
        <v>1E-3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1E-3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1E-3</v>
      </c>
      <c r="CL321" s="1">
        <v>0</v>
      </c>
      <c r="CM321" s="1">
        <v>-14.809851699999999</v>
      </c>
      <c r="CN321" s="83">
        <v>-125.2561449</v>
      </c>
    </row>
    <row r="322" spans="1:92" s="3" customFormat="1" x14ac:dyDescent="0.25">
      <c r="A322" s="72">
        <v>331</v>
      </c>
      <c r="B322" s="81" t="s">
        <v>1151</v>
      </c>
      <c r="C322" s="1" t="s">
        <v>83</v>
      </c>
      <c r="D322" s="1" t="s">
        <v>73</v>
      </c>
      <c r="E322" s="1" t="s">
        <v>99</v>
      </c>
      <c r="F322" s="1" t="s">
        <v>267</v>
      </c>
      <c r="G322" s="1" t="s">
        <v>273</v>
      </c>
      <c r="H322" s="1" t="s">
        <v>13</v>
      </c>
      <c r="I322" s="1"/>
      <c r="J322" s="9" t="s">
        <v>544</v>
      </c>
      <c r="K322" s="10">
        <v>0.414178500000001</v>
      </c>
      <c r="L322" s="1" t="s">
        <v>76</v>
      </c>
      <c r="M322" s="1" t="s">
        <v>506</v>
      </c>
      <c r="N322" s="1" t="s">
        <v>645</v>
      </c>
      <c r="O322" s="1" t="s">
        <v>14</v>
      </c>
      <c r="P322" s="82">
        <v>0.96399999999999997</v>
      </c>
      <c r="Q322" s="1" t="s">
        <v>76</v>
      </c>
      <c r="R322" s="81" t="s">
        <v>274</v>
      </c>
      <c r="S322" s="1" t="s">
        <v>76</v>
      </c>
      <c r="T322" s="1" t="s">
        <v>78</v>
      </c>
      <c r="U322" s="1" t="s">
        <v>659</v>
      </c>
      <c r="V322" s="1" t="s">
        <v>655</v>
      </c>
      <c r="W322" s="1">
        <v>6</v>
      </c>
      <c r="X322" s="1" t="s">
        <v>275</v>
      </c>
      <c r="Y322" s="1" t="s">
        <v>645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2.3E-2</v>
      </c>
      <c r="AI322" s="1">
        <v>0.96399999999999997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1.2E-2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11.88154033</v>
      </c>
      <c r="CN322" s="83">
        <v>-51.356187390000002</v>
      </c>
    </row>
    <row r="323" spans="1:92" s="3" customFormat="1" x14ac:dyDescent="0.25">
      <c r="A323" s="72">
        <v>332</v>
      </c>
      <c r="B323" s="81" t="s">
        <v>1190</v>
      </c>
      <c r="C323" s="1" t="s">
        <v>83</v>
      </c>
      <c r="D323" s="1" t="s">
        <v>73</v>
      </c>
      <c r="E323" s="1" t="s">
        <v>99</v>
      </c>
      <c r="F323" s="1" t="s">
        <v>267</v>
      </c>
      <c r="G323" s="1" t="s">
        <v>80</v>
      </c>
      <c r="H323" s="1" t="s">
        <v>13</v>
      </c>
      <c r="I323" s="1"/>
      <c r="J323" s="9" t="s">
        <v>544</v>
      </c>
      <c r="K323" s="10">
        <v>0.31652633333333302</v>
      </c>
      <c r="L323" s="1" t="s">
        <v>76</v>
      </c>
      <c r="M323" s="1" t="s">
        <v>506</v>
      </c>
      <c r="N323" s="1" t="s">
        <v>645</v>
      </c>
      <c r="O323" s="1" t="s">
        <v>13</v>
      </c>
      <c r="P323" s="82">
        <v>0.998</v>
      </c>
      <c r="Q323" s="1" t="s">
        <v>76</v>
      </c>
      <c r="R323" s="81" t="s">
        <v>276</v>
      </c>
      <c r="S323" s="1" t="s">
        <v>76</v>
      </c>
      <c r="T323" s="1" t="s">
        <v>78</v>
      </c>
      <c r="U323" s="1" t="s">
        <v>658</v>
      </c>
      <c r="V323" s="1" t="s">
        <v>655</v>
      </c>
      <c r="W323" s="1">
        <v>52</v>
      </c>
      <c r="X323" s="1" t="s">
        <v>277</v>
      </c>
      <c r="Y323" s="1" t="s">
        <v>645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0.998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-27.187925450000002</v>
      </c>
      <c r="CN323" s="83">
        <v>-115.0773287</v>
      </c>
    </row>
    <row r="324" spans="1:92" s="3" customFormat="1" x14ac:dyDescent="0.25">
      <c r="A324" s="72">
        <v>333</v>
      </c>
      <c r="B324" s="81" t="s">
        <v>890</v>
      </c>
      <c r="C324" s="1" t="s">
        <v>83</v>
      </c>
      <c r="D324" s="1" t="s">
        <v>173</v>
      </c>
      <c r="E324" s="1" t="s">
        <v>215</v>
      </c>
      <c r="F324" s="1" t="s">
        <v>93</v>
      </c>
      <c r="G324" s="1" t="s">
        <v>94</v>
      </c>
      <c r="H324" s="1" t="s">
        <v>525</v>
      </c>
      <c r="I324" s="1"/>
      <c r="J324" s="9" t="s">
        <v>506</v>
      </c>
      <c r="K324" s="10">
        <v>0.50483933333333297</v>
      </c>
      <c r="L324" s="1" t="s">
        <v>598</v>
      </c>
      <c r="M324" s="1" t="s">
        <v>506</v>
      </c>
      <c r="N324" s="2" t="s">
        <v>1711</v>
      </c>
      <c r="O324" s="1" t="s">
        <v>34</v>
      </c>
      <c r="P324" s="82">
        <v>0.94299999999999995</v>
      </c>
      <c r="Q324" s="1" t="s">
        <v>76</v>
      </c>
      <c r="R324" s="81" t="s">
        <v>87</v>
      </c>
      <c r="S324" s="1">
        <v>3</v>
      </c>
      <c r="T324" s="1" t="s">
        <v>78</v>
      </c>
      <c r="U324" s="1" t="s">
        <v>658</v>
      </c>
      <c r="V324" s="1" t="s">
        <v>655</v>
      </c>
      <c r="W324" s="1">
        <v>46</v>
      </c>
      <c r="X324" s="1" t="s">
        <v>278</v>
      </c>
      <c r="Y324" s="2" t="s">
        <v>1711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2.4E-2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3.0000000000000001E-3</v>
      </c>
      <c r="AY324" s="1">
        <v>0</v>
      </c>
      <c r="AZ324" s="1">
        <v>0</v>
      </c>
      <c r="BA324" s="1">
        <v>0</v>
      </c>
      <c r="BB324" s="1">
        <v>0</v>
      </c>
      <c r="BC324" s="1">
        <v>0.94299999999999995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1E-3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1E-3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2.1000000000000001E-2</v>
      </c>
      <c r="CL324" s="1">
        <v>0</v>
      </c>
      <c r="CM324" s="1">
        <v>37.511152539999998</v>
      </c>
      <c r="CN324" s="83">
        <v>-23.370434889999999</v>
      </c>
    </row>
    <row r="325" spans="1:92" s="3" customFormat="1" x14ac:dyDescent="0.25">
      <c r="A325" s="72">
        <v>334</v>
      </c>
      <c r="B325" s="81" t="s">
        <v>1191</v>
      </c>
      <c r="C325" s="1" t="s">
        <v>83</v>
      </c>
      <c r="D325" s="1" t="s">
        <v>73</v>
      </c>
      <c r="E325" s="1" t="s">
        <v>74</v>
      </c>
      <c r="F325" s="1" t="s">
        <v>267</v>
      </c>
      <c r="G325" s="1" t="s">
        <v>139</v>
      </c>
      <c r="H325" s="1" t="s">
        <v>13</v>
      </c>
      <c r="I325" s="1"/>
      <c r="J325" s="9" t="s">
        <v>544</v>
      </c>
      <c r="K325" s="10">
        <v>0.43821783333333297</v>
      </c>
      <c r="L325" s="1" t="s">
        <v>76</v>
      </c>
      <c r="M325" s="1" t="s">
        <v>506</v>
      </c>
      <c r="N325" s="1" t="s">
        <v>645</v>
      </c>
      <c r="O325" s="1" t="s">
        <v>13</v>
      </c>
      <c r="P325" s="82">
        <v>0.999</v>
      </c>
      <c r="Q325" s="1" t="s">
        <v>76</v>
      </c>
      <c r="R325" s="81" t="s">
        <v>100</v>
      </c>
      <c r="S325" s="1" t="s">
        <v>76</v>
      </c>
      <c r="T325" s="1" t="s">
        <v>78</v>
      </c>
      <c r="U325" s="1" t="s">
        <v>658</v>
      </c>
      <c r="V325" s="1" t="s">
        <v>655</v>
      </c>
      <c r="W325" s="1">
        <v>75</v>
      </c>
      <c r="X325" s="1" t="s">
        <v>268</v>
      </c>
      <c r="Y325" s="1" t="s">
        <v>645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0.999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-15.00594901</v>
      </c>
      <c r="CN325" s="83">
        <v>-127.87601770000001</v>
      </c>
    </row>
    <row r="326" spans="1:92" s="3" customFormat="1" ht="94.5" x14ac:dyDescent="0.25">
      <c r="A326" s="72">
        <v>335</v>
      </c>
      <c r="B326" s="81" t="s">
        <v>1172</v>
      </c>
      <c r="C326" s="1" t="s">
        <v>83</v>
      </c>
      <c r="D326" s="1" t="s">
        <v>73</v>
      </c>
      <c r="E326" s="1" t="s">
        <v>99</v>
      </c>
      <c r="F326" s="1" t="s">
        <v>267</v>
      </c>
      <c r="G326" s="1" t="s">
        <v>80</v>
      </c>
      <c r="H326" s="1" t="s">
        <v>13</v>
      </c>
      <c r="I326" s="1"/>
      <c r="J326" s="9" t="s">
        <v>544</v>
      </c>
      <c r="K326" s="10">
        <v>0.38706716666666602</v>
      </c>
      <c r="L326" s="1" t="s">
        <v>76</v>
      </c>
      <c r="M326" s="1" t="s">
        <v>506</v>
      </c>
      <c r="N326" s="1" t="s">
        <v>645</v>
      </c>
      <c r="O326" s="1" t="s">
        <v>13</v>
      </c>
      <c r="P326" s="82">
        <v>0.97199999999999998</v>
      </c>
      <c r="Q326" s="1" t="s">
        <v>76</v>
      </c>
      <c r="R326" s="81" t="s">
        <v>100</v>
      </c>
      <c r="S326" s="1" t="s">
        <v>76</v>
      </c>
      <c r="T326" s="1" t="s">
        <v>78</v>
      </c>
      <c r="U326" s="1" t="s">
        <v>660</v>
      </c>
      <c r="V326" s="1" t="s">
        <v>655</v>
      </c>
      <c r="W326" s="1">
        <v>56</v>
      </c>
      <c r="X326" s="118" t="s">
        <v>1790</v>
      </c>
      <c r="Y326" s="1" t="s">
        <v>645</v>
      </c>
      <c r="Z326" s="1">
        <v>0</v>
      </c>
      <c r="AA326" s="1">
        <v>0</v>
      </c>
      <c r="AB326" s="1">
        <v>0</v>
      </c>
      <c r="AC326" s="1">
        <v>1E-3</v>
      </c>
      <c r="AD326" s="1">
        <v>0</v>
      </c>
      <c r="AE326" s="1">
        <v>0</v>
      </c>
      <c r="AF326" s="1">
        <v>0</v>
      </c>
      <c r="AG326" s="1">
        <v>0</v>
      </c>
      <c r="AH326" s="1">
        <v>0.97199999999999998</v>
      </c>
      <c r="AI326" s="1">
        <v>1E-3</v>
      </c>
      <c r="AJ326" s="1">
        <v>0</v>
      </c>
      <c r="AK326" s="1">
        <v>1E-3</v>
      </c>
      <c r="AL326" s="1">
        <v>0</v>
      </c>
      <c r="AM326" s="1">
        <v>0</v>
      </c>
      <c r="AN326" s="1">
        <v>2E-3</v>
      </c>
      <c r="AO326" s="1">
        <v>0</v>
      </c>
      <c r="AP326" s="1">
        <v>0</v>
      </c>
      <c r="AQ326" s="1">
        <v>0</v>
      </c>
      <c r="AR326" s="1">
        <v>0</v>
      </c>
      <c r="AS326" s="1">
        <v>1E-3</v>
      </c>
      <c r="AT326" s="1">
        <v>0</v>
      </c>
      <c r="AU326" s="1">
        <v>0</v>
      </c>
      <c r="AV326" s="1">
        <v>0</v>
      </c>
      <c r="AW326" s="1">
        <v>0</v>
      </c>
      <c r="AX326" s="1">
        <v>1E-3</v>
      </c>
      <c r="AY326" s="1">
        <v>0</v>
      </c>
      <c r="AZ326" s="1">
        <v>1E-3</v>
      </c>
      <c r="BA326" s="1">
        <v>1E-3</v>
      </c>
      <c r="BB326" s="1">
        <v>0</v>
      </c>
      <c r="BC326" s="1">
        <v>0</v>
      </c>
      <c r="BD326" s="1">
        <v>2E-3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1E-3</v>
      </c>
      <c r="BY326" s="1">
        <v>1E-3</v>
      </c>
      <c r="BZ326" s="1">
        <v>1E-3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1E-3</v>
      </c>
      <c r="CH326" s="1">
        <v>0</v>
      </c>
      <c r="CI326" s="1">
        <v>0</v>
      </c>
      <c r="CJ326" s="1">
        <v>1E-3</v>
      </c>
      <c r="CK326" s="1">
        <v>2E-3</v>
      </c>
      <c r="CL326" s="1">
        <v>2E-3</v>
      </c>
      <c r="CM326" s="1">
        <v>-22.91171074</v>
      </c>
      <c r="CN326" s="83">
        <v>-121.8323216</v>
      </c>
    </row>
    <row r="327" spans="1:92" s="3" customFormat="1" x14ac:dyDescent="0.25">
      <c r="A327" s="72">
        <v>336</v>
      </c>
      <c r="B327" s="81" t="s">
        <v>1210</v>
      </c>
      <c r="C327" s="1" t="s">
        <v>83</v>
      </c>
      <c r="D327" s="1" t="s">
        <v>73</v>
      </c>
      <c r="E327" s="1" t="s">
        <v>99</v>
      </c>
      <c r="F327" s="1" t="s">
        <v>267</v>
      </c>
      <c r="G327" s="1" t="s">
        <v>80</v>
      </c>
      <c r="H327" s="1" t="s">
        <v>13</v>
      </c>
      <c r="I327" s="1"/>
      <c r="J327" s="9" t="s">
        <v>544</v>
      </c>
      <c r="K327" s="10">
        <v>0.40571449999999998</v>
      </c>
      <c r="L327" s="1" t="s">
        <v>76</v>
      </c>
      <c r="M327" s="1" t="s">
        <v>506</v>
      </c>
      <c r="N327" s="1" t="s">
        <v>645</v>
      </c>
      <c r="O327" s="1" t="s">
        <v>13</v>
      </c>
      <c r="P327" s="82">
        <v>1</v>
      </c>
      <c r="Q327" s="1" t="s">
        <v>76</v>
      </c>
      <c r="R327" s="81" t="s">
        <v>100</v>
      </c>
      <c r="S327" s="1" t="s">
        <v>76</v>
      </c>
      <c r="T327" s="1" t="s">
        <v>78</v>
      </c>
      <c r="U327" s="1" t="s">
        <v>658</v>
      </c>
      <c r="V327" s="1" t="s">
        <v>655</v>
      </c>
      <c r="W327" s="1">
        <v>67</v>
      </c>
      <c r="X327" s="1" t="s">
        <v>279</v>
      </c>
      <c r="Y327" s="1" t="s">
        <v>645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-28.332582380000002</v>
      </c>
      <c r="CN327" s="83">
        <v>-130.03080610000001</v>
      </c>
    </row>
    <row r="328" spans="1:92" s="3" customFormat="1" x14ac:dyDescent="0.25">
      <c r="A328" s="72">
        <v>337</v>
      </c>
      <c r="B328" s="81" t="s">
        <v>1284</v>
      </c>
      <c r="C328" s="1" t="s">
        <v>83</v>
      </c>
      <c r="D328" s="1" t="s">
        <v>73</v>
      </c>
      <c r="E328" s="1" t="s">
        <v>215</v>
      </c>
      <c r="F328" s="1" t="s">
        <v>267</v>
      </c>
      <c r="G328" s="1" t="s">
        <v>80</v>
      </c>
      <c r="H328" s="1" t="s">
        <v>13</v>
      </c>
      <c r="I328" s="1"/>
      <c r="J328" s="9" t="s">
        <v>544</v>
      </c>
      <c r="K328" s="10">
        <v>0.45658516666666699</v>
      </c>
      <c r="L328" s="1" t="s">
        <v>76</v>
      </c>
      <c r="M328" s="1" t="s">
        <v>506</v>
      </c>
      <c r="N328" s="1" t="s">
        <v>645</v>
      </c>
      <c r="O328" s="1" t="s">
        <v>13</v>
      </c>
      <c r="P328" s="82">
        <v>0.998</v>
      </c>
      <c r="Q328" s="1" t="s">
        <v>76</v>
      </c>
      <c r="R328" s="81" t="s">
        <v>95</v>
      </c>
      <c r="S328" s="1" t="s">
        <v>76</v>
      </c>
      <c r="T328" s="1" t="s">
        <v>78</v>
      </c>
      <c r="U328" s="1" t="s">
        <v>659</v>
      </c>
      <c r="V328" s="1" t="s">
        <v>655</v>
      </c>
      <c r="W328" s="1">
        <v>51</v>
      </c>
      <c r="X328" s="1" t="s">
        <v>280</v>
      </c>
      <c r="Y328" s="1" t="s">
        <v>645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0.998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-12.912049209999999</v>
      </c>
      <c r="CN328" s="83">
        <v>-129.21059170000001</v>
      </c>
    </row>
    <row r="329" spans="1:92" s="3" customFormat="1" x14ac:dyDescent="0.25">
      <c r="A329" s="72">
        <v>338</v>
      </c>
      <c r="B329" s="81" t="s">
        <v>1220</v>
      </c>
      <c r="C329" s="1" t="s">
        <v>83</v>
      </c>
      <c r="D329" s="1" t="s">
        <v>173</v>
      </c>
      <c r="E329" s="1" t="s">
        <v>195</v>
      </c>
      <c r="F329" s="1" t="s">
        <v>93</v>
      </c>
      <c r="G329" s="1" t="s">
        <v>94</v>
      </c>
      <c r="H329" s="1" t="s">
        <v>525</v>
      </c>
      <c r="I329" s="1"/>
      <c r="J329" s="9" t="s">
        <v>506</v>
      </c>
      <c r="K329" s="10">
        <v>0.32026900000000003</v>
      </c>
      <c r="L329" s="1" t="s">
        <v>641</v>
      </c>
      <c r="M329" s="1" t="s">
        <v>76</v>
      </c>
      <c r="N329" s="1" t="s">
        <v>644</v>
      </c>
      <c r="O329" s="1" t="s">
        <v>68</v>
      </c>
      <c r="P329" s="82">
        <v>0.51200000000000001</v>
      </c>
      <c r="Q329" s="1" t="s">
        <v>76</v>
      </c>
      <c r="R329" s="81" t="s">
        <v>243</v>
      </c>
      <c r="S329" s="1">
        <v>3</v>
      </c>
      <c r="T329" s="1" t="s">
        <v>78</v>
      </c>
      <c r="U329" s="1" t="s">
        <v>658</v>
      </c>
      <c r="V329" s="1" t="s">
        <v>654</v>
      </c>
      <c r="W329" s="1">
        <v>25</v>
      </c>
      <c r="X329" s="1" t="s">
        <v>96</v>
      </c>
      <c r="Y329" s="1" t="s">
        <v>644</v>
      </c>
      <c r="Z329" s="1">
        <v>8.9999999999999993E-3</v>
      </c>
      <c r="AA329" s="1">
        <v>2E-3</v>
      </c>
      <c r="AB329" s="1">
        <v>2E-3</v>
      </c>
      <c r="AC329" s="1">
        <v>1.2999999999999999E-2</v>
      </c>
      <c r="AD329" s="1">
        <v>3.0000000000000001E-3</v>
      </c>
      <c r="AE329" s="1">
        <v>2E-3</v>
      </c>
      <c r="AF329" s="1">
        <v>2E-3</v>
      </c>
      <c r="AG329" s="1">
        <v>0</v>
      </c>
      <c r="AH329" s="1">
        <v>0.01</v>
      </c>
      <c r="AI329" s="1">
        <v>2E-3</v>
      </c>
      <c r="AJ329" s="1">
        <v>1E-3</v>
      </c>
      <c r="AK329" s="1">
        <v>2E-3</v>
      </c>
      <c r="AL329" s="1">
        <v>4.0000000000000001E-3</v>
      </c>
      <c r="AM329" s="1">
        <v>0</v>
      </c>
      <c r="AN329" s="1">
        <v>1.2E-2</v>
      </c>
      <c r="AO329" s="1">
        <v>1E-3</v>
      </c>
      <c r="AP329" s="1">
        <v>1E-3</v>
      </c>
      <c r="AQ329" s="1">
        <v>1E-3</v>
      </c>
      <c r="AR329" s="1">
        <v>5.0000000000000001E-3</v>
      </c>
      <c r="AS329" s="1">
        <v>4.0000000000000001E-3</v>
      </c>
      <c r="AT329" s="1">
        <v>2E-3</v>
      </c>
      <c r="AU329" s="1">
        <v>3.0000000000000001E-3</v>
      </c>
      <c r="AV329" s="1">
        <v>2E-3</v>
      </c>
      <c r="AW329" s="1">
        <v>2E-3</v>
      </c>
      <c r="AX329" s="1">
        <v>0.01</v>
      </c>
      <c r="AY329" s="1">
        <v>2E-3</v>
      </c>
      <c r="AZ329" s="1">
        <v>3.0000000000000001E-3</v>
      </c>
      <c r="BA329" s="1">
        <v>5.0000000000000001E-3</v>
      </c>
      <c r="BB329" s="1">
        <v>2E-3</v>
      </c>
      <c r="BC329" s="1">
        <v>0.23499999999999999</v>
      </c>
      <c r="BD329" s="1">
        <v>7.0000000000000001E-3</v>
      </c>
      <c r="BE329" s="1">
        <v>1E-3</v>
      </c>
      <c r="BF329" s="1">
        <v>6.0000000000000001E-3</v>
      </c>
      <c r="BG329" s="1">
        <v>1E-3</v>
      </c>
      <c r="BH329" s="1">
        <v>2E-3</v>
      </c>
      <c r="BI329" s="1">
        <v>1E-3</v>
      </c>
      <c r="BJ329" s="1">
        <v>1E-3</v>
      </c>
      <c r="BK329" s="1">
        <v>1E-3</v>
      </c>
      <c r="BL329" s="1">
        <v>5.0000000000000001E-3</v>
      </c>
      <c r="BM329" s="1">
        <v>2E-3</v>
      </c>
      <c r="BN329" s="1">
        <v>2E-3</v>
      </c>
      <c r="BO329" s="1">
        <v>1E-3</v>
      </c>
      <c r="BP329" s="1">
        <v>1E-3</v>
      </c>
      <c r="BQ329" s="1">
        <v>3.0000000000000001E-3</v>
      </c>
      <c r="BR329" s="1">
        <v>2E-3</v>
      </c>
      <c r="BS329" s="1">
        <v>5.0000000000000001E-3</v>
      </c>
      <c r="BT329" s="1">
        <v>1E-3</v>
      </c>
      <c r="BU329" s="1">
        <v>1E-3</v>
      </c>
      <c r="BV329" s="1">
        <v>1E-3</v>
      </c>
      <c r="BW329" s="1">
        <v>2E-3</v>
      </c>
      <c r="BX329" s="1">
        <v>6.5000000000000002E-2</v>
      </c>
      <c r="BY329" s="1">
        <v>6.0000000000000001E-3</v>
      </c>
      <c r="BZ329" s="1">
        <v>4.0000000000000001E-3</v>
      </c>
      <c r="CA329" s="1">
        <v>3.0000000000000001E-3</v>
      </c>
      <c r="CB329" s="1">
        <v>1E-3</v>
      </c>
      <c r="CC329" s="1">
        <v>2E-3</v>
      </c>
      <c r="CD329" s="1">
        <v>0</v>
      </c>
      <c r="CE329" s="1">
        <v>2E-3</v>
      </c>
      <c r="CF329" s="1">
        <v>2E-3</v>
      </c>
      <c r="CG329" s="1">
        <v>2E-3</v>
      </c>
      <c r="CH329" s="1">
        <v>2E-3</v>
      </c>
      <c r="CI329" s="1">
        <v>2E-3</v>
      </c>
      <c r="CJ329" s="1">
        <v>4.0000000000000001E-3</v>
      </c>
      <c r="CK329" s="1">
        <v>0.51200000000000001</v>
      </c>
      <c r="CL329" s="1">
        <v>4.0000000000000001E-3</v>
      </c>
      <c r="CM329" s="1">
        <v>41.57200907</v>
      </c>
      <c r="CN329" s="83">
        <v>-4.8662113610000004</v>
      </c>
    </row>
    <row r="330" spans="1:92" s="3" customFormat="1" x14ac:dyDescent="0.25">
      <c r="A330" s="72">
        <v>339</v>
      </c>
      <c r="B330" s="81" t="s">
        <v>1283</v>
      </c>
      <c r="C330" s="1" t="s">
        <v>83</v>
      </c>
      <c r="D330" s="1" t="s">
        <v>73</v>
      </c>
      <c r="E330" s="1" t="s">
        <v>99</v>
      </c>
      <c r="F330" s="1" t="s">
        <v>267</v>
      </c>
      <c r="G330" s="1" t="s">
        <v>80</v>
      </c>
      <c r="H330" s="1" t="s">
        <v>13</v>
      </c>
      <c r="I330" s="1"/>
      <c r="J330" s="9" t="s">
        <v>544</v>
      </c>
      <c r="K330" s="10">
        <v>0.33674100000000001</v>
      </c>
      <c r="L330" s="1" t="s">
        <v>76</v>
      </c>
      <c r="M330" s="1" t="s">
        <v>506</v>
      </c>
      <c r="N330" s="1" t="s">
        <v>645</v>
      </c>
      <c r="O330" s="1" t="s">
        <v>13</v>
      </c>
      <c r="P330" s="82">
        <v>0.999</v>
      </c>
      <c r="Q330" s="1" t="s">
        <v>76</v>
      </c>
      <c r="R330" s="81" t="s">
        <v>95</v>
      </c>
      <c r="S330" s="1" t="s">
        <v>76</v>
      </c>
      <c r="T330" s="1" t="s">
        <v>78</v>
      </c>
      <c r="U330" s="1" t="s">
        <v>658</v>
      </c>
      <c r="V330" s="1" t="s">
        <v>655</v>
      </c>
      <c r="W330" s="1">
        <v>24</v>
      </c>
      <c r="X330" s="1" t="s">
        <v>268</v>
      </c>
      <c r="Y330" s="1" t="s">
        <v>645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0.999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-30.077865339999999</v>
      </c>
      <c r="CN330" s="83">
        <v>-108.5674185</v>
      </c>
    </row>
    <row r="331" spans="1:92" s="3" customFormat="1" x14ac:dyDescent="0.25">
      <c r="A331" s="72">
        <v>340</v>
      </c>
      <c r="B331" s="81" t="s">
        <v>1291</v>
      </c>
      <c r="C331" s="1" t="s">
        <v>83</v>
      </c>
      <c r="D331" s="1" t="s">
        <v>73</v>
      </c>
      <c r="E331" s="1" t="s">
        <v>74</v>
      </c>
      <c r="F331" s="1" t="s">
        <v>267</v>
      </c>
      <c r="G331" s="1" t="s">
        <v>80</v>
      </c>
      <c r="H331" s="1" t="s">
        <v>13</v>
      </c>
      <c r="I331" s="1"/>
      <c r="J331" s="9" t="s">
        <v>544</v>
      </c>
      <c r="K331" s="10">
        <v>0.46089150000000001</v>
      </c>
      <c r="L331" s="1" t="s">
        <v>76</v>
      </c>
      <c r="M331" s="1" t="s">
        <v>506</v>
      </c>
      <c r="N331" s="1" t="s">
        <v>645</v>
      </c>
      <c r="O331" s="1" t="s">
        <v>13</v>
      </c>
      <c r="P331" s="82">
        <v>0.999</v>
      </c>
      <c r="Q331" s="1" t="s">
        <v>76</v>
      </c>
      <c r="R331" s="81" t="s">
        <v>276</v>
      </c>
      <c r="S331" s="1" t="s">
        <v>76</v>
      </c>
      <c r="T331" s="1" t="s">
        <v>78</v>
      </c>
      <c r="U331" s="1" t="s">
        <v>658</v>
      </c>
      <c r="V331" s="1" t="s">
        <v>655</v>
      </c>
      <c r="W331" s="1">
        <v>65</v>
      </c>
      <c r="X331" s="1" t="s">
        <v>279</v>
      </c>
      <c r="Y331" s="1" t="s">
        <v>645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0.999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-8.2452218990000006</v>
      </c>
      <c r="CN331" s="83">
        <v>-130.282196</v>
      </c>
    </row>
    <row r="332" spans="1:92" s="3" customFormat="1" x14ac:dyDescent="0.25">
      <c r="A332" s="72">
        <v>341</v>
      </c>
      <c r="B332" s="81" t="s">
        <v>1159</v>
      </c>
      <c r="C332" s="1" t="s">
        <v>83</v>
      </c>
      <c r="D332" s="1" t="s">
        <v>173</v>
      </c>
      <c r="E332" s="1" t="s">
        <v>215</v>
      </c>
      <c r="F332" s="1" t="s">
        <v>93</v>
      </c>
      <c r="G332" s="1" t="s">
        <v>281</v>
      </c>
      <c r="H332" s="1" t="s">
        <v>525</v>
      </c>
      <c r="I332" s="1"/>
      <c r="J332" s="9" t="s">
        <v>506</v>
      </c>
      <c r="K332" s="10">
        <v>0.41603183333333399</v>
      </c>
      <c r="L332" s="1" t="s">
        <v>612</v>
      </c>
      <c r="M332" s="1" t="s">
        <v>506</v>
      </c>
      <c r="N332" s="2" t="s">
        <v>1711</v>
      </c>
      <c r="O332" s="1" t="s">
        <v>34</v>
      </c>
      <c r="P332" s="82">
        <v>0.998</v>
      </c>
      <c r="Q332" s="1" t="s">
        <v>76</v>
      </c>
      <c r="R332" s="81" t="s">
        <v>243</v>
      </c>
      <c r="S332" s="1">
        <v>3</v>
      </c>
      <c r="T332" s="1" t="s">
        <v>78</v>
      </c>
      <c r="U332" s="1" t="s">
        <v>658</v>
      </c>
      <c r="V332" s="1" t="s">
        <v>655</v>
      </c>
      <c r="W332" s="1">
        <v>40</v>
      </c>
      <c r="X332" s="1" t="s">
        <v>96</v>
      </c>
      <c r="Y332" s="2" t="s">
        <v>1711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1E-3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0.998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49.218491720000003</v>
      </c>
      <c r="CN332" s="83">
        <v>-8.4228374119999998</v>
      </c>
    </row>
    <row r="333" spans="1:92" s="3" customFormat="1" x14ac:dyDescent="0.25">
      <c r="A333" s="72">
        <v>342</v>
      </c>
      <c r="B333" s="81" t="s">
        <v>1148</v>
      </c>
      <c r="C333" s="1" t="s">
        <v>83</v>
      </c>
      <c r="D333" s="1" t="s">
        <v>73</v>
      </c>
      <c r="E333" s="1" t="s">
        <v>74</v>
      </c>
      <c r="F333" s="1" t="s">
        <v>267</v>
      </c>
      <c r="G333" s="1" t="s">
        <v>80</v>
      </c>
      <c r="H333" s="1" t="s">
        <v>13</v>
      </c>
      <c r="I333" s="1"/>
      <c r="J333" s="9" t="s">
        <v>544</v>
      </c>
      <c r="K333" s="10">
        <v>0.53125249999999902</v>
      </c>
      <c r="L333" s="1" t="s">
        <v>76</v>
      </c>
      <c r="M333" s="1" t="s">
        <v>506</v>
      </c>
      <c r="N333" s="1" t="s">
        <v>645</v>
      </c>
      <c r="O333" s="1" t="s">
        <v>13</v>
      </c>
      <c r="P333" s="82">
        <v>0.998</v>
      </c>
      <c r="Q333" s="1" t="s">
        <v>76</v>
      </c>
      <c r="R333" s="81" t="s">
        <v>100</v>
      </c>
      <c r="S333" s="1" t="s">
        <v>76</v>
      </c>
      <c r="T333" s="1" t="s">
        <v>78</v>
      </c>
      <c r="U333" s="1" t="s">
        <v>658</v>
      </c>
      <c r="V333" s="1" t="s">
        <v>655</v>
      </c>
      <c r="W333" s="1">
        <v>65</v>
      </c>
      <c r="X333" s="1" t="s">
        <v>268</v>
      </c>
      <c r="Y333" s="1" t="s">
        <v>645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0.998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-2.456175016</v>
      </c>
      <c r="CN333" s="83">
        <v>-127.1734288</v>
      </c>
    </row>
    <row r="334" spans="1:92" s="3" customFormat="1" x14ac:dyDescent="0.25">
      <c r="A334" s="72">
        <v>343</v>
      </c>
      <c r="B334" s="81" t="s">
        <v>956</v>
      </c>
      <c r="C334" s="1" t="s">
        <v>83</v>
      </c>
      <c r="D334" s="1" t="s">
        <v>173</v>
      </c>
      <c r="E334" s="1" t="s">
        <v>74</v>
      </c>
      <c r="F334" s="1" t="s">
        <v>93</v>
      </c>
      <c r="G334" s="1" t="s">
        <v>94</v>
      </c>
      <c r="H334" s="1" t="s">
        <v>525</v>
      </c>
      <c r="I334" s="1"/>
      <c r="J334" s="9" t="s">
        <v>506</v>
      </c>
      <c r="K334" s="10">
        <v>0.32305016666666603</v>
      </c>
      <c r="L334" s="1" t="s">
        <v>600</v>
      </c>
      <c r="M334" s="1" t="s">
        <v>506</v>
      </c>
      <c r="N334" s="2" t="s">
        <v>1711</v>
      </c>
      <c r="O334" s="1" t="s">
        <v>34</v>
      </c>
      <c r="P334" s="82">
        <v>0.99199999999999999</v>
      </c>
      <c r="Q334" s="1" t="s">
        <v>76</v>
      </c>
      <c r="R334" s="81" t="s">
        <v>77</v>
      </c>
      <c r="S334" s="1">
        <v>3</v>
      </c>
      <c r="T334" s="1" t="s">
        <v>78</v>
      </c>
      <c r="U334" s="1" t="s">
        <v>658</v>
      </c>
      <c r="V334" s="1" t="s">
        <v>655</v>
      </c>
      <c r="W334" s="1">
        <v>16</v>
      </c>
      <c r="X334" s="1" t="s">
        <v>96</v>
      </c>
      <c r="Y334" s="2" t="s">
        <v>1711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3.0000000000000001E-3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0.99199999999999999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1E-3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1E-3</v>
      </c>
      <c r="CL334" s="1">
        <v>0</v>
      </c>
      <c r="CM334" s="1">
        <v>42.447773529999999</v>
      </c>
      <c r="CN334" s="83">
        <v>-3.90194011</v>
      </c>
    </row>
    <row r="335" spans="1:92" s="3" customFormat="1" x14ac:dyDescent="0.25">
      <c r="A335" s="72">
        <v>345</v>
      </c>
      <c r="B335" s="81" t="s">
        <v>935</v>
      </c>
      <c r="C335" s="1" t="s">
        <v>83</v>
      </c>
      <c r="D335" s="1" t="s">
        <v>73</v>
      </c>
      <c r="E335" s="1" t="s">
        <v>215</v>
      </c>
      <c r="F335" s="1" t="s">
        <v>93</v>
      </c>
      <c r="G335" s="1" t="s">
        <v>94</v>
      </c>
      <c r="H335" s="1" t="s">
        <v>525</v>
      </c>
      <c r="I335" s="1"/>
      <c r="J335" s="9" t="s">
        <v>506</v>
      </c>
      <c r="K335" s="10">
        <v>0.58602333333333301</v>
      </c>
      <c r="L335" s="1" t="s">
        <v>600</v>
      </c>
      <c r="M335" s="1" t="s">
        <v>506</v>
      </c>
      <c r="N335" s="2" t="s">
        <v>1711</v>
      </c>
      <c r="O335" s="1" t="s">
        <v>34</v>
      </c>
      <c r="P335" s="82">
        <v>0.94799999999999995</v>
      </c>
      <c r="Q335" s="1" t="s">
        <v>76</v>
      </c>
      <c r="R335" s="81" t="s">
        <v>114</v>
      </c>
      <c r="S335" s="1">
        <v>3</v>
      </c>
      <c r="T335" s="1" t="s">
        <v>78</v>
      </c>
      <c r="U335" s="1" t="s">
        <v>659</v>
      </c>
      <c r="V335" s="1" t="s">
        <v>655</v>
      </c>
      <c r="W335" s="1">
        <v>33</v>
      </c>
      <c r="X335" s="1" t="s">
        <v>96</v>
      </c>
      <c r="Y335" s="2" t="s">
        <v>1711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3.3000000000000002E-2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2E-3</v>
      </c>
      <c r="AY335" s="1">
        <v>0</v>
      </c>
      <c r="AZ335" s="1">
        <v>0</v>
      </c>
      <c r="BA335" s="1">
        <v>0</v>
      </c>
      <c r="BB335" s="1">
        <v>0</v>
      </c>
      <c r="BC335" s="1">
        <v>0.94799999999999995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3.0000000000000001E-3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1E-3</v>
      </c>
      <c r="BY335" s="1">
        <v>1E-3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4.0000000000000001E-3</v>
      </c>
      <c r="CL335" s="1">
        <v>0</v>
      </c>
      <c r="CM335" s="1">
        <v>13.286877580000001</v>
      </c>
      <c r="CN335" s="83">
        <v>52.468266399999997</v>
      </c>
    </row>
    <row r="336" spans="1:92" s="3" customFormat="1" x14ac:dyDescent="0.25">
      <c r="A336" s="72">
        <v>346</v>
      </c>
      <c r="B336" s="81" t="s">
        <v>994</v>
      </c>
      <c r="C336" s="1" t="s">
        <v>83</v>
      </c>
      <c r="D336" s="1" t="s">
        <v>73</v>
      </c>
      <c r="E336" s="1" t="s">
        <v>99</v>
      </c>
      <c r="F336" s="1" t="s">
        <v>267</v>
      </c>
      <c r="G336" s="1" t="s">
        <v>80</v>
      </c>
      <c r="H336" s="1" t="s">
        <v>13</v>
      </c>
      <c r="I336" s="1"/>
      <c r="J336" s="9" t="s">
        <v>544</v>
      </c>
      <c r="K336" s="10">
        <v>0.53753316666666695</v>
      </c>
      <c r="L336" s="1" t="s">
        <v>76</v>
      </c>
      <c r="M336" s="1" t="s">
        <v>506</v>
      </c>
      <c r="N336" s="1" t="s">
        <v>645</v>
      </c>
      <c r="O336" s="1" t="s">
        <v>13</v>
      </c>
      <c r="P336" s="82">
        <v>0.99099999999999999</v>
      </c>
      <c r="Q336" s="1" t="s">
        <v>76</v>
      </c>
      <c r="R336" s="81" t="s">
        <v>100</v>
      </c>
      <c r="S336" s="1" t="s">
        <v>76</v>
      </c>
      <c r="T336" s="1" t="s">
        <v>78</v>
      </c>
      <c r="U336" s="1" t="s">
        <v>658</v>
      </c>
      <c r="V336" s="1" t="s">
        <v>655</v>
      </c>
      <c r="W336" s="1">
        <v>63</v>
      </c>
      <c r="X336" s="1" t="s">
        <v>268</v>
      </c>
      <c r="Y336" s="1" t="s">
        <v>645</v>
      </c>
      <c r="Z336" s="1">
        <v>0</v>
      </c>
      <c r="AA336" s="1">
        <v>0</v>
      </c>
      <c r="AB336" s="1">
        <v>0</v>
      </c>
      <c r="AC336" s="1">
        <v>1E-3</v>
      </c>
      <c r="AD336" s="1">
        <v>0</v>
      </c>
      <c r="AE336" s="1">
        <v>0</v>
      </c>
      <c r="AF336" s="1">
        <v>0</v>
      </c>
      <c r="AG336" s="1">
        <v>0</v>
      </c>
      <c r="AH336" s="1">
        <v>0.99099999999999999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1E-3</v>
      </c>
      <c r="CL336" s="1">
        <v>0</v>
      </c>
      <c r="CM336" s="1">
        <v>-22.07658249</v>
      </c>
      <c r="CN336" s="83">
        <v>-132.46529989999999</v>
      </c>
    </row>
    <row r="337" spans="1:92" s="3" customFormat="1" x14ac:dyDescent="0.25">
      <c r="A337" s="72">
        <v>347</v>
      </c>
      <c r="B337" s="81" t="s">
        <v>837</v>
      </c>
      <c r="C337" s="1" t="s">
        <v>83</v>
      </c>
      <c r="D337" s="1" t="s">
        <v>173</v>
      </c>
      <c r="E337" s="1" t="s">
        <v>74</v>
      </c>
      <c r="F337" s="1" t="s">
        <v>267</v>
      </c>
      <c r="G337" s="1" t="s">
        <v>80</v>
      </c>
      <c r="H337" s="1" t="s">
        <v>13</v>
      </c>
      <c r="I337" s="1"/>
      <c r="J337" s="9" t="s">
        <v>544</v>
      </c>
      <c r="K337" s="10">
        <v>0.47960150000000001</v>
      </c>
      <c r="L337" s="1" t="s">
        <v>76</v>
      </c>
      <c r="M337" s="1" t="s">
        <v>506</v>
      </c>
      <c r="N337" s="1" t="s">
        <v>645</v>
      </c>
      <c r="O337" s="1" t="s">
        <v>13</v>
      </c>
      <c r="P337" s="82">
        <v>0.999</v>
      </c>
      <c r="Q337" s="1" t="s">
        <v>76</v>
      </c>
      <c r="R337" s="81" t="s">
        <v>282</v>
      </c>
      <c r="S337" s="1" t="s">
        <v>76</v>
      </c>
      <c r="T337" s="1" t="s">
        <v>78</v>
      </c>
      <c r="U337" s="1" t="s">
        <v>658</v>
      </c>
      <c r="V337" s="1" t="s">
        <v>655</v>
      </c>
      <c r="W337" s="1">
        <v>57</v>
      </c>
      <c r="X337" s="1" t="s">
        <v>283</v>
      </c>
      <c r="Y337" s="1" t="s">
        <v>645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0.999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-10.533850210000001</v>
      </c>
      <c r="CN337" s="83">
        <v>-127.08689320000001</v>
      </c>
    </row>
    <row r="338" spans="1:92" s="3" customFormat="1" x14ac:dyDescent="0.25">
      <c r="A338" s="72">
        <v>348</v>
      </c>
      <c r="B338" s="81" t="s">
        <v>1179</v>
      </c>
      <c r="C338" s="1" t="s">
        <v>83</v>
      </c>
      <c r="D338" s="1" t="s">
        <v>73</v>
      </c>
      <c r="E338" s="1" t="s">
        <v>99</v>
      </c>
      <c r="F338" s="1" t="s">
        <v>267</v>
      </c>
      <c r="G338" s="1" t="s">
        <v>80</v>
      </c>
      <c r="H338" s="1" t="s">
        <v>13</v>
      </c>
      <c r="I338" s="1"/>
      <c r="J338" s="9" t="s">
        <v>544</v>
      </c>
      <c r="K338" s="10">
        <v>0.38100100000000098</v>
      </c>
      <c r="L338" s="1" t="s">
        <v>76</v>
      </c>
      <c r="M338" s="1" t="s">
        <v>506</v>
      </c>
      <c r="N338" s="1" t="s">
        <v>645</v>
      </c>
      <c r="O338" s="1" t="s">
        <v>13</v>
      </c>
      <c r="P338" s="82">
        <v>1</v>
      </c>
      <c r="Q338" s="1" t="s">
        <v>76</v>
      </c>
      <c r="R338" s="81" t="s">
        <v>100</v>
      </c>
      <c r="S338" s="1" t="s">
        <v>76</v>
      </c>
      <c r="T338" s="1" t="s">
        <v>78</v>
      </c>
      <c r="U338" s="1" t="s">
        <v>658</v>
      </c>
      <c r="V338" s="1" t="s">
        <v>655</v>
      </c>
      <c r="W338" s="1">
        <v>64</v>
      </c>
      <c r="X338" s="1" t="s">
        <v>268</v>
      </c>
      <c r="Y338" s="1" t="s">
        <v>645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1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-30.547327710000001</v>
      </c>
      <c r="CN338" s="83">
        <v>-109.75003599999999</v>
      </c>
    </row>
    <row r="339" spans="1:92" s="3" customFormat="1" x14ac:dyDescent="0.25">
      <c r="A339" s="72">
        <v>349</v>
      </c>
      <c r="B339" s="81" t="s">
        <v>864</v>
      </c>
      <c r="C339" s="1" t="s">
        <v>83</v>
      </c>
      <c r="D339" s="1" t="s">
        <v>173</v>
      </c>
      <c r="E339" s="1" t="s">
        <v>215</v>
      </c>
      <c r="F339" s="1" t="s">
        <v>93</v>
      </c>
      <c r="G339" s="1" t="s">
        <v>284</v>
      </c>
      <c r="H339" s="1" t="s">
        <v>525</v>
      </c>
      <c r="I339" s="1"/>
      <c r="J339" s="9" t="s">
        <v>506</v>
      </c>
      <c r="K339" s="10">
        <v>0.55447433333333296</v>
      </c>
      <c r="L339" s="1" t="s">
        <v>641</v>
      </c>
      <c r="M339" s="1" t="s">
        <v>76</v>
      </c>
      <c r="N339" s="1" t="s">
        <v>644</v>
      </c>
      <c r="O339" s="1" t="s">
        <v>29</v>
      </c>
      <c r="P339" s="82">
        <v>0.45300000000000001</v>
      </c>
      <c r="Q339" s="1" t="s">
        <v>76</v>
      </c>
      <c r="R339" s="81" t="s">
        <v>87</v>
      </c>
      <c r="S339" s="1">
        <v>3</v>
      </c>
      <c r="T339" s="1" t="s">
        <v>78</v>
      </c>
      <c r="U339" s="1" t="s">
        <v>658</v>
      </c>
      <c r="V339" s="1" t="s">
        <v>655</v>
      </c>
      <c r="W339" s="1">
        <v>37</v>
      </c>
      <c r="X339" s="1" t="s">
        <v>96</v>
      </c>
      <c r="Y339" s="1" t="s">
        <v>644</v>
      </c>
      <c r="Z339" s="1">
        <v>1E-3</v>
      </c>
      <c r="AA339" s="1">
        <v>5.0000000000000001E-3</v>
      </c>
      <c r="AB339" s="1">
        <v>1E-3</v>
      </c>
      <c r="AC339" s="1">
        <v>3.0000000000000001E-3</v>
      </c>
      <c r="AD339" s="1">
        <v>1E-3</v>
      </c>
      <c r="AE339" s="1">
        <v>1E-3</v>
      </c>
      <c r="AF339" s="1">
        <v>2E-3</v>
      </c>
      <c r="AG339" s="1">
        <v>0</v>
      </c>
      <c r="AH339" s="1">
        <v>4.0000000000000001E-3</v>
      </c>
      <c r="AI339" s="1">
        <v>1E-3</v>
      </c>
      <c r="AJ339" s="1">
        <v>1E-3</v>
      </c>
      <c r="AK339" s="1">
        <v>3.0000000000000001E-3</v>
      </c>
      <c r="AL339" s="1">
        <v>0.13500000000000001</v>
      </c>
      <c r="AM339" s="1">
        <v>0</v>
      </c>
      <c r="AN339" s="1">
        <v>1E-3</v>
      </c>
      <c r="AO339" s="1">
        <v>2E-3</v>
      </c>
      <c r="AP339" s="1">
        <v>2E-3</v>
      </c>
      <c r="AQ339" s="1">
        <v>1E-3</v>
      </c>
      <c r="AR339" s="1">
        <v>1E-3</v>
      </c>
      <c r="AS339" s="1">
        <v>4.0000000000000001E-3</v>
      </c>
      <c r="AT339" s="1">
        <v>3.0000000000000001E-3</v>
      </c>
      <c r="AU339" s="1">
        <v>2E-3</v>
      </c>
      <c r="AV339" s="1">
        <v>2E-3</v>
      </c>
      <c r="AW339" s="1">
        <v>3.0000000000000001E-3</v>
      </c>
      <c r="AX339" s="1">
        <v>0.45300000000000001</v>
      </c>
      <c r="AY339" s="1">
        <v>3.0000000000000001E-3</v>
      </c>
      <c r="AZ339" s="1">
        <v>2E-3</v>
      </c>
      <c r="BA339" s="1">
        <v>4.0000000000000001E-3</v>
      </c>
      <c r="BB339" s="1">
        <v>1E-3</v>
      </c>
      <c r="BC339" s="1">
        <v>0.1</v>
      </c>
      <c r="BD339" s="1">
        <v>5.0000000000000001E-3</v>
      </c>
      <c r="BE339" s="1">
        <v>1E-3</v>
      </c>
      <c r="BF339" s="1">
        <v>1E-3</v>
      </c>
      <c r="BG339" s="1">
        <v>3.0000000000000001E-3</v>
      </c>
      <c r="BH339" s="1">
        <v>1E-3</v>
      </c>
      <c r="BI339" s="1">
        <v>1E-3</v>
      </c>
      <c r="BJ339" s="1">
        <v>1E-3</v>
      </c>
      <c r="BK339" s="1">
        <v>1E-3</v>
      </c>
      <c r="BL339" s="1">
        <v>1.9E-2</v>
      </c>
      <c r="BM339" s="1">
        <v>8.9999999999999993E-3</v>
      </c>
      <c r="BN339" s="1">
        <v>2E-3</v>
      </c>
      <c r="BO339" s="1">
        <v>1E-3</v>
      </c>
      <c r="BP339" s="1">
        <v>0</v>
      </c>
      <c r="BQ339" s="1">
        <v>5.0000000000000001E-3</v>
      </c>
      <c r="BR339" s="1">
        <v>2E-3</v>
      </c>
      <c r="BS339" s="1">
        <v>1E-3</v>
      </c>
      <c r="BT339" s="1">
        <v>1E-3</v>
      </c>
      <c r="BU339" s="1">
        <v>1E-3</v>
      </c>
      <c r="BV339" s="1">
        <v>1E-3</v>
      </c>
      <c r="BW339" s="1">
        <v>2E-3</v>
      </c>
      <c r="BX339" s="1">
        <v>6.0000000000000001E-3</v>
      </c>
      <c r="BY339" s="1">
        <v>6.0000000000000001E-3</v>
      </c>
      <c r="BZ339" s="1">
        <v>6.0000000000000001E-3</v>
      </c>
      <c r="CA339" s="1">
        <v>2E-3</v>
      </c>
      <c r="CB339" s="1">
        <v>0</v>
      </c>
      <c r="CC339" s="1">
        <v>1E-3</v>
      </c>
      <c r="CD339" s="1">
        <v>0</v>
      </c>
      <c r="CE339" s="1">
        <v>2E-3</v>
      </c>
      <c r="CF339" s="1">
        <v>2E-3</v>
      </c>
      <c r="CG339" s="1">
        <v>3.0000000000000001E-3</v>
      </c>
      <c r="CH339" s="1">
        <v>3.0000000000000001E-3</v>
      </c>
      <c r="CI339" s="1">
        <v>3.0000000000000001E-3</v>
      </c>
      <c r="CJ339" s="1">
        <v>4.0000000000000001E-3</v>
      </c>
      <c r="CK339" s="1">
        <v>0.16300000000000001</v>
      </c>
      <c r="CL339" s="1">
        <v>3.0000000000000001E-3</v>
      </c>
      <c r="CM339" s="1">
        <v>36.774837290000001</v>
      </c>
      <c r="CN339" s="83">
        <v>-22.30369602</v>
      </c>
    </row>
    <row r="340" spans="1:92" s="3" customFormat="1" x14ac:dyDescent="0.25">
      <c r="A340" s="72">
        <v>350</v>
      </c>
      <c r="B340" s="81" t="s">
        <v>954</v>
      </c>
      <c r="C340" s="1" t="s">
        <v>83</v>
      </c>
      <c r="D340" s="1" t="s">
        <v>73</v>
      </c>
      <c r="E340" s="1" t="s">
        <v>74</v>
      </c>
      <c r="F340" s="1" t="s">
        <v>267</v>
      </c>
      <c r="G340" s="1" t="s">
        <v>80</v>
      </c>
      <c r="H340" s="1" t="s">
        <v>13</v>
      </c>
      <c r="I340" s="1"/>
      <c r="J340" s="9" t="s">
        <v>544</v>
      </c>
      <c r="K340" s="10">
        <v>0.53013200000000005</v>
      </c>
      <c r="L340" s="1" t="s">
        <v>76</v>
      </c>
      <c r="M340" s="1" t="s">
        <v>506</v>
      </c>
      <c r="N340" s="1" t="s">
        <v>645</v>
      </c>
      <c r="O340" s="1" t="s">
        <v>13</v>
      </c>
      <c r="P340" s="82">
        <v>0.99299999999999999</v>
      </c>
      <c r="Q340" s="1" t="s">
        <v>76</v>
      </c>
      <c r="R340" s="81" t="s">
        <v>100</v>
      </c>
      <c r="S340" s="1" t="s">
        <v>76</v>
      </c>
      <c r="T340" s="1" t="s">
        <v>78</v>
      </c>
      <c r="U340" s="1" t="s">
        <v>424</v>
      </c>
      <c r="V340" s="1" t="s">
        <v>657</v>
      </c>
      <c r="W340" s="1">
        <v>84</v>
      </c>
      <c r="X340" s="1" t="s">
        <v>268</v>
      </c>
      <c r="Y340" s="1" t="s">
        <v>645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0.99299999999999999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1E-3</v>
      </c>
      <c r="CL340" s="1">
        <v>0</v>
      </c>
      <c r="CM340" s="1">
        <v>-28.719036469999999</v>
      </c>
      <c r="CN340" s="83">
        <v>-131.9764634</v>
      </c>
    </row>
    <row r="341" spans="1:92" s="3" customFormat="1" x14ac:dyDescent="0.25">
      <c r="A341" s="72">
        <v>351</v>
      </c>
      <c r="B341" s="81" t="s">
        <v>1235</v>
      </c>
      <c r="C341" s="1" t="s">
        <v>83</v>
      </c>
      <c r="D341" s="1" t="s">
        <v>73</v>
      </c>
      <c r="E341" s="1" t="s">
        <v>99</v>
      </c>
      <c r="F341" s="1" t="s">
        <v>267</v>
      </c>
      <c r="G341" s="1" t="s">
        <v>80</v>
      </c>
      <c r="H341" s="1" t="s">
        <v>13</v>
      </c>
      <c r="I341" s="1"/>
      <c r="J341" s="9" t="s">
        <v>544</v>
      </c>
      <c r="K341" s="10">
        <v>0.41423916666666699</v>
      </c>
      <c r="L341" s="1" t="s">
        <v>76</v>
      </c>
      <c r="M341" s="1" t="s">
        <v>506</v>
      </c>
      <c r="N341" s="1" t="s">
        <v>645</v>
      </c>
      <c r="O341" s="1" t="s">
        <v>13</v>
      </c>
      <c r="P341" s="82">
        <v>1</v>
      </c>
      <c r="Q341" s="1" t="s">
        <v>76</v>
      </c>
      <c r="R341" s="81" t="s">
        <v>100</v>
      </c>
      <c r="S341" s="1" t="s">
        <v>76</v>
      </c>
      <c r="T341" s="1" t="s">
        <v>78</v>
      </c>
      <c r="U341" s="1" t="s">
        <v>658</v>
      </c>
      <c r="V341" s="1" t="s">
        <v>655</v>
      </c>
      <c r="W341" s="1">
        <v>63</v>
      </c>
      <c r="X341" s="1" t="s">
        <v>279</v>
      </c>
      <c r="Y341" s="1" t="s">
        <v>645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-16.397847559999999</v>
      </c>
      <c r="CN341" s="83">
        <v>-127.9863915</v>
      </c>
    </row>
    <row r="342" spans="1:92" s="3" customFormat="1" x14ac:dyDescent="0.25">
      <c r="A342" s="72">
        <v>352</v>
      </c>
      <c r="B342" s="81" t="s">
        <v>953</v>
      </c>
      <c r="C342" s="1" t="s">
        <v>83</v>
      </c>
      <c r="D342" s="1" t="s">
        <v>73</v>
      </c>
      <c r="E342" s="1" t="s">
        <v>215</v>
      </c>
      <c r="F342" s="1" t="s">
        <v>93</v>
      </c>
      <c r="G342" s="1" t="s">
        <v>94</v>
      </c>
      <c r="H342" s="1" t="s">
        <v>525</v>
      </c>
      <c r="I342" s="1"/>
      <c r="J342" s="9" t="s">
        <v>506</v>
      </c>
      <c r="K342" s="10">
        <v>0.56758933333333395</v>
      </c>
      <c r="L342" s="1" t="s">
        <v>600</v>
      </c>
      <c r="M342" s="1" t="s">
        <v>506</v>
      </c>
      <c r="N342" s="2" t="s">
        <v>1711</v>
      </c>
      <c r="O342" s="1" t="s">
        <v>34</v>
      </c>
      <c r="P342" s="82">
        <v>0.998</v>
      </c>
      <c r="Q342" s="1" t="s">
        <v>76</v>
      </c>
      <c r="R342" s="81" t="s">
        <v>151</v>
      </c>
      <c r="S342" s="1">
        <v>3</v>
      </c>
      <c r="T342" s="1" t="s">
        <v>78</v>
      </c>
      <c r="U342" s="1" t="s">
        <v>658</v>
      </c>
      <c r="V342" s="1" t="s">
        <v>655</v>
      </c>
      <c r="W342" s="1">
        <v>20</v>
      </c>
      <c r="X342" s="1" t="s">
        <v>565</v>
      </c>
      <c r="Y342" s="2" t="s">
        <v>1711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1E-3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0.998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51.488454760000003</v>
      </c>
      <c r="CN342" s="83">
        <v>0.573950407</v>
      </c>
    </row>
    <row r="343" spans="1:92" s="3" customFormat="1" x14ac:dyDescent="0.25">
      <c r="A343" s="72">
        <v>353</v>
      </c>
      <c r="B343" s="81" t="s">
        <v>1307</v>
      </c>
      <c r="C343" s="1" t="s">
        <v>83</v>
      </c>
      <c r="D343" s="1" t="s">
        <v>73</v>
      </c>
      <c r="E343" s="1" t="s">
        <v>99</v>
      </c>
      <c r="F343" s="1" t="s">
        <v>267</v>
      </c>
      <c r="G343" s="1" t="s">
        <v>80</v>
      </c>
      <c r="H343" s="1" t="s">
        <v>13</v>
      </c>
      <c r="I343" s="1"/>
      <c r="J343" s="9" t="s">
        <v>544</v>
      </c>
      <c r="K343" s="10">
        <v>0.563607999999999</v>
      </c>
      <c r="L343" s="1" t="s">
        <v>641</v>
      </c>
      <c r="M343" s="1" t="s">
        <v>76</v>
      </c>
      <c r="N343" s="1" t="s">
        <v>649</v>
      </c>
      <c r="O343" s="1" t="s">
        <v>13</v>
      </c>
      <c r="P343" s="82">
        <v>0.78900000000000003</v>
      </c>
      <c r="Q343" s="1" t="s">
        <v>76</v>
      </c>
      <c r="R343" s="81" t="s">
        <v>95</v>
      </c>
      <c r="S343" s="1" t="s">
        <v>76</v>
      </c>
      <c r="T343" s="1" t="s">
        <v>78</v>
      </c>
      <c r="U343" s="1" t="s">
        <v>658</v>
      </c>
      <c r="V343" s="1" t="s">
        <v>655</v>
      </c>
      <c r="W343" s="1">
        <v>65</v>
      </c>
      <c r="X343" s="1" t="s">
        <v>271</v>
      </c>
      <c r="Y343" s="1" t="s">
        <v>649</v>
      </c>
      <c r="Z343" s="1">
        <v>0</v>
      </c>
      <c r="AA343" s="1">
        <v>3.0000000000000001E-3</v>
      </c>
      <c r="AB343" s="1">
        <v>2E-3</v>
      </c>
      <c r="AC343" s="1">
        <v>1.2999999999999999E-2</v>
      </c>
      <c r="AD343" s="1">
        <v>2E-3</v>
      </c>
      <c r="AE343" s="1">
        <v>2E-3</v>
      </c>
      <c r="AF343" s="1">
        <v>2E-3</v>
      </c>
      <c r="AG343" s="1">
        <v>0</v>
      </c>
      <c r="AH343" s="1">
        <v>0.78900000000000003</v>
      </c>
      <c r="AI343" s="1">
        <v>1E-3</v>
      </c>
      <c r="AJ343" s="1">
        <v>1E-3</v>
      </c>
      <c r="AK343" s="1">
        <v>8.9999999999999993E-3</v>
      </c>
      <c r="AL343" s="1">
        <v>1E-3</v>
      </c>
      <c r="AM343" s="1">
        <v>1E-3</v>
      </c>
      <c r="AN343" s="1">
        <v>1E-3</v>
      </c>
      <c r="AO343" s="1">
        <v>4.0000000000000001E-3</v>
      </c>
      <c r="AP343" s="1">
        <v>1E-3</v>
      </c>
      <c r="AQ343" s="1">
        <v>1E-3</v>
      </c>
      <c r="AR343" s="1">
        <v>1E-3</v>
      </c>
      <c r="AS343" s="1">
        <v>1.2E-2</v>
      </c>
      <c r="AT343" s="1">
        <v>8.0000000000000002E-3</v>
      </c>
      <c r="AU343" s="1">
        <v>2E-3</v>
      </c>
      <c r="AV343" s="1">
        <v>1E-3</v>
      </c>
      <c r="AW343" s="1">
        <v>4.0000000000000001E-3</v>
      </c>
      <c r="AX343" s="1">
        <v>2E-3</v>
      </c>
      <c r="AY343" s="1">
        <v>3.0000000000000001E-3</v>
      </c>
      <c r="AZ343" s="1">
        <v>3.0000000000000001E-3</v>
      </c>
      <c r="BA343" s="1">
        <v>7.0000000000000001E-3</v>
      </c>
      <c r="BB343" s="1">
        <v>2E-3</v>
      </c>
      <c r="BC343" s="1">
        <v>1E-3</v>
      </c>
      <c r="BD343" s="1">
        <v>0.01</v>
      </c>
      <c r="BE343" s="1">
        <v>1E-3</v>
      </c>
      <c r="BF343" s="1">
        <v>1E-3</v>
      </c>
      <c r="BG343" s="1">
        <v>3.0000000000000001E-3</v>
      </c>
      <c r="BH343" s="1">
        <v>1E-3</v>
      </c>
      <c r="BI343" s="1">
        <v>1E-3</v>
      </c>
      <c r="BJ343" s="1">
        <v>1E-3</v>
      </c>
      <c r="BK343" s="1">
        <v>1E-3</v>
      </c>
      <c r="BL343" s="1">
        <v>6.0000000000000001E-3</v>
      </c>
      <c r="BM343" s="1">
        <v>2E-3</v>
      </c>
      <c r="BN343" s="1">
        <v>4.0000000000000001E-3</v>
      </c>
      <c r="BO343" s="1">
        <v>1E-3</v>
      </c>
      <c r="BP343" s="1">
        <v>1E-3</v>
      </c>
      <c r="BQ343" s="1">
        <v>5.0000000000000001E-3</v>
      </c>
      <c r="BR343" s="1">
        <v>2E-3</v>
      </c>
      <c r="BS343" s="1">
        <v>1E-3</v>
      </c>
      <c r="BT343" s="1">
        <v>1E-3</v>
      </c>
      <c r="BU343" s="1">
        <v>1E-3</v>
      </c>
      <c r="BV343" s="1">
        <v>1E-3</v>
      </c>
      <c r="BW343" s="1">
        <v>2E-3</v>
      </c>
      <c r="BX343" s="1">
        <v>5.0000000000000001E-3</v>
      </c>
      <c r="BY343" s="1">
        <v>7.0000000000000001E-3</v>
      </c>
      <c r="BZ343" s="1">
        <v>4.0000000000000001E-3</v>
      </c>
      <c r="CA343" s="1">
        <v>3.0000000000000001E-3</v>
      </c>
      <c r="CB343" s="1">
        <v>1E-3</v>
      </c>
      <c r="CC343" s="1">
        <v>3.0000000000000001E-3</v>
      </c>
      <c r="CD343" s="1">
        <v>0</v>
      </c>
      <c r="CE343" s="1">
        <v>1E-3</v>
      </c>
      <c r="CF343" s="1">
        <v>2E-3</v>
      </c>
      <c r="CG343" s="1">
        <v>5.0000000000000001E-3</v>
      </c>
      <c r="CH343" s="1">
        <v>5.0000000000000001E-3</v>
      </c>
      <c r="CI343" s="1">
        <v>4.0000000000000001E-3</v>
      </c>
      <c r="CJ343" s="1">
        <v>1.4999999999999999E-2</v>
      </c>
      <c r="CK343" s="1">
        <v>1.6E-2</v>
      </c>
      <c r="CL343" s="1">
        <v>5.0000000000000001E-3</v>
      </c>
      <c r="CM343" s="1">
        <v>4.6514829640000004</v>
      </c>
      <c r="CN343" s="83">
        <v>-128.22769679999999</v>
      </c>
    </row>
    <row r="344" spans="1:92" s="3" customFormat="1" x14ac:dyDescent="0.25">
      <c r="A344" s="72">
        <v>354</v>
      </c>
      <c r="B344" s="81" t="s">
        <v>870</v>
      </c>
      <c r="C344" s="1" t="s">
        <v>83</v>
      </c>
      <c r="D344" s="1" t="s">
        <v>73</v>
      </c>
      <c r="E344" s="1" t="s">
        <v>99</v>
      </c>
      <c r="F344" s="1" t="s">
        <v>267</v>
      </c>
      <c r="G344" s="1" t="s">
        <v>80</v>
      </c>
      <c r="H344" s="1" t="s">
        <v>13</v>
      </c>
      <c r="I344" s="1"/>
      <c r="J344" s="9" t="s">
        <v>544</v>
      </c>
      <c r="K344" s="10">
        <v>0.49627833333333399</v>
      </c>
      <c r="L344" s="1" t="s">
        <v>76</v>
      </c>
      <c r="M344" s="1" t="s">
        <v>506</v>
      </c>
      <c r="N344" s="1" t="s">
        <v>645</v>
      </c>
      <c r="O344" s="1" t="s">
        <v>13</v>
      </c>
      <c r="P344" s="82">
        <v>0.996</v>
      </c>
      <c r="Q344" s="1" t="s">
        <v>76</v>
      </c>
      <c r="R344" s="81" t="s">
        <v>100</v>
      </c>
      <c r="S344" s="1" t="s">
        <v>76</v>
      </c>
      <c r="T344" s="1" t="s">
        <v>78</v>
      </c>
      <c r="U344" s="1" t="s">
        <v>658</v>
      </c>
      <c r="V344" s="1" t="s">
        <v>655</v>
      </c>
      <c r="W344" s="1">
        <v>61</v>
      </c>
      <c r="X344" s="1" t="s">
        <v>268</v>
      </c>
      <c r="Y344" s="1" t="s">
        <v>645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0.996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-21.61898021</v>
      </c>
      <c r="CN344" s="83">
        <v>-133.39849150000001</v>
      </c>
    </row>
    <row r="345" spans="1:92" s="3" customFormat="1" x14ac:dyDescent="0.25">
      <c r="A345" s="72">
        <v>355</v>
      </c>
      <c r="B345" s="81" t="s">
        <v>1005</v>
      </c>
      <c r="C345" s="1" t="s">
        <v>83</v>
      </c>
      <c r="D345" s="1" t="s">
        <v>73</v>
      </c>
      <c r="E345" s="1" t="s">
        <v>195</v>
      </c>
      <c r="F345" s="1" t="s">
        <v>267</v>
      </c>
      <c r="G345" s="1" t="s">
        <v>80</v>
      </c>
      <c r="H345" s="1" t="s">
        <v>13</v>
      </c>
      <c r="I345" s="1"/>
      <c r="J345" s="9" t="s">
        <v>544</v>
      </c>
      <c r="K345" s="10">
        <v>0.47677783333333401</v>
      </c>
      <c r="L345" s="1" t="s">
        <v>76</v>
      </c>
      <c r="M345" s="1" t="s">
        <v>506</v>
      </c>
      <c r="N345" s="1" t="s">
        <v>645</v>
      </c>
      <c r="O345" s="1" t="s">
        <v>13</v>
      </c>
      <c r="P345" s="82">
        <v>0.999</v>
      </c>
      <c r="Q345" s="1" t="s">
        <v>76</v>
      </c>
      <c r="R345" s="81" t="s">
        <v>100</v>
      </c>
      <c r="S345" s="1" t="s">
        <v>76</v>
      </c>
      <c r="T345" s="1" t="s">
        <v>78</v>
      </c>
      <c r="U345" s="1" t="s">
        <v>658</v>
      </c>
      <c r="V345" s="1" t="s">
        <v>655</v>
      </c>
      <c r="W345" s="1">
        <v>57</v>
      </c>
      <c r="X345" s="1" t="s">
        <v>271</v>
      </c>
      <c r="Y345" s="1" t="s">
        <v>645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0.999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-21.013353689999999</v>
      </c>
      <c r="CN345" s="83">
        <v>-131.41927699999999</v>
      </c>
    </row>
    <row r="346" spans="1:92" s="3" customFormat="1" x14ac:dyDescent="0.25">
      <c r="A346" s="72">
        <v>356</v>
      </c>
      <c r="B346" s="81" t="s">
        <v>1072</v>
      </c>
      <c r="C346" s="1" t="s">
        <v>83</v>
      </c>
      <c r="D346" s="1" t="s">
        <v>73</v>
      </c>
      <c r="E346" s="1" t="s">
        <v>195</v>
      </c>
      <c r="F346" s="1" t="s">
        <v>267</v>
      </c>
      <c r="G346" s="1" t="s">
        <v>80</v>
      </c>
      <c r="H346" s="1" t="s">
        <v>13</v>
      </c>
      <c r="I346" s="1"/>
      <c r="J346" s="9" t="s">
        <v>544</v>
      </c>
      <c r="K346" s="10">
        <v>0.47773416666666702</v>
      </c>
      <c r="L346" s="1" t="s">
        <v>76</v>
      </c>
      <c r="M346" s="1" t="s">
        <v>506</v>
      </c>
      <c r="N346" s="1" t="s">
        <v>645</v>
      </c>
      <c r="O346" s="1" t="s">
        <v>13</v>
      </c>
      <c r="P346" s="82">
        <v>0.998</v>
      </c>
      <c r="Q346" s="1" t="s">
        <v>76</v>
      </c>
      <c r="R346" s="81" t="s">
        <v>95</v>
      </c>
      <c r="S346" s="1" t="s">
        <v>76</v>
      </c>
      <c r="T346" s="1" t="s">
        <v>78</v>
      </c>
      <c r="U346" s="1" t="s">
        <v>658</v>
      </c>
      <c r="V346" s="1" t="s">
        <v>655</v>
      </c>
      <c r="W346" s="1">
        <v>68</v>
      </c>
      <c r="X346" s="1" t="s">
        <v>268</v>
      </c>
      <c r="Y346" s="1" t="s">
        <v>645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0.998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-16.431532499999999</v>
      </c>
      <c r="CN346" s="83">
        <v>-130.10955010000001</v>
      </c>
    </row>
    <row r="347" spans="1:92" s="3" customFormat="1" ht="17.100000000000001" customHeight="1" x14ac:dyDescent="0.25">
      <c r="A347" s="72">
        <v>358</v>
      </c>
      <c r="B347" s="81" t="s">
        <v>1280</v>
      </c>
      <c r="C347" s="1" t="s">
        <v>83</v>
      </c>
      <c r="D347" s="1" t="s">
        <v>79</v>
      </c>
      <c r="E347" s="1" t="s">
        <v>74</v>
      </c>
      <c r="F347" s="1" t="s">
        <v>84</v>
      </c>
      <c r="G347" s="1" t="s">
        <v>86</v>
      </c>
      <c r="H347" s="1" t="s">
        <v>85</v>
      </c>
      <c r="I347" s="1"/>
      <c r="J347" s="9" t="s">
        <v>544</v>
      </c>
      <c r="K347" s="10">
        <v>0.622549666666666</v>
      </c>
      <c r="L347" s="1" t="s">
        <v>641</v>
      </c>
      <c r="M347" s="1" t="s">
        <v>76</v>
      </c>
      <c r="N347" s="1" t="s">
        <v>649</v>
      </c>
      <c r="O347" s="1" t="s">
        <v>18</v>
      </c>
      <c r="P347" s="82">
        <v>0.46899999999999997</v>
      </c>
      <c r="Q347" s="1">
        <f>SUM(AK347:AN347)</f>
        <v>0.83499999999999996</v>
      </c>
      <c r="R347" s="81" t="s">
        <v>285</v>
      </c>
      <c r="S347" s="1">
        <v>3</v>
      </c>
      <c r="T347" s="1" t="s">
        <v>78</v>
      </c>
      <c r="U347" s="1" t="s">
        <v>660</v>
      </c>
      <c r="V347" s="1" t="s">
        <v>655</v>
      </c>
      <c r="W347" s="1">
        <v>69</v>
      </c>
      <c r="X347" s="1" t="s">
        <v>286</v>
      </c>
      <c r="Y347" s="1" t="s">
        <v>649</v>
      </c>
      <c r="Z347" s="1">
        <v>0</v>
      </c>
      <c r="AA347" s="1">
        <v>2E-3</v>
      </c>
      <c r="AB347" s="1">
        <v>1E-3</v>
      </c>
      <c r="AC347" s="1">
        <v>5.0000000000000001E-3</v>
      </c>
      <c r="AD347" s="1">
        <v>1E-3</v>
      </c>
      <c r="AE347" s="1">
        <v>1E-3</v>
      </c>
      <c r="AF347" s="1">
        <v>1E-3</v>
      </c>
      <c r="AG347" s="1">
        <v>0</v>
      </c>
      <c r="AH347" s="1">
        <v>4.0000000000000001E-3</v>
      </c>
      <c r="AI347" s="1">
        <v>1E-3</v>
      </c>
      <c r="AJ347" s="1">
        <v>1E-3</v>
      </c>
      <c r="AK347" s="1">
        <v>5.0000000000000001E-3</v>
      </c>
      <c r="AL347" s="1">
        <v>0.36</v>
      </c>
      <c r="AM347" s="1">
        <v>0.46899999999999997</v>
      </c>
      <c r="AN347" s="1">
        <v>1E-3</v>
      </c>
      <c r="AO347" s="1">
        <v>2E-3</v>
      </c>
      <c r="AP347" s="1">
        <v>1E-3</v>
      </c>
      <c r="AQ347" s="1">
        <v>1E-3</v>
      </c>
      <c r="AR347" s="1">
        <v>1E-3</v>
      </c>
      <c r="AS347" s="1">
        <v>3.0000000000000001E-3</v>
      </c>
      <c r="AT347" s="1">
        <v>3.0000000000000001E-3</v>
      </c>
      <c r="AU347" s="1">
        <v>1E-3</v>
      </c>
      <c r="AV347" s="1">
        <v>1E-3</v>
      </c>
      <c r="AW347" s="1">
        <v>5.0000000000000001E-3</v>
      </c>
      <c r="AX347" s="1">
        <v>5.0000000000000001E-3</v>
      </c>
      <c r="AY347" s="1">
        <v>6.0000000000000001E-3</v>
      </c>
      <c r="AZ347" s="1">
        <v>2E-3</v>
      </c>
      <c r="BA347" s="1">
        <v>3.0000000000000001E-3</v>
      </c>
      <c r="BB347" s="1">
        <v>1E-3</v>
      </c>
      <c r="BC347" s="1">
        <v>5.0000000000000001E-3</v>
      </c>
      <c r="BD347" s="1">
        <v>3.0000000000000001E-3</v>
      </c>
      <c r="BE347" s="1">
        <v>1E-3</v>
      </c>
      <c r="BF347" s="1">
        <v>0</v>
      </c>
      <c r="BG347" s="1">
        <v>1E-3</v>
      </c>
      <c r="BH347" s="1">
        <v>1E-3</v>
      </c>
      <c r="BI347" s="1">
        <v>1E-3</v>
      </c>
      <c r="BJ347" s="1">
        <v>0</v>
      </c>
      <c r="BK347" s="1">
        <v>1E-3</v>
      </c>
      <c r="BL347" s="1">
        <v>3.5000000000000003E-2</v>
      </c>
      <c r="BM347" s="1">
        <v>3.0000000000000001E-3</v>
      </c>
      <c r="BN347" s="1">
        <v>2E-3</v>
      </c>
      <c r="BO347" s="1">
        <v>1E-3</v>
      </c>
      <c r="BP347" s="1">
        <v>0</v>
      </c>
      <c r="BQ347" s="1">
        <v>5.0000000000000001E-3</v>
      </c>
      <c r="BR347" s="1">
        <v>4.0000000000000001E-3</v>
      </c>
      <c r="BS347" s="1">
        <v>1E-3</v>
      </c>
      <c r="BT347" s="1">
        <v>1E-3</v>
      </c>
      <c r="BU347" s="1">
        <v>1E-3</v>
      </c>
      <c r="BV347" s="1">
        <v>1E-3</v>
      </c>
      <c r="BW347" s="1">
        <v>2E-3</v>
      </c>
      <c r="BX347" s="1">
        <v>3.0000000000000001E-3</v>
      </c>
      <c r="BY347" s="1">
        <v>6.0000000000000001E-3</v>
      </c>
      <c r="BZ347" s="1">
        <v>8.0000000000000002E-3</v>
      </c>
      <c r="CA347" s="1">
        <v>2E-3</v>
      </c>
      <c r="CB347" s="1">
        <v>0</v>
      </c>
      <c r="CC347" s="1">
        <v>1E-3</v>
      </c>
      <c r="CD347" s="1">
        <v>0</v>
      </c>
      <c r="CE347" s="1">
        <v>1E-3</v>
      </c>
      <c r="CF347" s="1">
        <v>1E-3</v>
      </c>
      <c r="CG347" s="1">
        <v>4.0000000000000001E-3</v>
      </c>
      <c r="CH347" s="1">
        <v>3.0000000000000001E-3</v>
      </c>
      <c r="CI347" s="1">
        <v>2E-3</v>
      </c>
      <c r="CJ347" s="1">
        <v>5.0000000000000001E-3</v>
      </c>
      <c r="CK347" s="1">
        <v>7.0000000000000001E-3</v>
      </c>
      <c r="CL347" s="1">
        <v>3.0000000000000001E-3</v>
      </c>
      <c r="CM347" s="1">
        <v>-2.658880007</v>
      </c>
      <c r="CN347" s="83">
        <v>62.635618770000001</v>
      </c>
    </row>
    <row r="348" spans="1:92" s="3" customFormat="1" x14ac:dyDescent="0.25">
      <c r="A348" s="72">
        <v>359</v>
      </c>
      <c r="B348" s="81" t="s">
        <v>1260</v>
      </c>
      <c r="C348" s="1" t="s">
        <v>83</v>
      </c>
      <c r="D348" s="1" t="s">
        <v>79</v>
      </c>
      <c r="E348" s="1" t="s">
        <v>99</v>
      </c>
      <c r="F348" s="1" t="s">
        <v>84</v>
      </c>
      <c r="G348" s="1" t="s">
        <v>556</v>
      </c>
      <c r="H348" s="1" t="s">
        <v>85</v>
      </c>
      <c r="I348" s="1"/>
      <c r="J348" s="9" t="s">
        <v>544</v>
      </c>
      <c r="K348" s="10">
        <v>0.32202783333333401</v>
      </c>
      <c r="L348" s="1" t="s">
        <v>510</v>
      </c>
      <c r="M348" s="1" t="s">
        <v>76</v>
      </c>
      <c r="N348" s="1" t="s">
        <v>644</v>
      </c>
      <c r="O348" s="1" t="s">
        <v>69</v>
      </c>
      <c r="P348" s="82">
        <v>0.57699999999999996</v>
      </c>
      <c r="Q348" s="1">
        <f>SUM(AK348:AN348)</f>
        <v>4.0000000000000001E-3</v>
      </c>
      <c r="R348" s="81" t="s">
        <v>287</v>
      </c>
      <c r="S348" s="1">
        <v>1</v>
      </c>
      <c r="T348" s="1" t="s">
        <v>120</v>
      </c>
      <c r="U348" s="1" t="s">
        <v>659</v>
      </c>
      <c r="V348" s="1" t="s">
        <v>655</v>
      </c>
      <c r="W348" s="1">
        <v>44</v>
      </c>
      <c r="X348" s="1" t="s">
        <v>288</v>
      </c>
      <c r="Y348" s="1" t="s">
        <v>644</v>
      </c>
      <c r="Z348" s="1">
        <v>8.9999999999999993E-3</v>
      </c>
      <c r="AA348" s="1">
        <v>1E-3</v>
      </c>
      <c r="AB348" s="1">
        <v>1E-3</v>
      </c>
      <c r="AC348" s="1">
        <v>1E-3</v>
      </c>
      <c r="AD348" s="1">
        <v>4.0000000000000001E-3</v>
      </c>
      <c r="AE348" s="1">
        <v>1E-3</v>
      </c>
      <c r="AF348" s="1">
        <v>1E-3</v>
      </c>
      <c r="AG348" s="1">
        <v>0</v>
      </c>
      <c r="AH348" s="1">
        <v>2E-3</v>
      </c>
      <c r="AI348" s="1">
        <v>0</v>
      </c>
      <c r="AJ348" s="1">
        <v>1E-3</v>
      </c>
      <c r="AK348" s="1">
        <v>1E-3</v>
      </c>
      <c r="AL348" s="1">
        <v>0</v>
      </c>
      <c r="AM348" s="1">
        <v>1E-3</v>
      </c>
      <c r="AN348" s="1">
        <v>2E-3</v>
      </c>
      <c r="AO348" s="1">
        <v>0</v>
      </c>
      <c r="AP348" s="1">
        <v>0</v>
      </c>
      <c r="AQ348" s="1">
        <v>0</v>
      </c>
      <c r="AR348" s="1">
        <v>1.0999999999999999E-2</v>
      </c>
      <c r="AS348" s="1">
        <v>1E-3</v>
      </c>
      <c r="AT348" s="1">
        <v>1E-3</v>
      </c>
      <c r="AU348" s="1">
        <v>2E-3</v>
      </c>
      <c r="AV348" s="1">
        <v>2E-3</v>
      </c>
      <c r="AW348" s="1">
        <v>1E-3</v>
      </c>
      <c r="AX348" s="1">
        <v>1.4999999999999999E-2</v>
      </c>
      <c r="AY348" s="1">
        <v>2E-3</v>
      </c>
      <c r="AZ348" s="1">
        <v>5.0000000000000001E-3</v>
      </c>
      <c r="BA348" s="1">
        <v>3.0000000000000001E-3</v>
      </c>
      <c r="BB348" s="1">
        <v>0</v>
      </c>
      <c r="BC348" s="1">
        <v>0</v>
      </c>
      <c r="BD348" s="1">
        <v>4.0000000000000001E-3</v>
      </c>
      <c r="BE348" s="1">
        <v>0</v>
      </c>
      <c r="BF348" s="1">
        <v>2E-3</v>
      </c>
      <c r="BG348" s="1">
        <v>0</v>
      </c>
      <c r="BH348" s="1">
        <v>0</v>
      </c>
      <c r="BI348" s="1">
        <v>0</v>
      </c>
      <c r="BJ348" s="1">
        <v>0.05</v>
      </c>
      <c r="BK348" s="1">
        <v>0</v>
      </c>
      <c r="BL348" s="1">
        <v>1E-3</v>
      </c>
      <c r="BM348" s="1">
        <v>0</v>
      </c>
      <c r="BN348" s="1">
        <v>1E-3</v>
      </c>
      <c r="BO348" s="1">
        <v>0</v>
      </c>
      <c r="BP348" s="1">
        <v>2.1999999999999999E-2</v>
      </c>
      <c r="BQ348" s="1">
        <v>1E-3</v>
      </c>
      <c r="BR348" s="1">
        <v>1E-3</v>
      </c>
      <c r="BS348" s="1">
        <v>3.0000000000000001E-3</v>
      </c>
      <c r="BT348" s="1">
        <v>0</v>
      </c>
      <c r="BU348" s="1">
        <v>8.5000000000000006E-2</v>
      </c>
      <c r="BV348" s="1">
        <v>0</v>
      </c>
      <c r="BW348" s="1">
        <v>1E-3</v>
      </c>
      <c r="BX348" s="1">
        <v>2E-3</v>
      </c>
      <c r="BY348" s="1">
        <v>1E-3</v>
      </c>
      <c r="BZ348" s="1">
        <v>5.0000000000000001E-3</v>
      </c>
      <c r="CA348" s="1">
        <v>1E-3</v>
      </c>
      <c r="CB348" s="1">
        <v>1E-3</v>
      </c>
      <c r="CC348" s="1">
        <v>1E-3</v>
      </c>
      <c r="CD348" s="1">
        <v>0</v>
      </c>
      <c r="CE348" s="1">
        <v>1E-3</v>
      </c>
      <c r="CF348" s="1">
        <v>1E-3</v>
      </c>
      <c r="CG348" s="1">
        <v>1E-3</v>
      </c>
      <c r="CH348" s="1">
        <v>1E-3</v>
      </c>
      <c r="CI348" s="1">
        <v>1E-3</v>
      </c>
      <c r="CJ348" s="1">
        <v>1E-3</v>
      </c>
      <c r="CK348" s="1">
        <v>0.16900000000000001</v>
      </c>
      <c r="CL348" s="1">
        <v>0.57699999999999996</v>
      </c>
      <c r="CM348" s="1">
        <v>-53.068056519999999</v>
      </c>
      <c r="CN348" s="83">
        <v>-19.23273468</v>
      </c>
    </row>
    <row r="349" spans="1:92" s="3" customFormat="1" x14ac:dyDescent="0.25">
      <c r="A349" s="72">
        <v>626</v>
      </c>
      <c r="B349" s="81" t="s">
        <v>1535</v>
      </c>
      <c r="C349" s="1" t="s">
        <v>83</v>
      </c>
      <c r="D349" s="1" t="s">
        <v>73</v>
      </c>
      <c r="E349" s="1" t="s">
        <v>74</v>
      </c>
      <c r="F349" s="1" t="s">
        <v>208</v>
      </c>
      <c r="G349" s="1" t="s">
        <v>240</v>
      </c>
      <c r="H349" s="1" t="s">
        <v>29</v>
      </c>
      <c r="I349" s="1"/>
      <c r="J349" s="9" t="s">
        <v>544</v>
      </c>
      <c r="K349" s="10">
        <v>0.42274566666666702</v>
      </c>
      <c r="L349" s="1" t="s">
        <v>635</v>
      </c>
      <c r="M349" s="1" t="s">
        <v>506</v>
      </c>
      <c r="N349" s="1" t="s">
        <v>648</v>
      </c>
      <c r="O349" s="1" t="s">
        <v>49</v>
      </c>
      <c r="P349" s="82">
        <v>0.97199999999999998</v>
      </c>
      <c r="Q349" s="1" t="s">
        <v>76</v>
      </c>
      <c r="R349" s="81" t="s">
        <v>362</v>
      </c>
      <c r="S349" s="1" t="s">
        <v>314</v>
      </c>
      <c r="T349" s="1" t="s">
        <v>120</v>
      </c>
      <c r="U349" s="1" t="s">
        <v>658</v>
      </c>
      <c r="V349" s="1" t="s">
        <v>655</v>
      </c>
      <c r="W349" s="1">
        <v>25</v>
      </c>
      <c r="X349" s="1" t="s">
        <v>361</v>
      </c>
      <c r="Y349" s="1" t="s">
        <v>648</v>
      </c>
      <c r="Z349" s="1">
        <v>0</v>
      </c>
      <c r="AA349" s="1">
        <v>0</v>
      </c>
      <c r="AB349" s="1">
        <v>0</v>
      </c>
      <c r="AC349" s="1">
        <v>1E-3</v>
      </c>
      <c r="AD349" s="1">
        <v>0</v>
      </c>
      <c r="AE349" s="1">
        <v>0</v>
      </c>
      <c r="AF349" s="1">
        <v>0</v>
      </c>
      <c r="AG349" s="1">
        <v>0</v>
      </c>
      <c r="AH349" s="1">
        <v>2E-3</v>
      </c>
      <c r="AI349" s="1">
        <v>8.0000000000000002E-3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2E-3</v>
      </c>
      <c r="AY349" s="1">
        <v>0</v>
      </c>
      <c r="AZ349" s="1">
        <v>0</v>
      </c>
      <c r="BA349" s="1">
        <v>1E-3</v>
      </c>
      <c r="BB349" s="1">
        <v>0</v>
      </c>
      <c r="BC349" s="1">
        <v>0</v>
      </c>
      <c r="BD349" s="1">
        <v>1E-3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1E-3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0.97199999999999998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3.0000000000000001E-3</v>
      </c>
      <c r="CH349" s="1">
        <v>0</v>
      </c>
      <c r="CI349" s="1">
        <v>0</v>
      </c>
      <c r="CJ349" s="1">
        <v>3.0000000000000001E-3</v>
      </c>
      <c r="CK349" s="1">
        <v>0</v>
      </c>
      <c r="CL349" s="1">
        <v>0</v>
      </c>
      <c r="CM349" s="1">
        <v>-28.19552749</v>
      </c>
      <c r="CN349" s="83">
        <v>33.362918069999999</v>
      </c>
    </row>
    <row r="350" spans="1:92" s="3" customFormat="1" x14ac:dyDescent="0.25">
      <c r="A350" s="72">
        <v>361</v>
      </c>
      <c r="B350" s="81" t="s">
        <v>1236</v>
      </c>
      <c r="C350" s="1" t="s">
        <v>83</v>
      </c>
      <c r="D350" s="1" t="s">
        <v>79</v>
      </c>
      <c r="E350" s="1" t="s">
        <v>99</v>
      </c>
      <c r="F350" s="1" t="s">
        <v>84</v>
      </c>
      <c r="G350" s="1" t="s">
        <v>86</v>
      </c>
      <c r="H350" s="1" t="s">
        <v>85</v>
      </c>
      <c r="I350" s="1"/>
      <c r="J350" s="9" t="s">
        <v>544</v>
      </c>
      <c r="K350" s="10">
        <v>0.52752866666666598</v>
      </c>
      <c r="L350" s="1" t="s">
        <v>76</v>
      </c>
      <c r="M350" s="1" t="s">
        <v>506</v>
      </c>
      <c r="N350" s="1" t="s">
        <v>645</v>
      </c>
      <c r="O350" s="1" t="s">
        <v>17</v>
      </c>
      <c r="P350" s="82">
        <v>0.92100000000000004</v>
      </c>
      <c r="Q350" s="1" t="s">
        <v>76</v>
      </c>
      <c r="R350" s="81" t="s">
        <v>110</v>
      </c>
      <c r="S350" s="1">
        <v>3</v>
      </c>
      <c r="T350" s="1" t="s">
        <v>78</v>
      </c>
      <c r="U350" s="1" t="s">
        <v>659</v>
      </c>
      <c r="V350" s="1" t="s">
        <v>655</v>
      </c>
      <c r="W350" s="1">
        <v>55</v>
      </c>
      <c r="X350" s="1" t="s">
        <v>289</v>
      </c>
      <c r="Y350" s="1" t="s">
        <v>645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0.92100000000000004</v>
      </c>
      <c r="AM350" s="1">
        <v>6.8000000000000005E-2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6.0000000000000001E-3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-10.84219285</v>
      </c>
      <c r="CN350" s="83">
        <v>65.825153499999999</v>
      </c>
    </row>
    <row r="351" spans="1:92" s="3" customFormat="1" x14ac:dyDescent="0.25">
      <c r="A351" s="72">
        <v>362</v>
      </c>
      <c r="B351" s="81" t="s">
        <v>1053</v>
      </c>
      <c r="C351" s="1" t="s">
        <v>83</v>
      </c>
      <c r="D351" s="1" t="s">
        <v>79</v>
      </c>
      <c r="E351" s="1" t="s">
        <v>99</v>
      </c>
      <c r="F351" s="1" t="s">
        <v>84</v>
      </c>
      <c r="G351" s="1" t="s">
        <v>86</v>
      </c>
      <c r="H351" s="1" t="s">
        <v>85</v>
      </c>
      <c r="I351" s="1"/>
      <c r="J351" s="9" t="s">
        <v>544</v>
      </c>
      <c r="K351" s="10">
        <v>0.3278645</v>
      </c>
      <c r="L351" s="1" t="s">
        <v>76</v>
      </c>
      <c r="M351" s="1" t="s">
        <v>506</v>
      </c>
      <c r="N351" s="1" t="s">
        <v>645</v>
      </c>
      <c r="O351" s="1" t="s">
        <v>19</v>
      </c>
      <c r="P351" s="82">
        <v>0.97799999999999998</v>
      </c>
      <c r="Q351" s="1" t="s">
        <v>76</v>
      </c>
      <c r="R351" s="81" t="s">
        <v>290</v>
      </c>
      <c r="S351" s="1">
        <v>2</v>
      </c>
      <c r="T351" s="1" t="s">
        <v>120</v>
      </c>
      <c r="U351" s="1" t="s">
        <v>659</v>
      </c>
      <c r="V351" s="1" t="s">
        <v>655</v>
      </c>
      <c r="W351" s="1">
        <v>31</v>
      </c>
      <c r="X351" s="1" t="s">
        <v>288</v>
      </c>
      <c r="Y351" s="1" t="s">
        <v>645</v>
      </c>
      <c r="Z351" s="1">
        <v>8.0000000000000002E-3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3.0000000000000001E-3</v>
      </c>
      <c r="AI351" s="1">
        <v>0</v>
      </c>
      <c r="AJ351" s="1">
        <v>0</v>
      </c>
      <c r="AK351" s="1">
        <v>0</v>
      </c>
      <c r="AL351" s="1">
        <v>0</v>
      </c>
      <c r="AM351" s="1">
        <v>1E-3</v>
      </c>
      <c r="AN351" s="1">
        <v>0.97799999999999998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1E-3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1E-3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-3.424250142</v>
      </c>
      <c r="CN351" s="83">
        <v>-29.656288889999999</v>
      </c>
    </row>
    <row r="352" spans="1:92" s="3" customFormat="1" x14ac:dyDescent="0.25">
      <c r="A352" s="72">
        <v>363</v>
      </c>
      <c r="B352" s="81" t="s">
        <v>943</v>
      </c>
      <c r="C352" s="1" t="s">
        <v>83</v>
      </c>
      <c r="D352" s="1" t="s">
        <v>79</v>
      </c>
      <c r="E352" s="1" t="s">
        <v>99</v>
      </c>
      <c r="F352" s="1" t="s">
        <v>84</v>
      </c>
      <c r="G352" s="1" t="s">
        <v>86</v>
      </c>
      <c r="H352" s="1" t="s">
        <v>85</v>
      </c>
      <c r="I352" s="1"/>
      <c r="J352" s="9" t="s">
        <v>544</v>
      </c>
      <c r="K352" s="10">
        <v>0.63387016666666596</v>
      </c>
      <c r="L352" s="1" t="s">
        <v>76</v>
      </c>
      <c r="M352" s="1" t="s">
        <v>506</v>
      </c>
      <c r="N352" s="1" t="s">
        <v>645</v>
      </c>
      <c r="O352" s="1" t="s">
        <v>18</v>
      </c>
      <c r="P352" s="82">
        <v>0.96899999999999997</v>
      </c>
      <c r="Q352" s="1" t="s">
        <v>76</v>
      </c>
      <c r="R352" s="81" t="s">
        <v>110</v>
      </c>
      <c r="S352" s="1">
        <v>2</v>
      </c>
      <c r="T352" s="1" t="s">
        <v>78</v>
      </c>
      <c r="U352" s="1" t="s">
        <v>658</v>
      </c>
      <c r="V352" s="1" t="s">
        <v>655</v>
      </c>
      <c r="W352" s="1">
        <v>55</v>
      </c>
      <c r="X352" s="1" t="s">
        <v>286</v>
      </c>
      <c r="Y352" s="1" t="s">
        <v>645</v>
      </c>
      <c r="Z352" s="1">
        <v>0</v>
      </c>
      <c r="AA352" s="1">
        <v>0</v>
      </c>
      <c r="AB352" s="1">
        <v>0</v>
      </c>
      <c r="AC352" s="1">
        <v>1E-3</v>
      </c>
      <c r="AD352" s="1">
        <v>0</v>
      </c>
      <c r="AE352" s="1">
        <v>0</v>
      </c>
      <c r="AF352" s="1">
        <v>0</v>
      </c>
      <c r="AG352" s="1">
        <v>0</v>
      </c>
      <c r="AH352" s="1">
        <v>1E-3</v>
      </c>
      <c r="AI352" s="1">
        <v>0</v>
      </c>
      <c r="AJ352" s="1">
        <v>0</v>
      </c>
      <c r="AK352" s="1">
        <v>1E-3</v>
      </c>
      <c r="AL352" s="1">
        <v>2E-3</v>
      </c>
      <c r="AM352" s="1">
        <v>0.96899999999999997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1E-3</v>
      </c>
      <c r="AT352" s="1">
        <v>1E-3</v>
      </c>
      <c r="AU352" s="1">
        <v>0</v>
      </c>
      <c r="AV352" s="1">
        <v>0</v>
      </c>
      <c r="AW352" s="1">
        <v>1E-3</v>
      </c>
      <c r="AX352" s="1">
        <v>0</v>
      </c>
      <c r="AY352" s="1">
        <v>3.0000000000000001E-3</v>
      </c>
      <c r="AZ352" s="1">
        <v>0</v>
      </c>
      <c r="BA352" s="1">
        <v>1E-3</v>
      </c>
      <c r="BB352" s="1">
        <v>0</v>
      </c>
      <c r="BC352" s="1">
        <v>0</v>
      </c>
      <c r="BD352" s="1">
        <v>1E-3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4.0000000000000001E-3</v>
      </c>
      <c r="BM352" s="1">
        <v>0</v>
      </c>
      <c r="BN352" s="1">
        <v>0</v>
      </c>
      <c r="BO352" s="1">
        <v>0</v>
      </c>
      <c r="BP352" s="1">
        <v>0</v>
      </c>
      <c r="BQ352" s="1">
        <v>1E-3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1E-3</v>
      </c>
      <c r="BX352" s="1">
        <v>1E-3</v>
      </c>
      <c r="BY352" s="1">
        <v>1E-3</v>
      </c>
      <c r="BZ352" s="1">
        <v>1E-3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1E-3</v>
      </c>
      <c r="CI352" s="1">
        <v>0</v>
      </c>
      <c r="CJ352" s="1">
        <v>1E-3</v>
      </c>
      <c r="CK352" s="1">
        <v>1E-3</v>
      </c>
      <c r="CL352" s="1">
        <v>1E-3</v>
      </c>
      <c r="CM352" s="1">
        <v>-7.9672035120000002</v>
      </c>
      <c r="CN352" s="83">
        <v>69.294643669999999</v>
      </c>
    </row>
    <row r="353" spans="1:92" s="3" customFormat="1" x14ac:dyDescent="0.25">
      <c r="A353" s="72">
        <v>364</v>
      </c>
      <c r="B353" s="81" t="s">
        <v>944</v>
      </c>
      <c r="C353" s="1" t="s">
        <v>83</v>
      </c>
      <c r="D353" s="1" t="s">
        <v>79</v>
      </c>
      <c r="E353" s="1" t="s">
        <v>99</v>
      </c>
      <c r="F353" s="1" t="s">
        <v>84</v>
      </c>
      <c r="G353" s="1" t="s">
        <v>86</v>
      </c>
      <c r="H353" s="1" t="s">
        <v>85</v>
      </c>
      <c r="I353" s="1"/>
      <c r="J353" s="9" t="s">
        <v>544</v>
      </c>
      <c r="K353" s="10">
        <v>0.60165583333333295</v>
      </c>
      <c r="L353" s="1" t="s">
        <v>76</v>
      </c>
      <c r="M353" s="1" t="s">
        <v>506</v>
      </c>
      <c r="N353" s="1" t="s">
        <v>645</v>
      </c>
      <c r="O353" s="1" t="s">
        <v>18</v>
      </c>
      <c r="P353" s="82">
        <v>0.96</v>
      </c>
      <c r="Q353" s="1" t="s">
        <v>76</v>
      </c>
      <c r="R353" s="81" t="s">
        <v>110</v>
      </c>
      <c r="S353" s="1">
        <v>2</v>
      </c>
      <c r="T353" s="1" t="s">
        <v>78</v>
      </c>
      <c r="U353" s="1" t="s">
        <v>658</v>
      </c>
      <c r="V353" s="1" t="s">
        <v>655</v>
      </c>
      <c r="W353" s="1">
        <v>55</v>
      </c>
      <c r="X353" s="1" t="s">
        <v>286</v>
      </c>
      <c r="Y353" s="1" t="s">
        <v>645</v>
      </c>
      <c r="Z353" s="1">
        <v>0</v>
      </c>
      <c r="AA353" s="1">
        <v>0</v>
      </c>
      <c r="AB353" s="1">
        <v>0</v>
      </c>
      <c r="AC353" s="1">
        <v>1E-3</v>
      </c>
      <c r="AD353" s="1">
        <v>0</v>
      </c>
      <c r="AE353" s="1">
        <v>0</v>
      </c>
      <c r="AF353" s="1">
        <v>0</v>
      </c>
      <c r="AG353" s="1">
        <v>0</v>
      </c>
      <c r="AH353" s="1">
        <v>1E-3</v>
      </c>
      <c r="AI353" s="1">
        <v>0</v>
      </c>
      <c r="AJ353" s="1">
        <v>0</v>
      </c>
      <c r="AK353" s="1">
        <v>1E-3</v>
      </c>
      <c r="AL353" s="1">
        <v>7.0000000000000001E-3</v>
      </c>
      <c r="AM353" s="1">
        <v>0.96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1E-3</v>
      </c>
      <c r="AT353" s="1">
        <v>1E-3</v>
      </c>
      <c r="AU353" s="1">
        <v>0</v>
      </c>
      <c r="AV353" s="1">
        <v>0</v>
      </c>
      <c r="AW353" s="1">
        <v>1E-3</v>
      </c>
      <c r="AX353" s="1">
        <v>1E-3</v>
      </c>
      <c r="AY353" s="1">
        <v>2E-3</v>
      </c>
      <c r="AZ353" s="1">
        <v>0</v>
      </c>
      <c r="BA353" s="1">
        <v>1E-3</v>
      </c>
      <c r="BB353" s="1">
        <v>0</v>
      </c>
      <c r="BC353" s="1">
        <v>0</v>
      </c>
      <c r="BD353" s="1">
        <v>1E-3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6.0000000000000001E-3</v>
      </c>
      <c r="BM353" s="1">
        <v>1E-3</v>
      </c>
      <c r="BN353" s="1">
        <v>0</v>
      </c>
      <c r="BO353" s="1">
        <v>0</v>
      </c>
      <c r="BP353" s="1">
        <v>0</v>
      </c>
      <c r="BQ353" s="1">
        <v>1E-3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1E-3</v>
      </c>
      <c r="BX353" s="1">
        <v>1E-3</v>
      </c>
      <c r="BY353" s="1">
        <v>1E-3</v>
      </c>
      <c r="BZ353" s="1">
        <v>1E-3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1E-3</v>
      </c>
      <c r="CH353" s="1">
        <v>1E-3</v>
      </c>
      <c r="CI353" s="1">
        <v>0</v>
      </c>
      <c r="CJ353" s="1">
        <v>1E-3</v>
      </c>
      <c r="CK353" s="1">
        <v>1E-3</v>
      </c>
      <c r="CL353" s="1">
        <v>1E-3</v>
      </c>
      <c r="CM353" s="1">
        <v>-8.0472812279999992</v>
      </c>
      <c r="CN353" s="83">
        <v>67.893561590000004</v>
      </c>
    </row>
    <row r="354" spans="1:92" s="3" customFormat="1" x14ac:dyDescent="0.25">
      <c r="A354" s="72">
        <v>365</v>
      </c>
      <c r="B354" s="81" t="s">
        <v>1116</v>
      </c>
      <c r="C354" s="1" t="s">
        <v>83</v>
      </c>
      <c r="D354" s="1" t="s">
        <v>79</v>
      </c>
      <c r="E354" s="1" t="s">
        <v>99</v>
      </c>
      <c r="F354" s="1" t="s">
        <v>84</v>
      </c>
      <c r="G354" s="1" t="s">
        <v>86</v>
      </c>
      <c r="H354" s="1" t="s">
        <v>85</v>
      </c>
      <c r="I354" s="1"/>
      <c r="J354" s="9" t="s">
        <v>544</v>
      </c>
      <c r="K354" s="10">
        <v>0.422972666666667</v>
      </c>
      <c r="L354" s="1" t="s">
        <v>76</v>
      </c>
      <c r="M354" s="1" t="s">
        <v>506</v>
      </c>
      <c r="N354" s="1" t="s">
        <v>645</v>
      </c>
      <c r="O354" s="1" t="s">
        <v>17</v>
      </c>
      <c r="P354" s="82">
        <v>0.99299999999999999</v>
      </c>
      <c r="Q354" s="1" t="s">
        <v>76</v>
      </c>
      <c r="R354" s="81" t="s">
        <v>191</v>
      </c>
      <c r="S354" s="1">
        <v>3</v>
      </c>
      <c r="T354" s="1" t="s">
        <v>78</v>
      </c>
      <c r="U354" s="1" t="s">
        <v>659</v>
      </c>
      <c r="V354" s="1" t="s">
        <v>655</v>
      </c>
      <c r="W354" s="1">
        <v>31</v>
      </c>
      <c r="X354" s="1" t="s">
        <v>288</v>
      </c>
      <c r="Y354" s="1" t="s">
        <v>645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0.99299999999999999</v>
      </c>
      <c r="AM354" s="1">
        <v>6.0000000000000001E-3</v>
      </c>
      <c r="AN354" s="1">
        <v>1E-3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-28.685954819999999</v>
      </c>
      <c r="CN354" s="83">
        <v>49.143892620000003</v>
      </c>
    </row>
    <row r="355" spans="1:92" s="3" customFormat="1" x14ac:dyDescent="0.25">
      <c r="A355" s="72">
        <v>366</v>
      </c>
      <c r="B355" s="81" t="s">
        <v>1044</v>
      </c>
      <c r="C355" s="1" t="s">
        <v>83</v>
      </c>
      <c r="D355" s="1" t="s">
        <v>79</v>
      </c>
      <c r="E355" s="1" t="s">
        <v>99</v>
      </c>
      <c r="F355" s="1" t="s">
        <v>84</v>
      </c>
      <c r="G355" s="1" t="s">
        <v>505</v>
      </c>
      <c r="H355" s="1" t="s">
        <v>85</v>
      </c>
      <c r="I355" s="1"/>
      <c r="J355" s="9" t="s">
        <v>544</v>
      </c>
      <c r="K355" s="10">
        <v>0.458550333333333</v>
      </c>
      <c r="L355" s="1" t="s">
        <v>545</v>
      </c>
      <c r="M355" s="1" t="s">
        <v>76</v>
      </c>
      <c r="N355" s="1" t="s">
        <v>644</v>
      </c>
      <c r="O355" s="1" t="s">
        <v>55</v>
      </c>
      <c r="P355" s="82">
        <v>0.63400000000000001</v>
      </c>
      <c r="Q355" s="1">
        <f>SUM(AK355:AN355)</f>
        <v>0.18099999999999999</v>
      </c>
      <c r="R355" s="81" t="s">
        <v>87</v>
      </c>
      <c r="S355" s="1" t="s">
        <v>123</v>
      </c>
      <c r="T355" s="1" t="s">
        <v>78</v>
      </c>
      <c r="U355" s="1" t="s">
        <v>658</v>
      </c>
      <c r="V355" s="1" t="s">
        <v>655</v>
      </c>
      <c r="W355" s="1">
        <v>51</v>
      </c>
      <c r="X355" s="1" t="s">
        <v>291</v>
      </c>
      <c r="Y355" s="1" t="s">
        <v>644</v>
      </c>
      <c r="Z355" s="1">
        <v>1E-3</v>
      </c>
      <c r="AA355" s="1">
        <v>2E-3</v>
      </c>
      <c r="AB355" s="1">
        <v>1E-3</v>
      </c>
      <c r="AC355" s="1">
        <v>0.01</v>
      </c>
      <c r="AD355" s="1">
        <v>1E-3</v>
      </c>
      <c r="AE355" s="1">
        <v>2E-3</v>
      </c>
      <c r="AF355" s="1">
        <v>2E-3</v>
      </c>
      <c r="AG355" s="1">
        <v>0</v>
      </c>
      <c r="AH355" s="1">
        <v>6.0000000000000001E-3</v>
      </c>
      <c r="AI355" s="1">
        <v>1E-3</v>
      </c>
      <c r="AJ355" s="1">
        <v>1E-3</v>
      </c>
      <c r="AK355" s="1">
        <v>6.0000000000000001E-3</v>
      </c>
      <c r="AL355" s="1">
        <v>0.15</v>
      </c>
      <c r="AM355" s="1">
        <v>2.1999999999999999E-2</v>
      </c>
      <c r="AN355" s="1">
        <v>3.0000000000000001E-3</v>
      </c>
      <c r="AO355" s="1">
        <v>2E-3</v>
      </c>
      <c r="AP355" s="1">
        <v>2E-3</v>
      </c>
      <c r="AQ355" s="1">
        <v>2E-3</v>
      </c>
      <c r="AR355" s="1">
        <v>1E-3</v>
      </c>
      <c r="AS355" s="1">
        <v>4.0000000000000001E-3</v>
      </c>
      <c r="AT355" s="1">
        <v>3.0000000000000001E-3</v>
      </c>
      <c r="AU355" s="1">
        <v>2E-3</v>
      </c>
      <c r="AV355" s="1">
        <v>1E-3</v>
      </c>
      <c r="AW355" s="1">
        <v>5.0000000000000001E-3</v>
      </c>
      <c r="AX355" s="1">
        <v>6.0000000000000001E-3</v>
      </c>
      <c r="AY355" s="1">
        <v>4.0000000000000001E-3</v>
      </c>
      <c r="AZ355" s="1">
        <v>3.0000000000000001E-3</v>
      </c>
      <c r="BA355" s="1">
        <v>4.0000000000000001E-3</v>
      </c>
      <c r="BB355" s="1">
        <v>2E-3</v>
      </c>
      <c r="BC355" s="1">
        <v>2E-3</v>
      </c>
      <c r="BD355" s="1">
        <v>4.0000000000000001E-3</v>
      </c>
      <c r="BE355" s="1">
        <v>1E-3</v>
      </c>
      <c r="BF355" s="1">
        <v>1E-3</v>
      </c>
      <c r="BG355" s="1">
        <v>1E-3</v>
      </c>
      <c r="BH355" s="1">
        <v>2E-3</v>
      </c>
      <c r="BI355" s="1">
        <v>1E-3</v>
      </c>
      <c r="BJ355" s="1">
        <v>1E-3</v>
      </c>
      <c r="BK355" s="1">
        <v>1E-3</v>
      </c>
      <c r="BL355" s="1">
        <v>3.4000000000000002E-2</v>
      </c>
      <c r="BM355" s="1">
        <v>3.0000000000000001E-3</v>
      </c>
      <c r="BN355" s="1">
        <v>2E-3</v>
      </c>
      <c r="BO355" s="1">
        <v>1E-3</v>
      </c>
      <c r="BP355" s="1">
        <v>0</v>
      </c>
      <c r="BQ355" s="1">
        <v>6.0000000000000001E-3</v>
      </c>
      <c r="BR355" s="1">
        <v>3.0000000000000001E-3</v>
      </c>
      <c r="BS355" s="1">
        <v>1E-3</v>
      </c>
      <c r="BT355" s="1">
        <v>1E-3</v>
      </c>
      <c r="BU355" s="1">
        <v>1E-3</v>
      </c>
      <c r="BV355" s="1">
        <v>2E-3</v>
      </c>
      <c r="BW355" s="1">
        <v>2E-3</v>
      </c>
      <c r="BX355" s="1">
        <v>0.63400000000000001</v>
      </c>
      <c r="BY355" s="1">
        <v>5.0000000000000001E-3</v>
      </c>
      <c r="BZ355" s="1">
        <v>8.9999999999999993E-3</v>
      </c>
      <c r="CA355" s="1">
        <v>2E-3</v>
      </c>
      <c r="CB355" s="1">
        <v>0</v>
      </c>
      <c r="CC355" s="1">
        <v>2E-3</v>
      </c>
      <c r="CD355" s="1">
        <v>1E-3</v>
      </c>
      <c r="CE355" s="1">
        <v>2E-3</v>
      </c>
      <c r="CF355" s="1">
        <v>2E-3</v>
      </c>
      <c r="CG355" s="1">
        <v>8.0000000000000002E-3</v>
      </c>
      <c r="CH355" s="1">
        <v>3.0000000000000001E-3</v>
      </c>
      <c r="CI355" s="1">
        <v>2E-3</v>
      </c>
      <c r="CJ355" s="1">
        <v>5.0000000000000001E-3</v>
      </c>
      <c r="CK355" s="1">
        <v>7.0000000000000001E-3</v>
      </c>
      <c r="CL355" s="1">
        <v>3.0000000000000001E-3</v>
      </c>
      <c r="CM355" s="1">
        <v>19.414667659999999</v>
      </c>
      <c r="CN355" s="83">
        <v>38.102781329999999</v>
      </c>
    </row>
    <row r="356" spans="1:92" s="3" customFormat="1" x14ac:dyDescent="0.25">
      <c r="A356" s="72">
        <v>367</v>
      </c>
      <c r="B356" s="81" t="s">
        <v>1115</v>
      </c>
      <c r="C356" s="1" t="s">
        <v>83</v>
      </c>
      <c r="D356" s="1" t="s">
        <v>79</v>
      </c>
      <c r="E356" s="1" t="s">
        <v>74</v>
      </c>
      <c r="F356" s="1" t="s">
        <v>84</v>
      </c>
      <c r="G356" s="1" t="s">
        <v>86</v>
      </c>
      <c r="H356" s="1" t="s">
        <v>85</v>
      </c>
      <c r="I356" s="1"/>
      <c r="J356" s="9" t="s">
        <v>544</v>
      </c>
      <c r="K356" s="10">
        <v>0.45113716666666698</v>
      </c>
      <c r="L356" s="1" t="s">
        <v>641</v>
      </c>
      <c r="M356" s="1" t="s">
        <v>76</v>
      </c>
      <c r="N356" s="1" t="s">
        <v>649</v>
      </c>
      <c r="O356" s="1" t="s">
        <v>16</v>
      </c>
      <c r="P356" s="82">
        <v>0.86899999999999999</v>
      </c>
      <c r="Q356" s="1">
        <f>SUM(AK356:AN356)</f>
        <v>0.98699999999999999</v>
      </c>
      <c r="R356" s="81" t="s">
        <v>157</v>
      </c>
      <c r="S356" s="1">
        <v>2</v>
      </c>
      <c r="T356" s="1" t="s">
        <v>120</v>
      </c>
      <c r="U356" s="1" t="s">
        <v>659</v>
      </c>
      <c r="V356" s="1" t="s">
        <v>655</v>
      </c>
      <c r="W356" s="1">
        <v>31</v>
      </c>
      <c r="X356" s="1" t="s">
        <v>288</v>
      </c>
      <c r="Y356" s="1" t="s">
        <v>645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1E-3</v>
      </c>
      <c r="AI356" s="1">
        <v>0</v>
      </c>
      <c r="AJ356" s="1">
        <v>1E-3</v>
      </c>
      <c r="AK356" s="1">
        <v>0.86899999999999999</v>
      </c>
      <c r="AL356" s="1">
        <v>0.106</v>
      </c>
      <c r="AM356" s="1">
        <v>6.0000000000000001E-3</v>
      </c>
      <c r="AN356" s="1">
        <v>6.0000000000000001E-3</v>
      </c>
      <c r="AO356" s="1">
        <v>0</v>
      </c>
      <c r="AP356" s="1">
        <v>0</v>
      </c>
      <c r="AQ356" s="1">
        <v>0</v>
      </c>
      <c r="AR356" s="1">
        <v>1E-3</v>
      </c>
      <c r="AS356" s="1">
        <v>0</v>
      </c>
      <c r="AT356" s="1">
        <v>0</v>
      </c>
      <c r="AU356" s="1">
        <v>0</v>
      </c>
      <c r="AV356" s="1">
        <v>0</v>
      </c>
      <c r="AW356" s="1">
        <v>1E-3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1E-3</v>
      </c>
      <c r="CL356" s="1">
        <v>2E-3</v>
      </c>
      <c r="CM356" s="1">
        <v>-76.663104349999998</v>
      </c>
      <c r="CN356" s="83">
        <v>2.3049892089999999</v>
      </c>
    </row>
    <row r="357" spans="1:92" s="3" customFormat="1" x14ac:dyDescent="0.25">
      <c r="A357" s="72">
        <v>368</v>
      </c>
      <c r="B357" s="81" t="s">
        <v>1086</v>
      </c>
      <c r="C357" s="1" t="s">
        <v>83</v>
      </c>
      <c r="D357" s="1" t="s">
        <v>79</v>
      </c>
      <c r="E357" s="1" t="s">
        <v>74</v>
      </c>
      <c r="F357" s="1" t="s">
        <v>84</v>
      </c>
      <c r="G357" s="1" t="s">
        <v>86</v>
      </c>
      <c r="H357" s="1" t="s">
        <v>85</v>
      </c>
      <c r="I357" s="1"/>
      <c r="J357" s="9" t="s">
        <v>544</v>
      </c>
      <c r="K357" s="10">
        <v>0.35639399999999999</v>
      </c>
      <c r="L357" s="1" t="s">
        <v>510</v>
      </c>
      <c r="M357" s="1" t="s">
        <v>76</v>
      </c>
      <c r="N357" s="1" t="s">
        <v>644</v>
      </c>
      <c r="O357" s="1" t="s">
        <v>68</v>
      </c>
      <c r="P357" s="82">
        <v>0.84699999999999998</v>
      </c>
      <c r="Q357" s="1">
        <f>SUM(AK357:AN357)</f>
        <v>5.0000000000000001E-3</v>
      </c>
      <c r="R357" s="81" t="s">
        <v>285</v>
      </c>
      <c r="S357" s="1">
        <v>2</v>
      </c>
      <c r="T357" s="1" t="s">
        <v>78</v>
      </c>
      <c r="U357" s="1" t="s">
        <v>659</v>
      </c>
      <c r="V357" s="1" t="s">
        <v>655</v>
      </c>
      <c r="W357" s="1">
        <v>69</v>
      </c>
      <c r="X357" s="1" t="s">
        <v>288</v>
      </c>
      <c r="Y357" s="1" t="s">
        <v>644</v>
      </c>
      <c r="Z357" s="1">
        <v>6.0000000000000001E-3</v>
      </c>
      <c r="AA357" s="1">
        <v>1E-3</v>
      </c>
      <c r="AB357" s="1">
        <v>1E-3</v>
      </c>
      <c r="AC357" s="1">
        <v>1E-3</v>
      </c>
      <c r="AD357" s="1">
        <v>1E-3</v>
      </c>
      <c r="AE357" s="1">
        <v>1E-3</v>
      </c>
      <c r="AF357" s="1">
        <v>1E-3</v>
      </c>
      <c r="AG357" s="1">
        <v>0</v>
      </c>
      <c r="AH357" s="1">
        <v>2E-3</v>
      </c>
      <c r="AI357" s="1">
        <v>0</v>
      </c>
      <c r="AJ357" s="1">
        <v>1E-3</v>
      </c>
      <c r="AK357" s="1">
        <v>0</v>
      </c>
      <c r="AL357" s="1">
        <v>1E-3</v>
      </c>
      <c r="AM357" s="1">
        <v>1E-3</v>
      </c>
      <c r="AN357" s="1">
        <v>3.0000000000000001E-3</v>
      </c>
      <c r="AO357" s="1">
        <v>0</v>
      </c>
      <c r="AP357" s="1">
        <v>0</v>
      </c>
      <c r="AQ357" s="1">
        <v>1E-3</v>
      </c>
      <c r="AR357" s="1">
        <v>1.9E-2</v>
      </c>
      <c r="AS357" s="1">
        <v>1E-3</v>
      </c>
      <c r="AT357" s="1">
        <v>0</v>
      </c>
      <c r="AU357" s="1">
        <v>2E-3</v>
      </c>
      <c r="AV357" s="1">
        <v>1E-3</v>
      </c>
      <c r="AW357" s="1">
        <v>1E-3</v>
      </c>
      <c r="AX357" s="1">
        <v>1.4999999999999999E-2</v>
      </c>
      <c r="AY357" s="1">
        <v>2E-3</v>
      </c>
      <c r="AZ357" s="1">
        <v>2E-3</v>
      </c>
      <c r="BA357" s="1">
        <v>2E-3</v>
      </c>
      <c r="BB357" s="1">
        <v>0</v>
      </c>
      <c r="BC357" s="1">
        <v>0</v>
      </c>
      <c r="BD357" s="1">
        <v>2E-3</v>
      </c>
      <c r="BE357" s="1">
        <v>0</v>
      </c>
      <c r="BF357" s="1">
        <v>1E-3</v>
      </c>
      <c r="BG357" s="1">
        <v>0</v>
      </c>
      <c r="BH357" s="1">
        <v>0</v>
      </c>
      <c r="BI357" s="1">
        <v>0</v>
      </c>
      <c r="BJ357" s="1">
        <v>2E-3</v>
      </c>
      <c r="BK357" s="1">
        <v>0</v>
      </c>
      <c r="BL357" s="1">
        <v>1E-3</v>
      </c>
      <c r="BM357" s="1">
        <v>0</v>
      </c>
      <c r="BN357" s="1">
        <v>0</v>
      </c>
      <c r="BO357" s="1">
        <v>0</v>
      </c>
      <c r="BP357" s="1">
        <v>7.0000000000000001E-3</v>
      </c>
      <c r="BQ357" s="1">
        <v>1E-3</v>
      </c>
      <c r="BR357" s="1">
        <v>1E-3</v>
      </c>
      <c r="BS357" s="1">
        <v>4.0000000000000001E-3</v>
      </c>
      <c r="BT357" s="1">
        <v>0</v>
      </c>
      <c r="BU357" s="1">
        <v>3.0000000000000001E-3</v>
      </c>
      <c r="BV357" s="1">
        <v>0</v>
      </c>
      <c r="BW357" s="1">
        <v>1E-3</v>
      </c>
      <c r="BX357" s="1">
        <v>2E-3</v>
      </c>
      <c r="BY357" s="1">
        <v>1E-3</v>
      </c>
      <c r="BZ357" s="1">
        <v>4.0000000000000001E-3</v>
      </c>
      <c r="CA357" s="1">
        <v>1E-3</v>
      </c>
      <c r="CB357" s="1">
        <v>0</v>
      </c>
      <c r="CC357" s="1">
        <v>1E-3</v>
      </c>
      <c r="CD357" s="1">
        <v>0</v>
      </c>
      <c r="CE357" s="1">
        <v>1E-3</v>
      </c>
      <c r="CF357" s="1">
        <v>0</v>
      </c>
      <c r="CG357" s="1">
        <v>1E-3</v>
      </c>
      <c r="CH357" s="1">
        <v>1E-3</v>
      </c>
      <c r="CI357" s="1">
        <v>0</v>
      </c>
      <c r="CJ357" s="1">
        <v>1E-3</v>
      </c>
      <c r="CK357" s="1">
        <v>0.84699999999999998</v>
      </c>
      <c r="CL357" s="1">
        <v>0.05</v>
      </c>
      <c r="CM357" s="1">
        <v>-56.322381759999999</v>
      </c>
      <c r="CN357" s="83">
        <v>-9.5204350079999998</v>
      </c>
    </row>
    <row r="358" spans="1:92" s="3" customFormat="1" x14ac:dyDescent="0.25">
      <c r="A358" s="72">
        <v>369</v>
      </c>
      <c r="B358" s="81" t="s">
        <v>1084</v>
      </c>
      <c r="C358" s="1" t="s">
        <v>83</v>
      </c>
      <c r="D358" s="1" t="s">
        <v>79</v>
      </c>
      <c r="E358" s="1" t="s">
        <v>74</v>
      </c>
      <c r="F358" s="1" t="s">
        <v>84</v>
      </c>
      <c r="G358" s="1" t="s">
        <v>86</v>
      </c>
      <c r="H358" s="1" t="s">
        <v>85</v>
      </c>
      <c r="I358" s="1"/>
      <c r="J358" s="9" t="s">
        <v>544</v>
      </c>
      <c r="K358" s="10">
        <v>0.55826833333333303</v>
      </c>
      <c r="L358" s="1" t="s">
        <v>76</v>
      </c>
      <c r="M358" s="1" t="s">
        <v>506</v>
      </c>
      <c r="N358" s="1" t="s">
        <v>645</v>
      </c>
      <c r="O358" s="1" t="s">
        <v>17</v>
      </c>
      <c r="P358" s="82">
        <v>0.999</v>
      </c>
      <c r="Q358" s="1" t="s">
        <v>76</v>
      </c>
      <c r="R358" s="81" t="s">
        <v>285</v>
      </c>
      <c r="S358" s="1">
        <v>2</v>
      </c>
      <c r="T358" s="1" t="s">
        <v>78</v>
      </c>
      <c r="U358" s="1" t="s">
        <v>659</v>
      </c>
      <c r="V358" s="1" t="s">
        <v>655</v>
      </c>
      <c r="W358" s="1">
        <v>69</v>
      </c>
      <c r="X358" s="1" t="s">
        <v>288</v>
      </c>
      <c r="Y358" s="1" t="s">
        <v>645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0.999</v>
      </c>
      <c r="AM358" s="1">
        <v>1E-3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-28.53567988</v>
      </c>
      <c r="CN358" s="83">
        <v>55.684280999999999</v>
      </c>
    </row>
    <row r="359" spans="1:92" s="3" customFormat="1" x14ac:dyDescent="0.25">
      <c r="A359" s="72">
        <v>370</v>
      </c>
      <c r="B359" s="81" t="s">
        <v>833</v>
      </c>
      <c r="C359" s="1" t="s">
        <v>83</v>
      </c>
      <c r="D359" s="1" t="s">
        <v>79</v>
      </c>
      <c r="E359" s="1" t="s">
        <v>74</v>
      </c>
      <c r="F359" s="1" t="s">
        <v>84</v>
      </c>
      <c r="G359" s="1" t="s">
        <v>86</v>
      </c>
      <c r="H359" s="1" t="s">
        <v>85</v>
      </c>
      <c r="I359" s="1"/>
      <c r="J359" s="9" t="s">
        <v>544</v>
      </c>
      <c r="K359" s="10">
        <v>0.408770666666667</v>
      </c>
      <c r="L359" s="1" t="s">
        <v>510</v>
      </c>
      <c r="M359" s="1" t="s">
        <v>76</v>
      </c>
      <c r="N359" s="1" t="s">
        <v>644</v>
      </c>
      <c r="O359" s="1" t="s">
        <v>8</v>
      </c>
      <c r="P359" s="82">
        <v>0.106</v>
      </c>
      <c r="Q359" s="1">
        <f>SUM(AK359:AN359)</f>
        <v>4.7E-2</v>
      </c>
      <c r="R359" s="81" t="s">
        <v>285</v>
      </c>
      <c r="S359" s="1">
        <v>2</v>
      </c>
      <c r="T359" s="1" t="s">
        <v>78</v>
      </c>
      <c r="U359" s="1" t="s">
        <v>658</v>
      </c>
      <c r="V359" s="1" t="s">
        <v>654</v>
      </c>
      <c r="W359" s="1">
        <v>69</v>
      </c>
      <c r="X359" s="1" t="s">
        <v>288</v>
      </c>
      <c r="Y359" s="1" t="s">
        <v>644</v>
      </c>
      <c r="Z359" s="1">
        <v>3.2000000000000001E-2</v>
      </c>
      <c r="AA359" s="1">
        <v>7.0000000000000001E-3</v>
      </c>
      <c r="AB359" s="1">
        <v>8.0000000000000002E-3</v>
      </c>
      <c r="AC359" s="1">
        <v>0.106</v>
      </c>
      <c r="AD359" s="1">
        <v>1.9E-2</v>
      </c>
      <c r="AE359" s="1">
        <v>1.4999999999999999E-2</v>
      </c>
      <c r="AF359" s="1">
        <v>7.0000000000000001E-3</v>
      </c>
      <c r="AG359" s="1">
        <v>1E-3</v>
      </c>
      <c r="AH359" s="1">
        <v>6.7000000000000004E-2</v>
      </c>
      <c r="AI359" s="1">
        <v>1.0999999999999999E-2</v>
      </c>
      <c r="AJ359" s="1">
        <v>4.0000000000000001E-3</v>
      </c>
      <c r="AK359" s="1">
        <v>1.4999999999999999E-2</v>
      </c>
      <c r="AL359" s="1">
        <v>5.0000000000000001E-3</v>
      </c>
      <c r="AM359" s="1">
        <v>5.0000000000000001E-3</v>
      </c>
      <c r="AN359" s="1">
        <v>2.1999999999999999E-2</v>
      </c>
      <c r="AO359" s="1">
        <v>8.0000000000000002E-3</v>
      </c>
      <c r="AP359" s="1">
        <v>7.0000000000000001E-3</v>
      </c>
      <c r="AQ359" s="1">
        <v>8.0000000000000002E-3</v>
      </c>
      <c r="AR359" s="1">
        <v>3.0000000000000001E-3</v>
      </c>
      <c r="AS359" s="1">
        <v>1.7000000000000001E-2</v>
      </c>
      <c r="AT359" s="1">
        <v>1.4E-2</v>
      </c>
      <c r="AU359" s="1">
        <v>7.0000000000000001E-3</v>
      </c>
      <c r="AV359" s="1">
        <v>1.2999999999999999E-2</v>
      </c>
      <c r="AW359" s="1">
        <v>0.01</v>
      </c>
      <c r="AX359" s="1">
        <v>1.9E-2</v>
      </c>
      <c r="AY359" s="1">
        <v>3.5000000000000003E-2</v>
      </c>
      <c r="AZ359" s="1">
        <v>1.4E-2</v>
      </c>
      <c r="BA359" s="1">
        <v>2.9000000000000001E-2</v>
      </c>
      <c r="BB359" s="1">
        <v>6.0000000000000001E-3</v>
      </c>
      <c r="BC359" s="1">
        <v>8.9999999999999993E-3</v>
      </c>
      <c r="BD359" s="1">
        <v>3.6999999999999998E-2</v>
      </c>
      <c r="BE359" s="1">
        <v>6.0000000000000001E-3</v>
      </c>
      <c r="BF359" s="1">
        <v>1.9E-2</v>
      </c>
      <c r="BG359" s="1">
        <v>4.0000000000000001E-3</v>
      </c>
      <c r="BH359" s="1">
        <v>1.4999999999999999E-2</v>
      </c>
      <c r="BI359" s="1">
        <v>4.0000000000000001E-3</v>
      </c>
      <c r="BJ359" s="1">
        <v>3.0000000000000001E-3</v>
      </c>
      <c r="BK359" s="1">
        <v>4.0000000000000001E-3</v>
      </c>
      <c r="BL359" s="1">
        <v>0.04</v>
      </c>
      <c r="BM359" s="1">
        <v>8.9999999999999993E-3</v>
      </c>
      <c r="BN359" s="1">
        <v>1.0999999999999999E-2</v>
      </c>
      <c r="BO359" s="1">
        <v>4.0000000000000001E-3</v>
      </c>
      <c r="BP359" s="1">
        <v>2E-3</v>
      </c>
      <c r="BQ359" s="1">
        <v>1.6E-2</v>
      </c>
      <c r="BR359" s="1">
        <v>1.7000000000000001E-2</v>
      </c>
      <c r="BS359" s="1">
        <v>4.0000000000000001E-3</v>
      </c>
      <c r="BT359" s="1">
        <v>4.0000000000000001E-3</v>
      </c>
      <c r="BU359" s="1">
        <v>5.0000000000000001E-3</v>
      </c>
      <c r="BV359" s="1">
        <v>4.0000000000000001E-3</v>
      </c>
      <c r="BW359" s="1">
        <v>8.0000000000000002E-3</v>
      </c>
      <c r="BX359" s="1">
        <v>3.3000000000000002E-2</v>
      </c>
      <c r="BY359" s="1">
        <v>3.4000000000000002E-2</v>
      </c>
      <c r="BZ359" s="1">
        <v>1.7000000000000001E-2</v>
      </c>
      <c r="CA359" s="1">
        <v>8.9999999999999993E-3</v>
      </c>
      <c r="CB359" s="1">
        <v>2E-3</v>
      </c>
      <c r="CC359" s="1">
        <v>7.0000000000000001E-3</v>
      </c>
      <c r="CD359" s="1">
        <v>1E-3</v>
      </c>
      <c r="CE359" s="1">
        <v>1.0999999999999999E-2</v>
      </c>
      <c r="CF359" s="1">
        <v>8.9999999999999993E-3</v>
      </c>
      <c r="CG359" s="1">
        <v>2.1000000000000001E-2</v>
      </c>
      <c r="CH359" s="1">
        <v>1.2999999999999999E-2</v>
      </c>
      <c r="CI359" s="1">
        <v>1.0999999999999999E-2</v>
      </c>
      <c r="CJ359" s="1">
        <v>2.7E-2</v>
      </c>
      <c r="CK359" s="1">
        <v>4.3999999999999997E-2</v>
      </c>
      <c r="CL359" s="1">
        <v>1.9E-2</v>
      </c>
      <c r="CM359" s="1">
        <v>-1.7742905899999999</v>
      </c>
      <c r="CN359" s="83">
        <v>-29.73334762</v>
      </c>
    </row>
    <row r="360" spans="1:92" s="3" customFormat="1" x14ac:dyDescent="0.25">
      <c r="A360" s="72">
        <v>371</v>
      </c>
      <c r="B360" s="81" t="s">
        <v>1339</v>
      </c>
      <c r="C360" s="1" t="s">
        <v>83</v>
      </c>
      <c r="D360" s="1" t="s">
        <v>79</v>
      </c>
      <c r="E360" s="1" t="s">
        <v>99</v>
      </c>
      <c r="F360" s="1" t="s">
        <v>84</v>
      </c>
      <c r="G360" s="1" t="s">
        <v>86</v>
      </c>
      <c r="H360" s="1" t="s">
        <v>85</v>
      </c>
      <c r="I360" s="1"/>
      <c r="J360" s="9" t="s">
        <v>544</v>
      </c>
      <c r="K360" s="10">
        <v>0.32438466666666699</v>
      </c>
      <c r="L360" s="1" t="s">
        <v>641</v>
      </c>
      <c r="M360" s="1" t="s">
        <v>76</v>
      </c>
      <c r="N360" s="1" t="s">
        <v>649</v>
      </c>
      <c r="O360" s="1" t="s">
        <v>19</v>
      </c>
      <c r="P360" s="82">
        <v>0.5</v>
      </c>
      <c r="Q360" s="1">
        <f>SUM(AK360:AN360)</f>
        <v>0.59</v>
      </c>
      <c r="R360" s="81" t="s">
        <v>292</v>
      </c>
      <c r="S360" s="1">
        <v>2</v>
      </c>
      <c r="T360" s="1" t="s">
        <v>120</v>
      </c>
      <c r="U360" s="1" t="s">
        <v>658</v>
      </c>
      <c r="V360" s="1" t="s">
        <v>655</v>
      </c>
      <c r="W360" s="1">
        <v>47</v>
      </c>
      <c r="X360" s="1" t="s">
        <v>1728</v>
      </c>
      <c r="Y360" s="1" t="s">
        <v>649</v>
      </c>
      <c r="Z360" s="1">
        <v>8.1000000000000003E-2</v>
      </c>
      <c r="AA360" s="1">
        <v>2E-3</v>
      </c>
      <c r="AB360" s="1">
        <v>1E-3</v>
      </c>
      <c r="AC360" s="1">
        <v>3.0000000000000001E-3</v>
      </c>
      <c r="AD360" s="1">
        <v>2E-3</v>
      </c>
      <c r="AE360" s="1">
        <v>1E-3</v>
      </c>
      <c r="AF360" s="1">
        <v>2E-3</v>
      </c>
      <c r="AG360" s="1">
        <v>0</v>
      </c>
      <c r="AH360" s="1">
        <v>1.7000000000000001E-2</v>
      </c>
      <c r="AI360" s="1">
        <v>2E-3</v>
      </c>
      <c r="AJ360" s="1">
        <v>2E-3</v>
      </c>
      <c r="AK360" s="1">
        <v>3.0000000000000001E-3</v>
      </c>
      <c r="AL360" s="1">
        <v>1.0999999999999999E-2</v>
      </c>
      <c r="AM360" s="1">
        <v>7.5999999999999998E-2</v>
      </c>
      <c r="AN360" s="1">
        <v>0.5</v>
      </c>
      <c r="AO360" s="1">
        <v>1E-3</v>
      </c>
      <c r="AP360" s="1">
        <v>1E-3</v>
      </c>
      <c r="AQ360" s="1">
        <v>1E-3</v>
      </c>
      <c r="AR360" s="1">
        <v>3.0000000000000001E-3</v>
      </c>
      <c r="AS360" s="1">
        <v>2E-3</v>
      </c>
      <c r="AT360" s="1">
        <v>1E-3</v>
      </c>
      <c r="AU360" s="1">
        <v>2E-3</v>
      </c>
      <c r="AV360" s="1">
        <v>3.0000000000000001E-3</v>
      </c>
      <c r="AW360" s="1">
        <v>3.0000000000000001E-3</v>
      </c>
      <c r="AX360" s="1">
        <v>1.2E-2</v>
      </c>
      <c r="AY360" s="1">
        <v>5.0000000000000001E-3</v>
      </c>
      <c r="AZ360" s="1">
        <v>4.0000000000000001E-3</v>
      </c>
      <c r="BA360" s="1">
        <v>4.0000000000000001E-3</v>
      </c>
      <c r="BB360" s="1">
        <v>1E-3</v>
      </c>
      <c r="BC360" s="1">
        <v>1E-3</v>
      </c>
      <c r="BD360" s="1">
        <v>6.0000000000000001E-3</v>
      </c>
      <c r="BE360" s="1">
        <v>1E-3</v>
      </c>
      <c r="BF360" s="1">
        <v>3.0000000000000001E-3</v>
      </c>
      <c r="BG360" s="1">
        <v>0</v>
      </c>
      <c r="BH360" s="1">
        <v>1E-3</v>
      </c>
      <c r="BI360" s="1">
        <v>1E-3</v>
      </c>
      <c r="BJ360" s="1">
        <v>3.0000000000000001E-3</v>
      </c>
      <c r="BK360" s="1">
        <v>1E-3</v>
      </c>
      <c r="BL360" s="1">
        <v>8.0000000000000002E-3</v>
      </c>
      <c r="BM360" s="1">
        <v>2E-3</v>
      </c>
      <c r="BN360" s="1">
        <v>1E-3</v>
      </c>
      <c r="BO360" s="1">
        <v>1E-3</v>
      </c>
      <c r="BP360" s="1">
        <v>2E-3</v>
      </c>
      <c r="BQ360" s="1">
        <v>4.0000000000000001E-3</v>
      </c>
      <c r="BR360" s="1">
        <v>2E-3</v>
      </c>
      <c r="BS360" s="1">
        <v>3.0000000000000001E-3</v>
      </c>
      <c r="BT360" s="1">
        <v>1E-3</v>
      </c>
      <c r="BU360" s="1">
        <v>3.0000000000000001E-3</v>
      </c>
      <c r="BV360" s="1">
        <v>1E-3</v>
      </c>
      <c r="BW360" s="1">
        <v>2E-3</v>
      </c>
      <c r="BX360" s="1">
        <v>6.0000000000000001E-3</v>
      </c>
      <c r="BY360" s="1">
        <v>3.0000000000000001E-3</v>
      </c>
      <c r="BZ360" s="1">
        <v>1.2999999999999999E-2</v>
      </c>
      <c r="CA360" s="1">
        <v>4.0000000000000001E-3</v>
      </c>
      <c r="CB360" s="1">
        <v>1E-3</v>
      </c>
      <c r="CC360" s="1">
        <v>2E-3</v>
      </c>
      <c r="CD360" s="1">
        <v>0</v>
      </c>
      <c r="CE360" s="1">
        <v>2E-3</v>
      </c>
      <c r="CF360" s="1">
        <v>1E-3</v>
      </c>
      <c r="CG360" s="1">
        <v>8.9999999999999993E-3</v>
      </c>
      <c r="CH360" s="1">
        <v>2E-3</v>
      </c>
      <c r="CI360" s="1">
        <v>1E-3</v>
      </c>
      <c r="CJ360" s="1">
        <v>2E-3</v>
      </c>
      <c r="CK360" s="1">
        <v>8.2000000000000003E-2</v>
      </c>
      <c r="CL360" s="1">
        <v>8.1000000000000003E-2</v>
      </c>
      <c r="CM360" s="1">
        <v>-25.594327870000001</v>
      </c>
      <c r="CN360" s="83">
        <v>45.805729169999999</v>
      </c>
    </row>
    <row r="361" spans="1:92" s="3" customFormat="1" x14ac:dyDescent="0.25">
      <c r="A361" s="72">
        <v>704</v>
      </c>
      <c r="B361" s="81" t="s">
        <v>1158</v>
      </c>
      <c r="C361" s="1" t="s">
        <v>83</v>
      </c>
      <c r="D361" s="1" t="s">
        <v>73</v>
      </c>
      <c r="E361" s="1" t="s">
        <v>99</v>
      </c>
      <c r="F361" s="1" t="s">
        <v>93</v>
      </c>
      <c r="G361" s="1" t="s">
        <v>80</v>
      </c>
      <c r="H361" s="1" t="s">
        <v>34</v>
      </c>
      <c r="I361" s="1"/>
      <c r="J361" s="9" t="s">
        <v>544</v>
      </c>
      <c r="K361" s="10">
        <v>0.38973983333333301</v>
      </c>
      <c r="L361" s="1" t="s">
        <v>1784</v>
      </c>
      <c r="M361" s="1" t="s">
        <v>506</v>
      </c>
      <c r="N361" s="1" t="s">
        <v>648</v>
      </c>
      <c r="O361" s="1" t="s">
        <v>55</v>
      </c>
      <c r="P361" s="82">
        <v>0.97799999999999998</v>
      </c>
      <c r="Q361" s="1" t="s">
        <v>76</v>
      </c>
      <c r="R361" s="81" t="s">
        <v>363</v>
      </c>
      <c r="S361" s="1" t="s">
        <v>76</v>
      </c>
      <c r="T361" s="1" t="s">
        <v>78</v>
      </c>
      <c r="U361" s="1" t="s">
        <v>658</v>
      </c>
      <c r="V361" s="1" t="s">
        <v>655</v>
      </c>
      <c r="W361" s="1">
        <v>40</v>
      </c>
      <c r="X361" s="1" t="s">
        <v>143</v>
      </c>
      <c r="Y361" s="1" t="s">
        <v>648</v>
      </c>
      <c r="Z361" s="1">
        <v>0</v>
      </c>
      <c r="AA361" s="1">
        <v>0</v>
      </c>
      <c r="AB361" s="1">
        <v>0</v>
      </c>
      <c r="AC361" s="1">
        <v>1E-3</v>
      </c>
      <c r="AD361" s="1">
        <v>0</v>
      </c>
      <c r="AE361" s="1">
        <v>1E-3</v>
      </c>
      <c r="AF361" s="1">
        <v>0</v>
      </c>
      <c r="AG361" s="1">
        <v>0</v>
      </c>
      <c r="AH361" s="1">
        <v>0</v>
      </c>
      <c r="AI361" s="1">
        <v>0</v>
      </c>
      <c r="AJ361" s="1">
        <v>1E-3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3.0000000000000001E-3</v>
      </c>
      <c r="BC361" s="1">
        <v>0</v>
      </c>
      <c r="BD361" s="1">
        <v>1E-3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2E-3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2E-3</v>
      </c>
      <c r="BW361" s="1">
        <v>0</v>
      </c>
      <c r="BX361" s="1">
        <v>0.97799999999999998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3.0000000000000001E-3</v>
      </c>
      <c r="CL361" s="1">
        <v>0</v>
      </c>
      <c r="CM361" s="1">
        <v>-2.7081288790000002</v>
      </c>
      <c r="CN361" s="83">
        <v>-0.41688019599999998</v>
      </c>
    </row>
    <row r="362" spans="1:92" s="3" customFormat="1" x14ac:dyDescent="0.25">
      <c r="A362" s="72">
        <v>373</v>
      </c>
      <c r="B362" s="81" t="s">
        <v>1304</v>
      </c>
      <c r="C362" s="1" t="s">
        <v>83</v>
      </c>
      <c r="D362" s="1" t="s">
        <v>79</v>
      </c>
      <c r="E362" s="1" t="s">
        <v>74</v>
      </c>
      <c r="F362" s="1" t="s">
        <v>84</v>
      </c>
      <c r="G362" s="1" t="s">
        <v>86</v>
      </c>
      <c r="H362" s="1" t="s">
        <v>85</v>
      </c>
      <c r="I362" s="1"/>
      <c r="J362" s="9" t="s">
        <v>544</v>
      </c>
      <c r="K362" s="10">
        <v>0.32805400000000001</v>
      </c>
      <c r="L362" s="1" t="s">
        <v>510</v>
      </c>
      <c r="M362" s="1" t="s">
        <v>76</v>
      </c>
      <c r="N362" s="1" t="s">
        <v>644</v>
      </c>
      <c r="O362" s="1" t="s">
        <v>69</v>
      </c>
      <c r="P362" s="82">
        <v>0.55100000000000005</v>
      </c>
      <c r="Q362" s="1">
        <f>SUM(AK362:AN362)</f>
        <v>4.0000000000000001E-3</v>
      </c>
      <c r="R362" s="81" t="s">
        <v>129</v>
      </c>
      <c r="S362" s="1">
        <v>2</v>
      </c>
      <c r="T362" s="1" t="s">
        <v>120</v>
      </c>
      <c r="U362" s="1" t="s">
        <v>659</v>
      </c>
      <c r="V362" s="1" t="s">
        <v>655</v>
      </c>
      <c r="W362" s="1">
        <v>31</v>
      </c>
      <c r="X362" s="1" t="s">
        <v>288</v>
      </c>
      <c r="Y362" s="1" t="s">
        <v>644</v>
      </c>
      <c r="Z362" s="1">
        <v>1.2E-2</v>
      </c>
      <c r="AA362" s="1">
        <v>1E-3</v>
      </c>
      <c r="AB362" s="1">
        <v>1E-3</v>
      </c>
      <c r="AC362" s="1">
        <v>1E-3</v>
      </c>
      <c r="AD362" s="1">
        <v>3.0000000000000001E-3</v>
      </c>
      <c r="AE362" s="1">
        <v>1E-3</v>
      </c>
      <c r="AF362" s="1">
        <v>1E-3</v>
      </c>
      <c r="AG362" s="1">
        <v>0</v>
      </c>
      <c r="AH362" s="1">
        <v>2E-3</v>
      </c>
      <c r="AI362" s="1">
        <v>0</v>
      </c>
      <c r="AJ362" s="1">
        <v>1E-3</v>
      </c>
      <c r="AK362" s="1">
        <v>1E-3</v>
      </c>
      <c r="AL362" s="1">
        <v>0</v>
      </c>
      <c r="AM362" s="1">
        <v>1E-3</v>
      </c>
      <c r="AN362" s="1">
        <v>2E-3</v>
      </c>
      <c r="AO362" s="1">
        <v>0</v>
      </c>
      <c r="AP362" s="1">
        <v>0</v>
      </c>
      <c r="AQ362" s="1">
        <v>1E-3</v>
      </c>
      <c r="AR362" s="1">
        <v>1.0999999999999999E-2</v>
      </c>
      <c r="AS362" s="1">
        <v>2E-3</v>
      </c>
      <c r="AT362" s="1">
        <v>1E-3</v>
      </c>
      <c r="AU362" s="1">
        <v>2E-3</v>
      </c>
      <c r="AV362" s="1">
        <v>1E-3</v>
      </c>
      <c r="AW362" s="1">
        <v>1E-3</v>
      </c>
      <c r="AX362" s="1">
        <v>2.5999999999999999E-2</v>
      </c>
      <c r="AY362" s="1">
        <v>2E-3</v>
      </c>
      <c r="AZ362" s="1">
        <v>3.0000000000000001E-3</v>
      </c>
      <c r="BA362" s="1">
        <v>2E-3</v>
      </c>
      <c r="BB362" s="1">
        <v>1E-3</v>
      </c>
      <c r="BC362" s="1">
        <v>0</v>
      </c>
      <c r="BD362" s="1">
        <v>3.0000000000000001E-3</v>
      </c>
      <c r="BE362" s="1">
        <v>0</v>
      </c>
      <c r="BF362" s="1">
        <v>1E-3</v>
      </c>
      <c r="BG362" s="1">
        <v>0</v>
      </c>
      <c r="BH362" s="1">
        <v>0</v>
      </c>
      <c r="BI362" s="1">
        <v>0</v>
      </c>
      <c r="BJ362" s="1">
        <v>1.2E-2</v>
      </c>
      <c r="BK362" s="1">
        <v>0</v>
      </c>
      <c r="BL362" s="1">
        <v>1E-3</v>
      </c>
      <c r="BM362" s="1">
        <v>0</v>
      </c>
      <c r="BN362" s="1">
        <v>1E-3</v>
      </c>
      <c r="BO362" s="1">
        <v>1E-3</v>
      </c>
      <c r="BP362" s="1">
        <v>0.125</v>
      </c>
      <c r="BQ362" s="1">
        <v>1E-3</v>
      </c>
      <c r="BR362" s="1">
        <v>1E-3</v>
      </c>
      <c r="BS362" s="1">
        <v>4.0000000000000001E-3</v>
      </c>
      <c r="BT362" s="1">
        <v>0</v>
      </c>
      <c r="BU362" s="1">
        <v>6.0000000000000001E-3</v>
      </c>
      <c r="BV362" s="1">
        <v>1E-3</v>
      </c>
      <c r="BW362" s="1">
        <v>1E-3</v>
      </c>
      <c r="BX362" s="1">
        <v>2E-3</v>
      </c>
      <c r="BY362" s="1">
        <v>1E-3</v>
      </c>
      <c r="BZ362" s="1">
        <v>5.0000000000000001E-3</v>
      </c>
      <c r="CA362" s="1">
        <v>1E-3</v>
      </c>
      <c r="CB362" s="1">
        <v>0</v>
      </c>
      <c r="CC362" s="1">
        <v>1E-3</v>
      </c>
      <c r="CD362" s="1">
        <v>0</v>
      </c>
      <c r="CE362" s="1">
        <v>1E-3</v>
      </c>
      <c r="CF362" s="1">
        <v>1E-3</v>
      </c>
      <c r="CG362" s="1">
        <v>1E-3</v>
      </c>
      <c r="CH362" s="1">
        <v>1E-3</v>
      </c>
      <c r="CI362" s="1">
        <v>1E-3</v>
      </c>
      <c r="CJ362" s="1">
        <v>1E-3</v>
      </c>
      <c r="CK362" s="1">
        <v>0.19500000000000001</v>
      </c>
      <c r="CL362" s="1">
        <v>0.55100000000000005</v>
      </c>
      <c r="CM362" s="1">
        <v>-52.825152320000001</v>
      </c>
      <c r="CN362" s="83">
        <v>-15.94526303</v>
      </c>
    </row>
    <row r="363" spans="1:92" s="3" customFormat="1" x14ac:dyDescent="0.25">
      <c r="A363" s="72">
        <v>374</v>
      </c>
      <c r="B363" s="81" t="s">
        <v>1341</v>
      </c>
      <c r="C363" s="1" t="s">
        <v>83</v>
      </c>
      <c r="D363" s="1" t="s">
        <v>79</v>
      </c>
      <c r="E363" s="1" t="s">
        <v>99</v>
      </c>
      <c r="F363" s="1" t="s">
        <v>84</v>
      </c>
      <c r="G363" s="1" t="s">
        <v>86</v>
      </c>
      <c r="H363" s="1" t="s">
        <v>85</v>
      </c>
      <c r="I363" s="1"/>
      <c r="J363" s="9" t="s">
        <v>544</v>
      </c>
      <c r="K363" s="10">
        <v>0.36137866666666701</v>
      </c>
      <c r="L363" s="1" t="s">
        <v>510</v>
      </c>
      <c r="M363" s="1" t="s">
        <v>76</v>
      </c>
      <c r="N363" s="1" t="s">
        <v>644</v>
      </c>
      <c r="O363" s="1" t="s">
        <v>68</v>
      </c>
      <c r="P363" s="82">
        <v>0.56499999999999995</v>
      </c>
      <c r="Q363" s="1">
        <f>SUM(AK363:AN363)</f>
        <v>0.01</v>
      </c>
      <c r="R363" s="81" t="s">
        <v>292</v>
      </c>
      <c r="S363" s="1">
        <v>2</v>
      </c>
      <c r="T363" s="1" t="s">
        <v>120</v>
      </c>
      <c r="U363" s="1" t="s">
        <v>658</v>
      </c>
      <c r="V363" s="1" t="s">
        <v>655</v>
      </c>
      <c r="W363" s="1">
        <v>47</v>
      </c>
      <c r="X363" s="1" t="s">
        <v>1728</v>
      </c>
      <c r="Y363" s="1" t="s">
        <v>644</v>
      </c>
      <c r="Z363" s="1">
        <v>1.0999999999999999E-2</v>
      </c>
      <c r="AA363" s="1">
        <v>2E-3</v>
      </c>
      <c r="AB363" s="1">
        <v>1E-3</v>
      </c>
      <c r="AC363" s="1">
        <v>2E-3</v>
      </c>
      <c r="AD363" s="1">
        <v>4.0000000000000001E-3</v>
      </c>
      <c r="AE363" s="1">
        <v>1E-3</v>
      </c>
      <c r="AF363" s="1">
        <v>2E-3</v>
      </c>
      <c r="AG363" s="1">
        <v>0</v>
      </c>
      <c r="AH363" s="1">
        <v>4.0000000000000001E-3</v>
      </c>
      <c r="AI363" s="1">
        <v>1E-3</v>
      </c>
      <c r="AJ363" s="1">
        <v>2E-3</v>
      </c>
      <c r="AK363" s="1">
        <v>1E-3</v>
      </c>
      <c r="AL363" s="1">
        <v>0</v>
      </c>
      <c r="AM363" s="1">
        <v>2E-3</v>
      </c>
      <c r="AN363" s="1">
        <v>7.0000000000000001E-3</v>
      </c>
      <c r="AO363" s="1">
        <v>1E-3</v>
      </c>
      <c r="AP363" s="1">
        <v>1E-3</v>
      </c>
      <c r="AQ363" s="1">
        <v>1E-3</v>
      </c>
      <c r="AR363" s="1">
        <v>0.218</v>
      </c>
      <c r="AS363" s="1">
        <v>2E-3</v>
      </c>
      <c r="AT363" s="1">
        <v>1E-3</v>
      </c>
      <c r="AU363" s="1">
        <v>4.0000000000000001E-3</v>
      </c>
      <c r="AV363" s="1">
        <v>2E-3</v>
      </c>
      <c r="AW363" s="1">
        <v>1E-3</v>
      </c>
      <c r="AX363" s="1">
        <v>0.03</v>
      </c>
      <c r="AY363" s="1">
        <v>3.0000000000000001E-3</v>
      </c>
      <c r="AZ363" s="1">
        <v>5.0000000000000001E-3</v>
      </c>
      <c r="BA363" s="1">
        <v>4.0000000000000001E-3</v>
      </c>
      <c r="BB363" s="1">
        <v>1E-3</v>
      </c>
      <c r="BC363" s="1">
        <v>1E-3</v>
      </c>
      <c r="BD363" s="1">
        <v>4.0000000000000001E-3</v>
      </c>
      <c r="BE363" s="1">
        <v>1E-3</v>
      </c>
      <c r="BF363" s="1">
        <v>3.0000000000000001E-3</v>
      </c>
      <c r="BG363" s="1">
        <v>0</v>
      </c>
      <c r="BH363" s="1">
        <v>1E-3</v>
      </c>
      <c r="BI363" s="1">
        <v>1E-3</v>
      </c>
      <c r="BJ363" s="1">
        <v>4.0000000000000001E-3</v>
      </c>
      <c r="BK363" s="1">
        <v>1E-3</v>
      </c>
      <c r="BL363" s="1">
        <v>2E-3</v>
      </c>
      <c r="BM363" s="1">
        <v>1E-3</v>
      </c>
      <c r="BN363" s="1">
        <v>1E-3</v>
      </c>
      <c r="BO363" s="1">
        <v>1E-3</v>
      </c>
      <c r="BP363" s="1">
        <v>2.1000000000000001E-2</v>
      </c>
      <c r="BQ363" s="1">
        <v>1E-3</v>
      </c>
      <c r="BR363" s="1">
        <v>1E-3</v>
      </c>
      <c r="BS363" s="1">
        <v>1.7000000000000001E-2</v>
      </c>
      <c r="BT363" s="1">
        <v>1E-3</v>
      </c>
      <c r="BU363" s="1">
        <v>4.0000000000000001E-3</v>
      </c>
      <c r="BV363" s="1">
        <v>1E-3</v>
      </c>
      <c r="BW363" s="1">
        <v>1E-3</v>
      </c>
      <c r="BX363" s="1">
        <v>5.0000000000000001E-3</v>
      </c>
      <c r="BY363" s="1">
        <v>2E-3</v>
      </c>
      <c r="BZ363" s="1">
        <v>6.0000000000000001E-3</v>
      </c>
      <c r="CA363" s="1">
        <v>2E-3</v>
      </c>
      <c r="CB363" s="1">
        <v>1E-3</v>
      </c>
      <c r="CC363" s="1">
        <v>1E-3</v>
      </c>
      <c r="CD363" s="1">
        <v>0</v>
      </c>
      <c r="CE363" s="1">
        <v>1E-3</v>
      </c>
      <c r="CF363" s="1">
        <v>1E-3</v>
      </c>
      <c r="CG363" s="1">
        <v>1E-3</v>
      </c>
      <c r="CH363" s="1">
        <v>1E-3</v>
      </c>
      <c r="CI363" s="1">
        <v>1E-3</v>
      </c>
      <c r="CJ363" s="1">
        <v>2E-3</v>
      </c>
      <c r="CK363" s="1">
        <v>0.56499999999999995</v>
      </c>
      <c r="CL363" s="1">
        <v>2.9000000000000001E-2</v>
      </c>
      <c r="CM363" s="1">
        <v>-38.894127480000002</v>
      </c>
      <c r="CN363" s="83">
        <v>-8.201181557</v>
      </c>
    </row>
    <row r="364" spans="1:92" s="3" customFormat="1" x14ac:dyDescent="0.25">
      <c r="A364" s="72">
        <v>375</v>
      </c>
      <c r="B364" s="81" t="s">
        <v>923</v>
      </c>
      <c r="C364" s="1" t="s">
        <v>83</v>
      </c>
      <c r="D364" s="1" t="s">
        <v>79</v>
      </c>
      <c r="E364" s="1" t="s">
        <v>99</v>
      </c>
      <c r="F364" s="1" t="s">
        <v>84</v>
      </c>
      <c r="G364" s="1" t="s">
        <v>86</v>
      </c>
      <c r="H364" s="1" t="s">
        <v>85</v>
      </c>
      <c r="I364" s="1"/>
      <c r="J364" s="9" t="s">
        <v>544</v>
      </c>
      <c r="K364" s="10">
        <v>0.28537483333333302</v>
      </c>
      <c r="L364" s="1" t="s">
        <v>641</v>
      </c>
      <c r="M364" s="1" t="s">
        <v>76</v>
      </c>
      <c r="N364" s="1" t="s">
        <v>649</v>
      </c>
      <c r="O364" s="1" t="s">
        <v>19</v>
      </c>
      <c r="P364" s="82">
        <v>0.624</v>
      </c>
      <c r="Q364" s="1">
        <f>SUM(AK364:AN364)</f>
        <v>0.627</v>
      </c>
      <c r="R364" s="81" t="s">
        <v>293</v>
      </c>
      <c r="S364" s="1">
        <v>2</v>
      </c>
      <c r="T364" s="1" t="s">
        <v>78</v>
      </c>
      <c r="U364" s="1" t="s">
        <v>658</v>
      </c>
      <c r="V364" s="1" t="s">
        <v>655</v>
      </c>
      <c r="W364" s="1">
        <v>57</v>
      </c>
      <c r="X364" s="1" t="s">
        <v>1729</v>
      </c>
      <c r="Y364" s="1" t="s">
        <v>649</v>
      </c>
      <c r="Z364" s="1">
        <v>2.5000000000000001E-2</v>
      </c>
      <c r="AA364" s="1">
        <v>1E-3</v>
      </c>
      <c r="AB364" s="1">
        <v>1E-3</v>
      </c>
      <c r="AC364" s="1">
        <v>5.0000000000000001E-3</v>
      </c>
      <c r="AD364" s="1">
        <v>1E-3</v>
      </c>
      <c r="AE364" s="1">
        <v>1E-3</v>
      </c>
      <c r="AF364" s="1">
        <v>1E-3</v>
      </c>
      <c r="AG364" s="1">
        <v>0</v>
      </c>
      <c r="AH364" s="1">
        <v>8.0000000000000002E-3</v>
      </c>
      <c r="AI364" s="1">
        <v>7.0000000000000001E-3</v>
      </c>
      <c r="AJ364" s="1">
        <v>1E-3</v>
      </c>
      <c r="AK364" s="1">
        <v>1E-3</v>
      </c>
      <c r="AL364" s="1">
        <v>0</v>
      </c>
      <c r="AM364" s="1">
        <v>2E-3</v>
      </c>
      <c r="AN364" s="1">
        <v>0.624</v>
      </c>
      <c r="AO364" s="1">
        <v>0</v>
      </c>
      <c r="AP364" s="1">
        <v>0</v>
      </c>
      <c r="AQ364" s="1">
        <v>0</v>
      </c>
      <c r="AR364" s="1">
        <v>1E-3</v>
      </c>
      <c r="AS364" s="1">
        <v>1E-3</v>
      </c>
      <c r="AT364" s="1">
        <v>1E-3</v>
      </c>
      <c r="AU364" s="1">
        <v>1E-3</v>
      </c>
      <c r="AV364" s="1">
        <v>1E-3</v>
      </c>
      <c r="AW364" s="1">
        <v>1E-3</v>
      </c>
      <c r="AX364" s="1">
        <v>2E-3</v>
      </c>
      <c r="AY364" s="1">
        <v>1E-3</v>
      </c>
      <c r="AZ364" s="1">
        <v>1E-3</v>
      </c>
      <c r="BA364" s="1">
        <v>2E-3</v>
      </c>
      <c r="BB364" s="1">
        <v>0</v>
      </c>
      <c r="BC364" s="1">
        <v>1E-3</v>
      </c>
      <c r="BD364" s="1">
        <v>3.0000000000000001E-3</v>
      </c>
      <c r="BE364" s="1">
        <v>0</v>
      </c>
      <c r="BF364" s="1">
        <v>0.25600000000000001</v>
      </c>
      <c r="BG364" s="1">
        <v>0</v>
      </c>
      <c r="BH364" s="1">
        <v>3.0000000000000001E-3</v>
      </c>
      <c r="BI364" s="1">
        <v>0</v>
      </c>
      <c r="BJ364" s="1">
        <v>0</v>
      </c>
      <c r="BK364" s="1">
        <v>0</v>
      </c>
      <c r="BL364" s="1">
        <v>1E-3</v>
      </c>
      <c r="BM364" s="1">
        <v>1E-3</v>
      </c>
      <c r="BN364" s="1">
        <v>0</v>
      </c>
      <c r="BO364" s="1">
        <v>0</v>
      </c>
      <c r="BP364" s="1">
        <v>0</v>
      </c>
      <c r="BQ364" s="1">
        <v>1E-3</v>
      </c>
      <c r="BR364" s="1">
        <v>1E-3</v>
      </c>
      <c r="BS364" s="1">
        <v>1E-3</v>
      </c>
      <c r="BT364" s="1">
        <v>0</v>
      </c>
      <c r="BU364" s="1">
        <v>1E-3</v>
      </c>
      <c r="BV364" s="1">
        <v>0</v>
      </c>
      <c r="BW364" s="1">
        <v>1E-3</v>
      </c>
      <c r="BX364" s="1">
        <v>6.0000000000000001E-3</v>
      </c>
      <c r="BY364" s="1">
        <v>2E-3</v>
      </c>
      <c r="BZ364" s="1">
        <v>2E-3</v>
      </c>
      <c r="CA364" s="1">
        <v>1E-3</v>
      </c>
      <c r="CB364" s="1">
        <v>0</v>
      </c>
      <c r="CC364" s="1">
        <v>1E-3</v>
      </c>
      <c r="CD364" s="1">
        <v>0</v>
      </c>
      <c r="CE364" s="1">
        <v>1E-3</v>
      </c>
      <c r="CF364" s="1">
        <v>1E-3</v>
      </c>
      <c r="CG364" s="1">
        <v>3.0000000000000001E-3</v>
      </c>
      <c r="CH364" s="1">
        <v>1E-3</v>
      </c>
      <c r="CI364" s="1">
        <v>1E-3</v>
      </c>
      <c r="CJ364" s="1">
        <v>1E-3</v>
      </c>
      <c r="CK364" s="1">
        <v>1.4E-2</v>
      </c>
      <c r="CL364" s="1">
        <v>5.0000000000000001E-3</v>
      </c>
      <c r="CM364" s="1">
        <v>3.006167536</v>
      </c>
      <c r="CN364" s="83">
        <v>-25.946964449999999</v>
      </c>
    </row>
    <row r="365" spans="1:92" s="3" customFormat="1" x14ac:dyDescent="0.25">
      <c r="A365" s="72">
        <v>376</v>
      </c>
      <c r="B365" s="81" t="s">
        <v>1237</v>
      </c>
      <c r="C365" s="1" t="s">
        <v>83</v>
      </c>
      <c r="D365" s="1" t="s">
        <v>79</v>
      </c>
      <c r="E365" s="1" t="s">
        <v>99</v>
      </c>
      <c r="F365" s="1" t="s">
        <v>84</v>
      </c>
      <c r="G365" s="1" t="s">
        <v>86</v>
      </c>
      <c r="H365" s="1" t="s">
        <v>85</v>
      </c>
      <c r="I365" s="1"/>
      <c r="J365" s="9" t="s">
        <v>544</v>
      </c>
      <c r="K365" s="10">
        <v>0.60889566666666595</v>
      </c>
      <c r="L365" s="1" t="s">
        <v>641</v>
      </c>
      <c r="M365" s="1" t="s">
        <v>76</v>
      </c>
      <c r="N365" s="1" t="s">
        <v>649</v>
      </c>
      <c r="O365" s="1" t="s">
        <v>18</v>
      </c>
      <c r="P365" s="82">
        <v>0.66100000000000003</v>
      </c>
      <c r="Q365" s="1">
        <f>SUM(AK365:AN365)</f>
        <v>0.747</v>
      </c>
      <c r="R365" s="81" t="s">
        <v>110</v>
      </c>
      <c r="S365" s="1">
        <v>3</v>
      </c>
      <c r="T365" s="1" t="s">
        <v>78</v>
      </c>
      <c r="U365" s="1" t="s">
        <v>659</v>
      </c>
      <c r="V365" s="1" t="s">
        <v>655</v>
      </c>
      <c r="W365" s="1">
        <v>55</v>
      </c>
      <c r="X365" s="1" t="s">
        <v>289</v>
      </c>
      <c r="Y365" s="1" t="s">
        <v>649</v>
      </c>
      <c r="Z365" s="1">
        <v>1E-3</v>
      </c>
      <c r="AA365" s="1">
        <v>5.0000000000000001E-3</v>
      </c>
      <c r="AB365" s="1">
        <v>2E-3</v>
      </c>
      <c r="AC365" s="1">
        <v>7.0000000000000001E-3</v>
      </c>
      <c r="AD365" s="1">
        <v>2E-3</v>
      </c>
      <c r="AE365" s="1">
        <v>1E-3</v>
      </c>
      <c r="AF365" s="1">
        <v>2E-3</v>
      </c>
      <c r="AG365" s="1">
        <v>0</v>
      </c>
      <c r="AH365" s="1">
        <v>6.0000000000000001E-3</v>
      </c>
      <c r="AI365" s="1">
        <v>1E-3</v>
      </c>
      <c r="AJ365" s="1">
        <v>1E-3</v>
      </c>
      <c r="AK365" s="1">
        <v>5.0000000000000001E-3</v>
      </c>
      <c r="AL365" s="1">
        <v>0.08</v>
      </c>
      <c r="AM365" s="1">
        <v>0.66100000000000003</v>
      </c>
      <c r="AN365" s="1">
        <v>1E-3</v>
      </c>
      <c r="AO365" s="1">
        <v>2E-3</v>
      </c>
      <c r="AP365" s="1">
        <v>2E-3</v>
      </c>
      <c r="AQ365" s="1">
        <v>2E-3</v>
      </c>
      <c r="AR365" s="1">
        <v>1E-3</v>
      </c>
      <c r="AS365" s="1">
        <v>5.0000000000000001E-3</v>
      </c>
      <c r="AT365" s="1">
        <v>4.0000000000000001E-3</v>
      </c>
      <c r="AU365" s="1">
        <v>2E-3</v>
      </c>
      <c r="AV365" s="1">
        <v>1E-3</v>
      </c>
      <c r="AW365" s="1">
        <v>7.0000000000000001E-3</v>
      </c>
      <c r="AX365" s="1">
        <v>4.0000000000000001E-3</v>
      </c>
      <c r="AY365" s="1">
        <v>1.2999999999999999E-2</v>
      </c>
      <c r="AZ365" s="1">
        <v>3.0000000000000001E-3</v>
      </c>
      <c r="BA365" s="1">
        <v>6.0000000000000001E-3</v>
      </c>
      <c r="BB365" s="1">
        <v>1E-3</v>
      </c>
      <c r="BC365" s="1">
        <v>2E-3</v>
      </c>
      <c r="BD365" s="1">
        <v>6.0000000000000001E-3</v>
      </c>
      <c r="BE365" s="1">
        <v>1E-3</v>
      </c>
      <c r="BF365" s="1">
        <v>1E-3</v>
      </c>
      <c r="BG365" s="1">
        <v>2E-3</v>
      </c>
      <c r="BH365" s="1">
        <v>2E-3</v>
      </c>
      <c r="BI365" s="1">
        <v>1E-3</v>
      </c>
      <c r="BJ365" s="1">
        <v>1E-3</v>
      </c>
      <c r="BK365" s="1">
        <v>2E-3</v>
      </c>
      <c r="BL365" s="1">
        <v>6.5000000000000002E-2</v>
      </c>
      <c r="BM365" s="1">
        <v>6.0000000000000001E-3</v>
      </c>
      <c r="BN365" s="1">
        <v>3.0000000000000001E-3</v>
      </c>
      <c r="BO365" s="1">
        <v>1E-3</v>
      </c>
      <c r="BP365" s="1">
        <v>1E-3</v>
      </c>
      <c r="BQ365" s="1">
        <v>7.0000000000000001E-3</v>
      </c>
      <c r="BR365" s="1">
        <v>4.0000000000000001E-3</v>
      </c>
      <c r="BS365" s="1">
        <v>1E-3</v>
      </c>
      <c r="BT365" s="1">
        <v>1E-3</v>
      </c>
      <c r="BU365" s="1">
        <v>1E-3</v>
      </c>
      <c r="BV365" s="1">
        <v>1E-3</v>
      </c>
      <c r="BW365" s="1">
        <v>3.0000000000000001E-3</v>
      </c>
      <c r="BX365" s="1">
        <v>5.0000000000000001E-3</v>
      </c>
      <c r="BY365" s="1">
        <v>8.0000000000000002E-3</v>
      </c>
      <c r="BZ365" s="1">
        <v>8.0000000000000002E-3</v>
      </c>
      <c r="CA365" s="1">
        <v>2E-3</v>
      </c>
      <c r="CB365" s="1">
        <v>0</v>
      </c>
      <c r="CC365" s="1">
        <v>2E-3</v>
      </c>
      <c r="CD365" s="1">
        <v>0</v>
      </c>
      <c r="CE365" s="1">
        <v>3.0000000000000001E-3</v>
      </c>
      <c r="CF365" s="1">
        <v>2E-3</v>
      </c>
      <c r="CG365" s="1">
        <v>5.0000000000000001E-3</v>
      </c>
      <c r="CH365" s="1">
        <v>4.0000000000000001E-3</v>
      </c>
      <c r="CI365" s="1">
        <v>3.0000000000000001E-3</v>
      </c>
      <c r="CJ365" s="1">
        <v>6.0000000000000001E-3</v>
      </c>
      <c r="CK365" s="1">
        <v>0.01</v>
      </c>
      <c r="CL365" s="1">
        <v>5.0000000000000001E-3</v>
      </c>
      <c r="CM365" s="1">
        <v>-10.805335700000001</v>
      </c>
      <c r="CN365" s="83">
        <v>69.582515549999997</v>
      </c>
    </row>
    <row r="366" spans="1:92" s="3" customFormat="1" x14ac:dyDescent="0.25">
      <c r="A366" s="72">
        <v>377</v>
      </c>
      <c r="B366" s="81" t="s">
        <v>1412</v>
      </c>
      <c r="C366" s="1" t="s">
        <v>83</v>
      </c>
      <c r="D366" s="1" t="s">
        <v>79</v>
      </c>
      <c r="E366" s="1" t="s">
        <v>74</v>
      </c>
      <c r="F366" s="1" t="s">
        <v>294</v>
      </c>
      <c r="G366" s="1" t="s">
        <v>76</v>
      </c>
      <c r="H366" s="1" t="s">
        <v>294</v>
      </c>
      <c r="I366" s="1"/>
      <c r="J366" s="9" t="s">
        <v>506</v>
      </c>
      <c r="K366" s="10">
        <v>0.33020749999999999</v>
      </c>
      <c r="L366" s="1" t="s">
        <v>641</v>
      </c>
      <c r="M366" s="1" t="s">
        <v>76</v>
      </c>
      <c r="N366" s="1" t="s">
        <v>644</v>
      </c>
      <c r="O366" s="1" t="s">
        <v>69</v>
      </c>
      <c r="P366" s="82">
        <v>0.86099999999999999</v>
      </c>
      <c r="Q366" s="1" t="s">
        <v>76</v>
      </c>
      <c r="R366" s="81" t="s">
        <v>169</v>
      </c>
      <c r="S366" s="1" t="s">
        <v>76</v>
      </c>
      <c r="T366" s="1" t="s">
        <v>120</v>
      </c>
      <c r="U366" s="1" t="s">
        <v>658</v>
      </c>
      <c r="V366" s="1" t="s">
        <v>655</v>
      </c>
      <c r="W366" s="1">
        <v>52</v>
      </c>
      <c r="X366" s="1" t="s">
        <v>76</v>
      </c>
      <c r="Y366" s="1" t="s">
        <v>644</v>
      </c>
      <c r="Z366" s="1">
        <v>2E-3</v>
      </c>
      <c r="AA366" s="1">
        <v>1E-3</v>
      </c>
      <c r="AB366" s="1">
        <v>1E-3</v>
      </c>
      <c r="AC366" s="1">
        <v>1E-3</v>
      </c>
      <c r="AD366" s="1">
        <v>3.0000000000000001E-3</v>
      </c>
      <c r="AE366" s="1">
        <v>0</v>
      </c>
      <c r="AF366" s="1">
        <v>1E-3</v>
      </c>
      <c r="AG366" s="1">
        <v>0</v>
      </c>
      <c r="AH366" s="1">
        <v>2E-3</v>
      </c>
      <c r="AI366" s="1">
        <v>0</v>
      </c>
      <c r="AJ366" s="1">
        <v>0</v>
      </c>
      <c r="AK366" s="1">
        <v>1E-3</v>
      </c>
      <c r="AL366" s="1">
        <v>0</v>
      </c>
      <c r="AM366" s="1">
        <v>0</v>
      </c>
      <c r="AN366" s="1">
        <v>1E-3</v>
      </c>
      <c r="AO366" s="1">
        <v>0</v>
      </c>
      <c r="AP366" s="1">
        <v>0</v>
      </c>
      <c r="AQ366" s="1">
        <v>0</v>
      </c>
      <c r="AR366" s="1">
        <v>1E-3</v>
      </c>
      <c r="AS366" s="1">
        <v>1E-3</v>
      </c>
      <c r="AT366" s="1">
        <v>1E-3</v>
      </c>
      <c r="AU366" s="1">
        <v>1E-3</v>
      </c>
      <c r="AV366" s="1">
        <v>1E-3</v>
      </c>
      <c r="AW366" s="1">
        <v>0</v>
      </c>
      <c r="AX366" s="1">
        <v>4.0000000000000001E-3</v>
      </c>
      <c r="AY366" s="1">
        <v>1E-3</v>
      </c>
      <c r="AZ366" s="1">
        <v>2E-3</v>
      </c>
      <c r="BA366" s="1">
        <v>2E-3</v>
      </c>
      <c r="BB366" s="1">
        <v>0</v>
      </c>
      <c r="BC366" s="1">
        <v>0</v>
      </c>
      <c r="BD366" s="1">
        <v>3.0000000000000001E-3</v>
      </c>
      <c r="BE366" s="1">
        <v>0</v>
      </c>
      <c r="BF366" s="1">
        <v>1E-3</v>
      </c>
      <c r="BG366" s="1">
        <v>0</v>
      </c>
      <c r="BH366" s="1">
        <v>0</v>
      </c>
      <c r="BI366" s="1">
        <v>0</v>
      </c>
      <c r="BJ366" s="1">
        <v>7.0000000000000007E-2</v>
      </c>
      <c r="BK366" s="1">
        <v>0</v>
      </c>
      <c r="BL366" s="1">
        <v>0</v>
      </c>
      <c r="BM366" s="1">
        <v>0</v>
      </c>
      <c r="BN366" s="1">
        <v>1E-3</v>
      </c>
      <c r="BO366" s="1">
        <v>0</v>
      </c>
      <c r="BP366" s="1">
        <v>3.0000000000000001E-3</v>
      </c>
      <c r="BQ366" s="1">
        <v>1E-3</v>
      </c>
      <c r="BR366" s="1">
        <v>0</v>
      </c>
      <c r="BS366" s="1">
        <v>0</v>
      </c>
      <c r="BT366" s="1">
        <v>0</v>
      </c>
      <c r="BU366" s="1">
        <v>1.2E-2</v>
      </c>
      <c r="BV366" s="1">
        <v>0</v>
      </c>
      <c r="BW366" s="1">
        <v>1E-3</v>
      </c>
      <c r="BX366" s="1">
        <v>1E-3</v>
      </c>
      <c r="BY366" s="1">
        <v>1E-3</v>
      </c>
      <c r="BZ366" s="1">
        <v>3.0000000000000001E-3</v>
      </c>
      <c r="CA366" s="1">
        <v>0</v>
      </c>
      <c r="CB366" s="1">
        <v>0</v>
      </c>
      <c r="CC366" s="1">
        <v>1E-3</v>
      </c>
      <c r="CD366" s="1">
        <v>0</v>
      </c>
      <c r="CE366" s="1">
        <v>0</v>
      </c>
      <c r="CF366" s="1">
        <v>2E-3</v>
      </c>
      <c r="CG366" s="1">
        <v>1E-3</v>
      </c>
      <c r="CH366" s="1">
        <v>1E-3</v>
      </c>
      <c r="CI366" s="1">
        <v>0</v>
      </c>
      <c r="CJ366" s="1">
        <v>1E-3</v>
      </c>
      <c r="CK366" s="1">
        <v>4.0000000000000001E-3</v>
      </c>
      <c r="CL366" s="1">
        <v>0.86099999999999999</v>
      </c>
      <c r="CM366" s="1">
        <v>-59.07807656</v>
      </c>
      <c r="CN366" s="83">
        <v>-17.334237399999999</v>
      </c>
    </row>
    <row r="367" spans="1:92" s="3" customFormat="1" hidden="1" x14ac:dyDescent="0.25">
      <c r="A367" s="72">
        <v>378</v>
      </c>
      <c r="B367" s="81" t="s">
        <v>1389</v>
      </c>
      <c r="C367" s="1" t="s">
        <v>83</v>
      </c>
      <c r="D367" s="1" t="s">
        <v>79</v>
      </c>
      <c r="E367" s="1" t="s">
        <v>74</v>
      </c>
      <c r="F367" s="1" t="s">
        <v>663</v>
      </c>
      <c r="G367" s="1" t="s">
        <v>76</v>
      </c>
      <c r="H367" s="1" t="s">
        <v>537</v>
      </c>
      <c r="I367" s="1"/>
      <c r="J367" s="9" t="s">
        <v>544</v>
      </c>
      <c r="K367" s="10">
        <v>0.41947099999999998</v>
      </c>
      <c r="L367" s="1" t="s">
        <v>76</v>
      </c>
      <c r="M367" s="1" t="s">
        <v>506</v>
      </c>
      <c r="N367" s="1" t="s">
        <v>645</v>
      </c>
      <c r="O367" s="1" t="s">
        <v>22</v>
      </c>
      <c r="P367" s="82">
        <v>0.999</v>
      </c>
      <c r="Q367" s="1" t="s">
        <v>76</v>
      </c>
      <c r="R367" s="81" t="s">
        <v>157</v>
      </c>
      <c r="S367" s="1">
        <v>4</v>
      </c>
      <c r="T367" s="1" t="s">
        <v>78</v>
      </c>
      <c r="U367" s="1" t="s">
        <v>659</v>
      </c>
      <c r="V367" s="1" t="s">
        <v>655</v>
      </c>
      <c r="W367" s="1">
        <v>16</v>
      </c>
      <c r="X367" s="1" t="s">
        <v>76</v>
      </c>
      <c r="Y367" s="1" t="s">
        <v>645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0.999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-82.236236259999998</v>
      </c>
      <c r="CN367" s="83">
        <v>-30.43920602</v>
      </c>
    </row>
    <row r="368" spans="1:92" s="3" customFormat="1" hidden="1" x14ac:dyDescent="0.25">
      <c r="A368" s="72">
        <v>379</v>
      </c>
      <c r="B368" s="81" t="s">
        <v>1391</v>
      </c>
      <c r="C368" s="1" t="s">
        <v>83</v>
      </c>
      <c r="D368" s="1" t="s">
        <v>79</v>
      </c>
      <c r="E368" s="1" t="s">
        <v>74</v>
      </c>
      <c r="F368" s="1" t="s">
        <v>663</v>
      </c>
      <c r="G368" s="1" t="s">
        <v>76</v>
      </c>
      <c r="H368" s="1" t="s">
        <v>537</v>
      </c>
      <c r="I368" s="1"/>
      <c r="J368" s="9" t="s">
        <v>544</v>
      </c>
      <c r="K368" s="10">
        <v>0.41201949999999998</v>
      </c>
      <c r="L368" s="1" t="s">
        <v>76</v>
      </c>
      <c r="M368" s="1" t="s">
        <v>506</v>
      </c>
      <c r="N368" s="1" t="s">
        <v>645</v>
      </c>
      <c r="O368" s="1" t="s">
        <v>22</v>
      </c>
      <c r="P368" s="82">
        <v>0.998</v>
      </c>
      <c r="Q368" s="1" t="s">
        <v>76</v>
      </c>
      <c r="R368" s="81" t="s">
        <v>171</v>
      </c>
      <c r="S368" s="1">
        <v>2</v>
      </c>
      <c r="T368" s="1" t="s">
        <v>120</v>
      </c>
      <c r="U368" s="1" t="s">
        <v>659</v>
      </c>
      <c r="V368" s="1" t="s">
        <v>655</v>
      </c>
      <c r="W368" s="1">
        <v>71</v>
      </c>
      <c r="X368" s="1"/>
      <c r="Y368" s="1" t="s">
        <v>645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0.998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-80.970775369999998</v>
      </c>
      <c r="CN368" s="83">
        <v>-30.432015100000001</v>
      </c>
    </row>
    <row r="369" spans="1:92" s="3" customFormat="1" x14ac:dyDescent="0.25">
      <c r="A369" s="72">
        <v>380</v>
      </c>
      <c r="B369" s="81" t="s">
        <v>1143</v>
      </c>
      <c r="C369" s="1" t="s">
        <v>83</v>
      </c>
      <c r="D369" s="1" t="s">
        <v>79</v>
      </c>
      <c r="E369" s="1" t="s">
        <v>99</v>
      </c>
      <c r="F369" s="1" t="s">
        <v>84</v>
      </c>
      <c r="G369" s="1" t="s">
        <v>86</v>
      </c>
      <c r="H369" s="1" t="s">
        <v>85</v>
      </c>
      <c r="I369" s="1"/>
      <c r="J369" s="9" t="s">
        <v>544</v>
      </c>
      <c r="K369" s="10">
        <v>0.53317516666666698</v>
      </c>
      <c r="L369" s="1" t="s">
        <v>76</v>
      </c>
      <c r="M369" s="1" t="s">
        <v>506</v>
      </c>
      <c r="N369" s="1" t="s">
        <v>645</v>
      </c>
      <c r="O369" s="1" t="s">
        <v>17</v>
      </c>
      <c r="P369" s="82">
        <v>0.997</v>
      </c>
      <c r="Q369" s="1" t="s">
        <v>76</v>
      </c>
      <c r="R369" s="81" t="s">
        <v>95</v>
      </c>
      <c r="S369" s="1" t="s">
        <v>123</v>
      </c>
      <c r="T369" s="1" t="s">
        <v>78</v>
      </c>
      <c r="U369" s="1" t="s">
        <v>660</v>
      </c>
      <c r="V369" s="1" t="s">
        <v>655</v>
      </c>
      <c r="W369" s="1">
        <v>68</v>
      </c>
      <c r="X369" s="1" t="s">
        <v>1730</v>
      </c>
      <c r="Y369" s="1" t="s">
        <v>645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0.997</v>
      </c>
      <c r="AM369" s="1">
        <v>1E-3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1E-3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17.09313002</v>
      </c>
      <c r="CN369" s="83">
        <v>47.59367829</v>
      </c>
    </row>
    <row r="370" spans="1:92" s="3" customFormat="1" x14ac:dyDescent="0.25">
      <c r="A370" s="72">
        <v>381</v>
      </c>
      <c r="B370" s="81" t="s">
        <v>1195</v>
      </c>
      <c r="C370" s="1" t="s">
        <v>83</v>
      </c>
      <c r="D370" s="1" t="s">
        <v>79</v>
      </c>
      <c r="E370" s="1" t="s">
        <v>99</v>
      </c>
      <c r="F370" s="1" t="s">
        <v>84</v>
      </c>
      <c r="G370" s="1" t="s">
        <v>86</v>
      </c>
      <c r="H370" s="1" t="s">
        <v>85</v>
      </c>
      <c r="I370" s="1"/>
      <c r="J370" s="9" t="s">
        <v>544</v>
      </c>
      <c r="K370" s="10">
        <v>0.38443066666666698</v>
      </c>
      <c r="L370" s="1" t="s">
        <v>641</v>
      </c>
      <c r="M370" s="1" t="s">
        <v>76</v>
      </c>
      <c r="N370" s="1" t="s">
        <v>649</v>
      </c>
      <c r="O370" s="1" t="s">
        <v>19</v>
      </c>
      <c r="P370" s="82">
        <v>0.21199999999999999</v>
      </c>
      <c r="Q370" s="1">
        <f>SUM(AK370:AN370)</f>
        <v>0.30599999999999999</v>
      </c>
      <c r="R370" s="81" t="s">
        <v>110</v>
      </c>
      <c r="S370" s="1">
        <v>3</v>
      </c>
      <c r="T370" s="1" t="s">
        <v>120</v>
      </c>
      <c r="U370" s="1" t="s">
        <v>659</v>
      </c>
      <c r="V370" s="1" t="s">
        <v>655</v>
      </c>
      <c r="W370" s="1">
        <v>55</v>
      </c>
      <c r="X370" s="1" t="s">
        <v>295</v>
      </c>
      <c r="Y370" s="1" t="s">
        <v>649</v>
      </c>
      <c r="Z370" s="1">
        <v>1.2E-2</v>
      </c>
      <c r="AA370" s="1">
        <v>5.0000000000000001E-3</v>
      </c>
      <c r="AB370" s="1">
        <v>5.0000000000000001E-3</v>
      </c>
      <c r="AC370" s="1">
        <v>8.9999999999999993E-3</v>
      </c>
      <c r="AD370" s="1">
        <v>8.9999999999999993E-3</v>
      </c>
      <c r="AE370" s="1">
        <v>4.0000000000000001E-3</v>
      </c>
      <c r="AF370" s="1">
        <v>6.0000000000000001E-3</v>
      </c>
      <c r="AG370" s="1">
        <v>1E-3</v>
      </c>
      <c r="AH370" s="1">
        <v>2.7E-2</v>
      </c>
      <c r="AI370" s="1">
        <v>7.0000000000000001E-3</v>
      </c>
      <c r="AJ370" s="1">
        <v>6.0000000000000001E-3</v>
      </c>
      <c r="AK370" s="1">
        <v>1.4999999999999999E-2</v>
      </c>
      <c r="AL370" s="1">
        <v>2.1999999999999999E-2</v>
      </c>
      <c r="AM370" s="1">
        <v>5.7000000000000002E-2</v>
      </c>
      <c r="AN370" s="1">
        <v>0.21199999999999999</v>
      </c>
      <c r="AO370" s="1">
        <v>3.0000000000000001E-3</v>
      </c>
      <c r="AP370" s="1">
        <v>3.0000000000000001E-3</v>
      </c>
      <c r="AQ370" s="1">
        <v>4.0000000000000001E-3</v>
      </c>
      <c r="AR370" s="1">
        <v>2.7E-2</v>
      </c>
      <c r="AS370" s="1">
        <v>7.0000000000000001E-3</v>
      </c>
      <c r="AT370" s="1">
        <v>5.0000000000000001E-3</v>
      </c>
      <c r="AU370" s="1">
        <v>8.9999999999999993E-3</v>
      </c>
      <c r="AV370" s="1">
        <v>8.9999999999999993E-3</v>
      </c>
      <c r="AW370" s="1">
        <v>0.01</v>
      </c>
      <c r="AX370" s="1">
        <v>4.3999999999999997E-2</v>
      </c>
      <c r="AY370" s="1">
        <v>1.6E-2</v>
      </c>
      <c r="AZ370" s="1">
        <v>1.4E-2</v>
      </c>
      <c r="BA370" s="1">
        <v>1.7000000000000001E-2</v>
      </c>
      <c r="BB370" s="1">
        <v>4.0000000000000001E-3</v>
      </c>
      <c r="BC370" s="1">
        <v>4.0000000000000001E-3</v>
      </c>
      <c r="BD370" s="1">
        <v>1.9E-2</v>
      </c>
      <c r="BE370" s="1">
        <v>3.0000000000000001E-3</v>
      </c>
      <c r="BF370" s="1">
        <v>4.0000000000000001E-3</v>
      </c>
      <c r="BG370" s="1">
        <v>2E-3</v>
      </c>
      <c r="BH370" s="1">
        <v>3.0000000000000001E-3</v>
      </c>
      <c r="BI370" s="1">
        <v>2E-3</v>
      </c>
      <c r="BJ370" s="1">
        <v>8.0000000000000002E-3</v>
      </c>
      <c r="BK370" s="1">
        <v>2E-3</v>
      </c>
      <c r="BL370" s="1">
        <v>2.8000000000000001E-2</v>
      </c>
      <c r="BM370" s="1">
        <v>5.0000000000000001E-3</v>
      </c>
      <c r="BN370" s="1">
        <v>4.0000000000000001E-3</v>
      </c>
      <c r="BO370" s="1">
        <v>3.0000000000000001E-3</v>
      </c>
      <c r="BP370" s="1">
        <v>5.0000000000000001E-3</v>
      </c>
      <c r="BQ370" s="1">
        <v>1.2999999999999999E-2</v>
      </c>
      <c r="BR370" s="1">
        <v>1.0999999999999999E-2</v>
      </c>
      <c r="BS370" s="1">
        <v>7.0000000000000001E-3</v>
      </c>
      <c r="BT370" s="1">
        <v>3.0000000000000001E-3</v>
      </c>
      <c r="BU370" s="1">
        <v>1.6E-2</v>
      </c>
      <c r="BV370" s="1">
        <v>3.0000000000000001E-3</v>
      </c>
      <c r="BW370" s="1">
        <v>6.0000000000000001E-3</v>
      </c>
      <c r="BX370" s="1">
        <v>1.0999999999999999E-2</v>
      </c>
      <c r="BY370" s="1">
        <v>1.2999999999999999E-2</v>
      </c>
      <c r="BZ370" s="1">
        <v>3.2000000000000001E-2</v>
      </c>
      <c r="CA370" s="1">
        <v>0.01</v>
      </c>
      <c r="CB370" s="1">
        <v>2E-3</v>
      </c>
      <c r="CC370" s="1">
        <v>5.0000000000000001E-3</v>
      </c>
      <c r="CD370" s="1">
        <v>1E-3</v>
      </c>
      <c r="CE370" s="1">
        <v>6.0000000000000001E-3</v>
      </c>
      <c r="CF370" s="1">
        <v>4.0000000000000001E-3</v>
      </c>
      <c r="CG370" s="1">
        <v>2.1000000000000001E-2</v>
      </c>
      <c r="CH370" s="1">
        <v>6.0000000000000001E-3</v>
      </c>
      <c r="CI370" s="1">
        <v>5.0000000000000001E-3</v>
      </c>
      <c r="CJ370" s="1">
        <v>0.01</v>
      </c>
      <c r="CK370" s="1">
        <v>6.7000000000000004E-2</v>
      </c>
      <c r="CL370" s="1">
        <v>8.5000000000000006E-2</v>
      </c>
      <c r="CM370" s="1">
        <v>-28.69902171</v>
      </c>
      <c r="CN370" s="83">
        <v>46.940075460000003</v>
      </c>
    </row>
    <row r="371" spans="1:92" s="3" customFormat="1" x14ac:dyDescent="0.25">
      <c r="A371" s="72">
        <v>528</v>
      </c>
      <c r="B371" s="81" t="s">
        <v>1494</v>
      </c>
      <c r="C371" s="1" t="s">
        <v>83</v>
      </c>
      <c r="D371" s="1" t="s">
        <v>73</v>
      </c>
      <c r="E371" s="1" t="s">
        <v>74</v>
      </c>
      <c r="F371" s="1" t="s">
        <v>246</v>
      </c>
      <c r="G371" s="1" t="s">
        <v>219</v>
      </c>
      <c r="H371" s="1" t="s">
        <v>527</v>
      </c>
      <c r="I371" s="1"/>
      <c r="J371" s="9" t="s">
        <v>544</v>
      </c>
      <c r="K371" s="10">
        <v>0.374225166666667</v>
      </c>
      <c r="L371" s="1" t="s">
        <v>1718</v>
      </c>
      <c r="M371" s="1" t="s">
        <v>506</v>
      </c>
      <c r="N371" s="1" t="s">
        <v>648</v>
      </c>
      <c r="O371" s="1" t="s">
        <v>69</v>
      </c>
      <c r="P371" s="82">
        <v>0.97099999999999997</v>
      </c>
      <c r="Q371" s="1" t="s">
        <v>76</v>
      </c>
      <c r="R371" s="81" t="s">
        <v>169</v>
      </c>
      <c r="S371" s="1">
        <v>3</v>
      </c>
      <c r="T371" s="1" t="s">
        <v>120</v>
      </c>
      <c r="U371" s="1" t="s">
        <v>658</v>
      </c>
      <c r="V371" s="1" t="s">
        <v>654</v>
      </c>
      <c r="W371" s="1">
        <v>34</v>
      </c>
      <c r="X371" s="1" t="s">
        <v>76</v>
      </c>
      <c r="Y371" s="1" t="s">
        <v>648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2.7E-2</v>
      </c>
      <c r="CL371" s="1">
        <v>0.97099999999999997</v>
      </c>
      <c r="CM371" s="1">
        <v>3.3716212329999999</v>
      </c>
      <c r="CN371" s="83">
        <v>-72.143738619999993</v>
      </c>
    </row>
    <row r="372" spans="1:92" s="3" customFormat="1" x14ac:dyDescent="0.25">
      <c r="A372" s="72">
        <v>383</v>
      </c>
      <c r="B372" s="81" t="s">
        <v>1078</v>
      </c>
      <c r="C372" s="1" t="s">
        <v>83</v>
      </c>
      <c r="D372" s="1" t="s">
        <v>79</v>
      </c>
      <c r="E372" s="1" t="s">
        <v>99</v>
      </c>
      <c r="F372" s="1" t="s">
        <v>84</v>
      </c>
      <c r="G372" s="1" t="s">
        <v>505</v>
      </c>
      <c r="H372" s="1" t="s">
        <v>85</v>
      </c>
      <c r="I372" s="1"/>
      <c r="J372" s="9" t="s">
        <v>544</v>
      </c>
      <c r="K372" s="10">
        <v>0.58441399999999899</v>
      </c>
      <c r="L372" s="1" t="s">
        <v>545</v>
      </c>
      <c r="M372" s="1" t="s">
        <v>76</v>
      </c>
      <c r="N372" s="1" t="s">
        <v>644</v>
      </c>
      <c r="O372" s="1" t="s">
        <v>55</v>
      </c>
      <c r="P372" s="82">
        <v>0.81200000000000006</v>
      </c>
      <c r="Q372" s="1">
        <f>SUM(AK372:AN372)</f>
        <v>0.16700000000000001</v>
      </c>
      <c r="R372" s="81" t="s">
        <v>87</v>
      </c>
      <c r="S372" s="1" t="s">
        <v>123</v>
      </c>
      <c r="T372" s="1" t="s">
        <v>78</v>
      </c>
      <c r="U372" s="1" t="s">
        <v>658</v>
      </c>
      <c r="V372" s="1" t="s">
        <v>655</v>
      </c>
      <c r="W372" s="1">
        <v>55</v>
      </c>
      <c r="X372" s="1" t="s">
        <v>286</v>
      </c>
      <c r="Y372" s="1" t="s">
        <v>644</v>
      </c>
      <c r="Z372" s="1">
        <v>0</v>
      </c>
      <c r="AA372" s="1">
        <v>1E-3</v>
      </c>
      <c r="AB372" s="1">
        <v>0</v>
      </c>
      <c r="AC372" s="1">
        <v>1E-3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1E-3</v>
      </c>
      <c r="AL372" s="1">
        <v>0.16300000000000001</v>
      </c>
      <c r="AM372" s="1">
        <v>3.0000000000000001E-3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1E-3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3.0000000000000001E-3</v>
      </c>
      <c r="BM372" s="1">
        <v>0</v>
      </c>
      <c r="BN372" s="1">
        <v>0</v>
      </c>
      <c r="BO372" s="1">
        <v>0</v>
      </c>
      <c r="BP372" s="1">
        <v>0</v>
      </c>
      <c r="BQ372" s="1">
        <v>3.0000000000000001E-3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0.81200000000000006</v>
      </c>
      <c r="BY372" s="1">
        <v>0</v>
      </c>
      <c r="BZ372" s="1">
        <v>1E-3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1E-3</v>
      </c>
      <c r="CH372" s="1">
        <v>0</v>
      </c>
      <c r="CI372" s="1">
        <v>0</v>
      </c>
      <c r="CJ372" s="1">
        <v>0</v>
      </c>
      <c r="CK372" s="1">
        <v>1E-3</v>
      </c>
      <c r="CL372" s="1">
        <v>0</v>
      </c>
      <c r="CM372" s="1">
        <v>23.08994178</v>
      </c>
      <c r="CN372" s="83">
        <v>46.080873250000003</v>
      </c>
    </row>
    <row r="373" spans="1:92" s="3" customFormat="1" x14ac:dyDescent="0.25">
      <c r="A373" s="72">
        <v>385</v>
      </c>
      <c r="B373" s="81" t="s">
        <v>1340</v>
      </c>
      <c r="C373" s="1" t="s">
        <v>83</v>
      </c>
      <c r="D373" s="1" t="s">
        <v>79</v>
      </c>
      <c r="E373" s="1" t="s">
        <v>99</v>
      </c>
      <c r="F373" s="1" t="s">
        <v>84</v>
      </c>
      <c r="G373" s="1" t="s">
        <v>86</v>
      </c>
      <c r="H373" s="1" t="s">
        <v>85</v>
      </c>
      <c r="I373" s="1"/>
      <c r="J373" s="9" t="s">
        <v>544</v>
      </c>
      <c r="K373" s="10">
        <v>0.37959850000000001</v>
      </c>
      <c r="L373" s="1" t="s">
        <v>641</v>
      </c>
      <c r="M373" s="1" t="s">
        <v>76</v>
      </c>
      <c r="N373" s="1" t="s">
        <v>649</v>
      </c>
      <c r="O373" s="1" t="s">
        <v>19</v>
      </c>
      <c r="P373" s="82">
        <v>0.55000000000000004</v>
      </c>
      <c r="Q373" s="1">
        <f>SUM(AK373:AN373)</f>
        <v>0.80800000000000005</v>
      </c>
      <c r="R373" s="81" t="s">
        <v>292</v>
      </c>
      <c r="S373" s="1">
        <v>2</v>
      </c>
      <c r="T373" s="1" t="s">
        <v>120</v>
      </c>
      <c r="U373" s="1" t="s">
        <v>658</v>
      </c>
      <c r="V373" s="1" t="s">
        <v>655</v>
      </c>
      <c r="W373" s="1">
        <v>47</v>
      </c>
      <c r="X373" s="1" t="s">
        <v>1728</v>
      </c>
      <c r="Y373" s="1" t="s">
        <v>649</v>
      </c>
      <c r="Z373" s="1">
        <v>4.0000000000000001E-3</v>
      </c>
      <c r="AA373" s="1">
        <v>1E-3</v>
      </c>
      <c r="AB373" s="1">
        <v>1E-3</v>
      </c>
      <c r="AC373" s="1">
        <v>1E-3</v>
      </c>
      <c r="AD373" s="1">
        <v>2E-3</v>
      </c>
      <c r="AE373" s="1">
        <v>1E-3</v>
      </c>
      <c r="AF373" s="1">
        <v>2E-3</v>
      </c>
      <c r="AG373" s="1">
        <v>0</v>
      </c>
      <c r="AH373" s="1">
        <v>6.0000000000000001E-3</v>
      </c>
      <c r="AI373" s="1">
        <v>2E-3</v>
      </c>
      <c r="AJ373" s="1">
        <v>3.0000000000000001E-3</v>
      </c>
      <c r="AK373" s="1">
        <v>5.0000000000000001E-3</v>
      </c>
      <c r="AL373" s="1">
        <v>7.4999999999999997E-2</v>
      </c>
      <c r="AM373" s="1">
        <v>0.17799999999999999</v>
      </c>
      <c r="AN373" s="1">
        <v>0.55000000000000004</v>
      </c>
      <c r="AO373" s="1">
        <v>1E-3</v>
      </c>
      <c r="AP373" s="1">
        <v>1E-3</v>
      </c>
      <c r="AQ373" s="1">
        <v>1E-3</v>
      </c>
      <c r="AR373" s="1">
        <v>0.01</v>
      </c>
      <c r="AS373" s="1">
        <v>1E-3</v>
      </c>
      <c r="AT373" s="1">
        <v>1E-3</v>
      </c>
      <c r="AU373" s="1">
        <v>2E-3</v>
      </c>
      <c r="AV373" s="1">
        <v>2E-3</v>
      </c>
      <c r="AW373" s="1">
        <v>3.0000000000000001E-3</v>
      </c>
      <c r="AX373" s="1">
        <v>1.6E-2</v>
      </c>
      <c r="AY373" s="1">
        <v>2E-3</v>
      </c>
      <c r="AZ373" s="1">
        <v>2E-3</v>
      </c>
      <c r="BA373" s="1">
        <v>2E-3</v>
      </c>
      <c r="BB373" s="1">
        <v>1E-3</v>
      </c>
      <c r="BC373" s="1">
        <v>1E-3</v>
      </c>
      <c r="BD373" s="1">
        <v>3.0000000000000001E-3</v>
      </c>
      <c r="BE373" s="1">
        <v>1E-3</v>
      </c>
      <c r="BF373" s="1">
        <v>1E-3</v>
      </c>
      <c r="BG373" s="1">
        <v>0</v>
      </c>
      <c r="BH373" s="1">
        <v>1E-3</v>
      </c>
      <c r="BI373" s="1">
        <v>1E-3</v>
      </c>
      <c r="BJ373" s="1">
        <v>1E-3</v>
      </c>
      <c r="BK373" s="1">
        <v>1E-3</v>
      </c>
      <c r="BL373" s="1">
        <v>0.01</v>
      </c>
      <c r="BM373" s="1">
        <v>1E-3</v>
      </c>
      <c r="BN373" s="1">
        <v>1E-3</v>
      </c>
      <c r="BO373" s="1">
        <v>1E-3</v>
      </c>
      <c r="BP373" s="1">
        <v>1E-3</v>
      </c>
      <c r="BQ373" s="1">
        <v>4.0000000000000001E-3</v>
      </c>
      <c r="BR373" s="1">
        <v>1E-3</v>
      </c>
      <c r="BS373" s="1">
        <v>3.0000000000000001E-3</v>
      </c>
      <c r="BT373" s="1">
        <v>0</v>
      </c>
      <c r="BU373" s="1">
        <v>2E-3</v>
      </c>
      <c r="BV373" s="1">
        <v>1E-3</v>
      </c>
      <c r="BW373" s="1">
        <v>1E-3</v>
      </c>
      <c r="BX373" s="1">
        <v>4.0000000000000001E-3</v>
      </c>
      <c r="BY373" s="1">
        <v>2E-3</v>
      </c>
      <c r="BZ373" s="1">
        <v>1.2999999999999999E-2</v>
      </c>
      <c r="CA373" s="1">
        <v>3.0000000000000001E-3</v>
      </c>
      <c r="CB373" s="1">
        <v>0</v>
      </c>
      <c r="CC373" s="1">
        <v>1E-3</v>
      </c>
      <c r="CD373" s="1">
        <v>0</v>
      </c>
      <c r="CE373" s="1">
        <v>1E-3</v>
      </c>
      <c r="CF373" s="1">
        <v>1E-3</v>
      </c>
      <c r="CG373" s="1">
        <v>8.0000000000000002E-3</v>
      </c>
      <c r="CH373" s="1">
        <v>1E-3</v>
      </c>
      <c r="CI373" s="1">
        <v>1E-3</v>
      </c>
      <c r="CJ373" s="1">
        <v>1E-3</v>
      </c>
      <c r="CK373" s="1">
        <v>4.1000000000000002E-2</v>
      </c>
      <c r="CL373" s="1">
        <v>1.2999999999999999E-2</v>
      </c>
      <c r="CM373" s="1">
        <v>-25.611329080000001</v>
      </c>
      <c r="CN373" s="83">
        <v>47.616511420000002</v>
      </c>
    </row>
    <row r="374" spans="1:92" s="3" customFormat="1" x14ac:dyDescent="0.25">
      <c r="A374" s="72">
        <v>533</v>
      </c>
      <c r="B374" s="81" t="s">
        <v>1559</v>
      </c>
      <c r="C374" s="1" t="s">
        <v>83</v>
      </c>
      <c r="D374" s="1" t="s">
        <v>73</v>
      </c>
      <c r="E374" s="1" t="s">
        <v>99</v>
      </c>
      <c r="F374" s="1" t="s">
        <v>246</v>
      </c>
      <c r="G374" s="1" t="s">
        <v>219</v>
      </c>
      <c r="H374" s="1" t="s">
        <v>527</v>
      </c>
      <c r="I374" s="1"/>
      <c r="J374" s="9" t="s">
        <v>544</v>
      </c>
      <c r="K374" s="10">
        <v>0.34741133333333302</v>
      </c>
      <c r="L374" s="1" t="s">
        <v>636</v>
      </c>
      <c r="M374" s="1" t="s">
        <v>506</v>
      </c>
      <c r="N374" s="1" t="s">
        <v>648</v>
      </c>
      <c r="O374" s="1" t="s">
        <v>69</v>
      </c>
      <c r="P374" s="82">
        <v>0.997</v>
      </c>
      <c r="Q374" s="1" t="s">
        <v>76</v>
      </c>
      <c r="R374" s="81" t="s">
        <v>218</v>
      </c>
      <c r="S374" s="1">
        <v>1</v>
      </c>
      <c r="T374" s="1" t="s">
        <v>120</v>
      </c>
      <c r="U374" s="1" t="s">
        <v>658</v>
      </c>
      <c r="V374" s="1" t="s">
        <v>655</v>
      </c>
      <c r="W374" s="1">
        <v>52</v>
      </c>
      <c r="X374" s="1" t="s">
        <v>76</v>
      </c>
      <c r="Y374" s="1" t="s">
        <v>648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1E-3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0.997</v>
      </c>
      <c r="CM374" s="1">
        <v>-41.958631500000003</v>
      </c>
      <c r="CN374" s="83">
        <v>-25.70888781</v>
      </c>
    </row>
    <row r="375" spans="1:92" s="3" customFormat="1" x14ac:dyDescent="0.25">
      <c r="A375" s="72">
        <v>387</v>
      </c>
      <c r="B375" s="81" t="s">
        <v>938</v>
      </c>
      <c r="C375" s="1" t="s">
        <v>83</v>
      </c>
      <c r="D375" s="1" t="s">
        <v>79</v>
      </c>
      <c r="E375" s="1" t="s">
        <v>99</v>
      </c>
      <c r="F375" s="1" t="s">
        <v>84</v>
      </c>
      <c r="G375" s="1" t="s">
        <v>86</v>
      </c>
      <c r="H375" s="1" t="s">
        <v>85</v>
      </c>
      <c r="I375" s="1"/>
      <c r="J375" s="9" t="s">
        <v>544</v>
      </c>
      <c r="K375" s="10">
        <v>0.43772116666666699</v>
      </c>
      <c r="L375" s="1" t="s">
        <v>76</v>
      </c>
      <c r="M375" s="1" t="s">
        <v>506</v>
      </c>
      <c r="N375" s="1" t="s">
        <v>645</v>
      </c>
      <c r="O375" s="1" t="s">
        <v>17</v>
      </c>
      <c r="P375" s="82">
        <v>0.99099999999999999</v>
      </c>
      <c r="Q375" s="1" t="s">
        <v>76</v>
      </c>
      <c r="R375" s="81" t="s">
        <v>183</v>
      </c>
      <c r="S375" s="1">
        <v>2</v>
      </c>
      <c r="T375" s="1" t="s">
        <v>78</v>
      </c>
      <c r="U375" s="1" t="s">
        <v>658</v>
      </c>
      <c r="V375" s="1" t="s">
        <v>655</v>
      </c>
      <c r="W375" s="1">
        <v>31</v>
      </c>
      <c r="X375" s="1" t="s">
        <v>288</v>
      </c>
      <c r="Y375" s="1" t="s">
        <v>645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0.99099999999999999</v>
      </c>
      <c r="AM375" s="1">
        <v>8.0000000000000002E-3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-29.934088540000001</v>
      </c>
      <c r="CN375" s="83">
        <v>47.123394449999999</v>
      </c>
    </row>
    <row r="376" spans="1:92" s="3" customFormat="1" x14ac:dyDescent="0.25">
      <c r="A376" s="72">
        <v>388</v>
      </c>
      <c r="B376" s="81" t="s">
        <v>1054</v>
      </c>
      <c r="C376" s="1" t="s">
        <v>83</v>
      </c>
      <c r="D376" s="1" t="s">
        <v>79</v>
      </c>
      <c r="E376" s="1" t="s">
        <v>99</v>
      </c>
      <c r="F376" s="1" t="s">
        <v>84</v>
      </c>
      <c r="G376" s="1" t="s">
        <v>86</v>
      </c>
      <c r="H376" s="1" t="s">
        <v>85</v>
      </c>
      <c r="I376" s="1"/>
      <c r="J376" s="9" t="s">
        <v>544</v>
      </c>
      <c r="K376" s="10">
        <v>0.35733633333333298</v>
      </c>
      <c r="L376" s="1" t="s">
        <v>641</v>
      </c>
      <c r="M376" s="1" t="s">
        <v>76</v>
      </c>
      <c r="N376" s="1" t="s">
        <v>644</v>
      </c>
      <c r="O376" s="1" t="s">
        <v>68</v>
      </c>
      <c r="P376" s="82">
        <v>0.58499999999999996</v>
      </c>
      <c r="Q376" s="1">
        <f>SUM(AK376:AN376)</f>
        <v>0</v>
      </c>
      <c r="R376" s="81" t="s">
        <v>290</v>
      </c>
      <c r="S376" s="1">
        <v>2</v>
      </c>
      <c r="T376" s="1" t="s">
        <v>120</v>
      </c>
      <c r="U376" s="1" t="s">
        <v>659</v>
      </c>
      <c r="V376" s="1" t="s">
        <v>655</v>
      </c>
      <c r="W376" s="1">
        <v>31</v>
      </c>
      <c r="X376" s="1" t="s">
        <v>288</v>
      </c>
      <c r="Y376" s="1" t="s">
        <v>644</v>
      </c>
      <c r="Z376" s="1">
        <v>8.0000000000000002E-3</v>
      </c>
      <c r="AA376" s="1">
        <v>1E-3</v>
      </c>
      <c r="AB376" s="1">
        <v>1E-3</v>
      </c>
      <c r="AC376" s="1">
        <v>1E-3</v>
      </c>
      <c r="AD376" s="1">
        <v>2E-3</v>
      </c>
      <c r="AE376" s="1">
        <v>0</v>
      </c>
      <c r="AF376" s="1">
        <v>1E-3</v>
      </c>
      <c r="AG376" s="1">
        <v>0</v>
      </c>
      <c r="AH376" s="1">
        <v>2E-3</v>
      </c>
      <c r="AI376" s="1">
        <v>1E-3</v>
      </c>
      <c r="AJ376" s="1">
        <v>1E-3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1E-3</v>
      </c>
      <c r="AR376" s="1">
        <v>0.06</v>
      </c>
      <c r="AS376" s="1">
        <v>1E-3</v>
      </c>
      <c r="AT376" s="1">
        <v>1E-3</v>
      </c>
      <c r="AU376" s="1">
        <v>4.0000000000000001E-3</v>
      </c>
      <c r="AV376" s="1">
        <v>1E-3</v>
      </c>
      <c r="AW376" s="1">
        <v>1E-3</v>
      </c>
      <c r="AX376" s="1">
        <v>5.1999999999999998E-2</v>
      </c>
      <c r="AY376" s="1">
        <v>2E-3</v>
      </c>
      <c r="AZ376" s="1">
        <v>3.0000000000000001E-3</v>
      </c>
      <c r="BA376" s="1">
        <v>2E-3</v>
      </c>
      <c r="BB376" s="1">
        <v>0</v>
      </c>
      <c r="BC376" s="1">
        <v>0</v>
      </c>
      <c r="BD376" s="1">
        <v>2E-3</v>
      </c>
      <c r="BE376" s="1">
        <v>0</v>
      </c>
      <c r="BF376" s="1">
        <v>2E-3</v>
      </c>
      <c r="BG376" s="1">
        <v>0</v>
      </c>
      <c r="BH376" s="1">
        <v>0</v>
      </c>
      <c r="BI376" s="1">
        <v>0</v>
      </c>
      <c r="BJ376" s="1">
        <v>2E-3</v>
      </c>
      <c r="BK376" s="1">
        <v>0</v>
      </c>
      <c r="BL376" s="1">
        <v>1E-3</v>
      </c>
      <c r="BM376" s="1">
        <v>0</v>
      </c>
      <c r="BN376" s="1">
        <v>0</v>
      </c>
      <c r="BO376" s="1">
        <v>1E-3</v>
      </c>
      <c r="BP376" s="1">
        <v>0.13600000000000001</v>
      </c>
      <c r="BQ376" s="1">
        <v>1E-3</v>
      </c>
      <c r="BR376" s="1">
        <v>1E-3</v>
      </c>
      <c r="BS376" s="1">
        <v>8.4000000000000005E-2</v>
      </c>
      <c r="BT376" s="1">
        <v>0</v>
      </c>
      <c r="BU376" s="1">
        <v>3.0000000000000001E-3</v>
      </c>
      <c r="BV376" s="1">
        <v>0</v>
      </c>
      <c r="BW376" s="1">
        <v>1E-3</v>
      </c>
      <c r="BX376" s="1">
        <v>2E-3</v>
      </c>
      <c r="BY376" s="1">
        <v>1E-3</v>
      </c>
      <c r="BZ376" s="1">
        <v>3.0000000000000001E-3</v>
      </c>
      <c r="CA376" s="1">
        <v>1E-3</v>
      </c>
      <c r="CB376" s="1">
        <v>0</v>
      </c>
      <c r="CC376" s="1">
        <v>1E-3</v>
      </c>
      <c r="CD376" s="1">
        <v>0</v>
      </c>
      <c r="CE376" s="1">
        <v>1E-3</v>
      </c>
      <c r="CF376" s="1">
        <v>1E-3</v>
      </c>
      <c r="CG376" s="1">
        <v>1E-3</v>
      </c>
      <c r="CH376" s="1">
        <v>1E-3</v>
      </c>
      <c r="CI376" s="1">
        <v>0</v>
      </c>
      <c r="CJ376" s="1">
        <v>1E-3</v>
      </c>
      <c r="CK376" s="1">
        <v>0.58499999999999996</v>
      </c>
      <c r="CL376" s="1">
        <v>2.1999999999999999E-2</v>
      </c>
      <c r="CM376" s="1">
        <v>-48.424764850000003</v>
      </c>
      <c r="CN376" s="83">
        <v>-13.97580056</v>
      </c>
    </row>
    <row r="377" spans="1:92" s="3" customFormat="1" x14ac:dyDescent="0.25">
      <c r="A377" s="72">
        <v>389</v>
      </c>
      <c r="B377" s="81" t="s">
        <v>1261</v>
      </c>
      <c r="C377" s="1" t="s">
        <v>83</v>
      </c>
      <c r="D377" s="1" t="s">
        <v>79</v>
      </c>
      <c r="E377" s="1" t="s">
        <v>99</v>
      </c>
      <c r="F377" s="1" t="s">
        <v>84</v>
      </c>
      <c r="G377" s="1" t="s">
        <v>86</v>
      </c>
      <c r="H377" s="1" t="s">
        <v>85</v>
      </c>
      <c r="I377" s="1"/>
      <c r="J377" s="9" t="s">
        <v>544</v>
      </c>
      <c r="K377" s="10">
        <v>0.34208050000000001</v>
      </c>
      <c r="L377" s="1" t="s">
        <v>510</v>
      </c>
      <c r="M377" s="1" t="s">
        <v>76</v>
      </c>
      <c r="N377" s="1" t="s">
        <v>644</v>
      </c>
      <c r="O377" s="1" t="s">
        <v>69</v>
      </c>
      <c r="P377" s="82">
        <v>0.87</v>
      </c>
      <c r="Q377" s="1">
        <f>SUM(AK377:AN377)</f>
        <v>0</v>
      </c>
      <c r="R377" s="81" t="s">
        <v>287</v>
      </c>
      <c r="S377" s="1">
        <v>1</v>
      </c>
      <c r="T377" s="1" t="s">
        <v>120</v>
      </c>
      <c r="U377" s="1" t="s">
        <v>659</v>
      </c>
      <c r="V377" s="1" t="s">
        <v>655</v>
      </c>
      <c r="W377" s="1">
        <v>44</v>
      </c>
      <c r="X377" s="1" t="s">
        <v>288</v>
      </c>
      <c r="Y377" s="1" t="s">
        <v>648</v>
      </c>
      <c r="Z377" s="1">
        <v>1E-3</v>
      </c>
      <c r="AA377" s="1">
        <v>0</v>
      </c>
      <c r="AB377" s="1">
        <v>0</v>
      </c>
      <c r="AC377" s="1">
        <v>0</v>
      </c>
      <c r="AD377" s="1">
        <v>1E-3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1E-3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2E-3</v>
      </c>
      <c r="AY377" s="1">
        <v>0</v>
      </c>
      <c r="AZ377" s="1">
        <v>1E-3</v>
      </c>
      <c r="BA377" s="1">
        <v>1E-3</v>
      </c>
      <c r="BB377" s="1">
        <v>0</v>
      </c>
      <c r="BC377" s="1">
        <v>0</v>
      </c>
      <c r="BD377" s="1">
        <v>1E-3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5.5E-2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3.0000000000000001E-3</v>
      </c>
      <c r="BQ377" s="1">
        <v>0</v>
      </c>
      <c r="BR377" s="1">
        <v>0</v>
      </c>
      <c r="BS377" s="1">
        <v>0</v>
      </c>
      <c r="BT377" s="1">
        <v>0</v>
      </c>
      <c r="BU377" s="1">
        <v>5.6000000000000001E-2</v>
      </c>
      <c r="BV377" s="1">
        <v>0</v>
      </c>
      <c r="BW377" s="1">
        <v>0</v>
      </c>
      <c r="BX377" s="1">
        <v>0</v>
      </c>
      <c r="BY377" s="1">
        <v>0</v>
      </c>
      <c r="BZ377" s="1">
        <v>1E-3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2E-3</v>
      </c>
      <c r="CL377" s="1">
        <v>0.87</v>
      </c>
      <c r="CM377" s="1">
        <v>-52.979940759999998</v>
      </c>
      <c r="CN377" s="83">
        <v>-17.898839809999998</v>
      </c>
    </row>
    <row r="378" spans="1:92" s="3" customFormat="1" x14ac:dyDescent="0.25">
      <c r="A378" s="72">
        <v>390</v>
      </c>
      <c r="B378" s="81" t="s">
        <v>1366</v>
      </c>
      <c r="C378" s="1" t="s">
        <v>83</v>
      </c>
      <c r="D378" s="1" t="s">
        <v>79</v>
      </c>
      <c r="E378" s="1" t="s">
        <v>74</v>
      </c>
      <c r="F378" s="1" t="s">
        <v>84</v>
      </c>
      <c r="G378" s="1" t="s">
        <v>86</v>
      </c>
      <c r="H378" s="1" t="s">
        <v>85</v>
      </c>
      <c r="I378" s="1"/>
      <c r="J378" s="9" t="s">
        <v>544</v>
      </c>
      <c r="K378" s="10">
        <v>0.43876516666666698</v>
      </c>
      <c r="L378" s="1" t="s">
        <v>641</v>
      </c>
      <c r="M378" s="1" t="s">
        <v>76</v>
      </c>
      <c r="N378" s="1" t="s">
        <v>649</v>
      </c>
      <c r="O378" s="1" t="s">
        <v>16</v>
      </c>
      <c r="P378" s="82">
        <v>0.38100000000000001</v>
      </c>
      <c r="Q378" s="1">
        <f>SUM(AK378:AN378)</f>
        <v>0.66100000000000003</v>
      </c>
      <c r="R378" s="81" t="s">
        <v>129</v>
      </c>
      <c r="S378" s="1">
        <v>2</v>
      </c>
      <c r="T378" s="1" t="s">
        <v>120</v>
      </c>
      <c r="U378" s="1" t="s">
        <v>659</v>
      </c>
      <c r="V378" s="1" t="s">
        <v>655</v>
      </c>
      <c r="W378" s="1">
        <v>31</v>
      </c>
      <c r="X378" s="1" t="s">
        <v>288</v>
      </c>
      <c r="Y378" s="1" t="s">
        <v>649</v>
      </c>
      <c r="Z378" s="1">
        <v>2E-3</v>
      </c>
      <c r="AA378" s="1">
        <v>3.0000000000000001E-3</v>
      </c>
      <c r="AB378" s="1">
        <v>3.0000000000000001E-3</v>
      </c>
      <c r="AC378" s="1">
        <v>4.0000000000000001E-3</v>
      </c>
      <c r="AD378" s="1">
        <v>3.0000000000000001E-3</v>
      </c>
      <c r="AE378" s="1">
        <v>6.0000000000000001E-3</v>
      </c>
      <c r="AF378" s="1">
        <v>4.0000000000000001E-3</v>
      </c>
      <c r="AG378" s="1">
        <v>0</v>
      </c>
      <c r="AH378" s="1">
        <v>1.7000000000000001E-2</v>
      </c>
      <c r="AI378" s="1">
        <v>2E-3</v>
      </c>
      <c r="AJ378" s="1">
        <v>8.0000000000000002E-3</v>
      </c>
      <c r="AK378" s="1">
        <v>0.38100000000000001</v>
      </c>
      <c r="AL378" s="1">
        <v>0.20599999999999999</v>
      </c>
      <c r="AM378" s="1">
        <v>2.5999999999999999E-2</v>
      </c>
      <c r="AN378" s="1">
        <v>4.8000000000000001E-2</v>
      </c>
      <c r="AO378" s="1">
        <v>2E-3</v>
      </c>
      <c r="AP378" s="1">
        <v>2E-3</v>
      </c>
      <c r="AQ378" s="1">
        <v>2E-3</v>
      </c>
      <c r="AR378" s="1">
        <v>0.01</v>
      </c>
      <c r="AS378" s="1">
        <v>5.0000000000000001E-3</v>
      </c>
      <c r="AT378" s="1">
        <v>3.0000000000000001E-3</v>
      </c>
      <c r="AU378" s="1">
        <v>4.0000000000000001E-3</v>
      </c>
      <c r="AV378" s="1">
        <v>3.0000000000000001E-3</v>
      </c>
      <c r="AW378" s="1">
        <v>1.2E-2</v>
      </c>
      <c r="AX378" s="1">
        <v>1.4E-2</v>
      </c>
      <c r="AY378" s="1">
        <v>6.0000000000000001E-3</v>
      </c>
      <c r="AZ378" s="1">
        <v>8.9999999999999993E-3</v>
      </c>
      <c r="BA378" s="1">
        <v>8.9999999999999993E-3</v>
      </c>
      <c r="BB378" s="1">
        <v>2E-3</v>
      </c>
      <c r="BC378" s="1">
        <v>3.0000000000000001E-3</v>
      </c>
      <c r="BD378" s="1">
        <v>8.9999999999999993E-3</v>
      </c>
      <c r="BE378" s="1">
        <v>2E-3</v>
      </c>
      <c r="BF378" s="1">
        <v>1E-3</v>
      </c>
      <c r="BG378" s="1">
        <v>2E-3</v>
      </c>
      <c r="BH378" s="1">
        <v>1E-3</v>
      </c>
      <c r="BI378" s="1">
        <v>2E-3</v>
      </c>
      <c r="BJ378" s="1">
        <v>2E-3</v>
      </c>
      <c r="BK378" s="1">
        <v>2E-3</v>
      </c>
      <c r="BL378" s="1">
        <v>1.9E-2</v>
      </c>
      <c r="BM378" s="1">
        <v>2E-3</v>
      </c>
      <c r="BN378" s="1">
        <v>2E-3</v>
      </c>
      <c r="BO378" s="1">
        <v>2E-3</v>
      </c>
      <c r="BP378" s="1">
        <v>2E-3</v>
      </c>
      <c r="BQ378" s="1">
        <v>8.0000000000000002E-3</v>
      </c>
      <c r="BR378" s="1">
        <v>5.0000000000000001E-3</v>
      </c>
      <c r="BS378" s="1">
        <v>3.0000000000000001E-3</v>
      </c>
      <c r="BT378" s="1">
        <v>1E-3</v>
      </c>
      <c r="BU378" s="1">
        <v>3.0000000000000001E-3</v>
      </c>
      <c r="BV378" s="1">
        <v>2E-3</v>
      </c>
      <c r="BW378" s="1">
        <v>3.0000000000000001E-3</v>
      </c>
      <c r="BX378" s="1">
        <v>5.0000000000000001E-3</v>
      </c>
      <c r="BY378" s="1">
        <v>6.0000000000000001E-3</v>
      </c>
      <c r="BZ378" s="1">
        <v>8.0000000000000002E-3</v>
      </c>
      <c r="CA378" s="1">
        <v>3.0000000000000001E-3</v>
      </c>
      <c r="CB378" s="1">
        <v>1E-3</v>
      </c>
      <c r="CC378" s="1">
        <v>3.0000000000000001E-3</v>
      </c>
      <c r="CD378" s="1">
        <v>1E-3</v>
      </c>
      <c r="CE378" s="1">
        <v>3.0000000000000001E-3</v>
      </c>
      <c r="CF378" s="1">
        <v>2E-3</v>
      </c>
      <c r="CG378" s="1">
        <v>0.01</v>
      </c>
      <c r="CH378" s="1">
        <v>4.0000000000000001E-3</v>
      </c>
      <c r="CI378" s="1">
        <v>3.0000000000000001E-3</v>
      </c>
      <c r="CJ378" s="1">
        <v>8.0000000000000002E-3</v>
      </c>
      <c r="CK378" s="1">
        <v>4.2000000000000003E-2</v>
      </c>
      <c r="CL378" s="1">
        <v>0.03</v>
      </c>
      <c r="CM378" s="1">
        <v>-75.897279370000007</v>
      </c>
      <c r="CN378" s="83">
        <v>1.2577707890000001</v>
      </c>
    </row>
    <row r="379" spans="1:92" s="3" customFormat="1" x14ac:dyDescent="0.25">
      <c r="A379" s="72">
        <v>391</v>
      </c>
      <c r="B379" s="81" t="s">
        <v>1367</v>
      </c>
      <c r="C379" s="1" t="s">
        <v>83</v>
      </c>
      <c r="D379" s="1" t="s">
        <v>79</v>
      </c>
      <c r="E379" s="1" t="s">
        <v>74</v>
      </c>
      <c r="F379" s="1" t="s">
        <v>84</v>
      </c>
      <c r="G379" s="1" t="s">
        <v>86</v>
      </c>
      <c r="H379" s="1" t="s">
        <v>85</v>
      </c>
      <c r="I379" s="1"/>
      <c r="J379" s="9" t="s">
        <v>544</v>
      </c>
      <c r="K379" s="10">
        <v>0.50934516666666696</v>
      </c>
      <c r="L379" s="1" t="s">
        <v>641</v>
      </c>
      <c r="M379" s="1" t="s">
        <v>76</v>
      </c>
      <c r="N379" s="1" t="s">
        <v>649</v>
      </c>
      <c r="O379" s="1" t="s">
        <v>16</v>
      </c>
      <c r="P379" s="82">
        <v>0.78900000000000003</v>
      </c>
      <c r="Q379" s="1">
        <f>SUM(AK379:AN379)</f>
        <v>0.97000000000000008</v>
      </c>
      <c r="R379" s="81" t="s">
        <v>129</v>
      </c>
      <c r="S379" s="1">
        <v>2</v>
      </c>
      <c r="T379" s="1" t="s">
        <v>120</v>
      </c>
      <c r="U379" s="1" t="s">
        <v>659</v>
      </c>
      <c r="V379" s="1" t="s">
        <v>655</v>
      </c>
      <c r="W379" s="1">
        <v>31</v>
      </c>
      <c r="X379" s="1" t="s">
        <v>288</v>
      </c>
      <c r="Y379" s="1" t="s">
        <v>649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1E-3</v>
      </c>
      <c r="AF379" s="1">
        <v>0</v>
      </c>
      <c r="AG379" s="1">
        <v>0</v>
      </c>
      <c r="AH379" s="1">
        <v>2E-3</v>
      </c>
      <c r="AI379" s="1">
        <v>0</v>
      </c>
      <c r="AJ379" s="1">
        <v>0</v>
      </c>
      <c r="AK379" s="1">
        <v>0.78900000000000003</v>
      </c>
      <c r="AL379" s="1">
        <v>0.17399999999999999</v>
      </c>
      <c r="AM379" s="1">
        <v>5.0000000000000001E-3</v>
      </c>
      <c r="AN379" s="1">
        <v>2E-3</v>
      </c>
      <c r="AO379" s="1">
        <v>0</v>
      </c>
      <c r="AP379" s="1">
        <v>0</v>
      </c>
      <c r="AQ379" s="1">
        <v>0</v>
      </c>
      <c r="AR379" s="1">
        <v>1E-3</v>
      </c>
      <c r="AS379" s="1">
        <v>1E-3</v>
      </c>
      <c r="AT379" s="1">
        <v>0</v>
      </c>
      <c r="AU379" s="1">
        <v>0</v>
      </c>
      <c r="AV379" s="1">
        <v>0</v>
      </c>
      <c r="AW379" s="1">
        <v>3.0000000000000001E-3</v>
      </c>
      <c r="AX379" s="1">
        <v>1E-3</v>
      </c>
      <c r="AY379" s="1">
        <v>1E-3</v>
      </c>
      <c r="AZ379" s="1">
        <v>1E-3</v>
      </c>
      <c r="BA379" s="1">
        <v>1E-3</v>
      </c>
      <c r="BB379" s="1">
        <v>0</v>
      </c>
      <c r="BC379" s="1">
        <v>0</v>
      </c>
      <c r="BD379" s="1">
        <v>1E-3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1E-3</v>
      </c>
      <c r="BM379" s="1">
        <v>0</v>
      </c>
      <c r="BN379" s="1">
        <v>0</v>
      </c>
      <c r="BO379" s="1">
        <v>0</v>
      </c>
      <c r="BP379" s="1">
        <v>0</v>
      </c>
      <c r="BQ379" s="1">
        <v>1E-3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1E-3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1E-3</v>
      </c>
      <c r="CH379" s="1">
        <v>0</v>
      </c>
      <c r="CI379" s="1">
        <v>0</v>
      </c>
      <c r="CJ379" s="1">
        <v>1E-3</v>
      </c>
      <c r="CK379" s="1">
        <v>2E-3</v>
      </c>
      <c r="CL379" s="1">
        <v>4.0000000000000001E-3</v>
      </c>
      <c r="CM379" s="1">
        <v>-77.116113400000003</v>
      </c>
      <c r="CN379" s="83">
        <v>0.61476236500000003</v>
      </c>
    </row>
    <row r="380" spans="1:92" s="3" customFormat="1" x14ac:dyDescent="0.25">
      <c r="A380" s="72">
        <v>392</v>
      </c>
      <c r="B380" s="81" t="s">
        <v>1113</v>
      </c>
      <c r="C380" s="1" t="s">
        <v>83</v>
      </c>
      <c r="D380" s="1" t="s">
        <v>79</v>
      </c>
      <c r="E380" s="1" t="s">
        <v>74</v>
      </c>
      <c r="F380" s="1" t="s">
        <v>84</v>
      </c>
      <c r="G380" s="1" t="s">
        <v>86</v>
      </c>
      <c r="H380" s="1" t="s">
        <v>85</v>
      </c>
      <c r="I380" s="1"/>
      <c r="J380" s="9" t="s">
        <v>544</v>
      </c>
      <c r="K380" s="10">
        <v>0.45759066666666698</v>
      </c>
      <c r="L380" s="1" t="s">
        <v>76</v>
      </c>
      <c r="M380" s="1" t="s">
        <v>506</v>
      </c>
      <c r="N380" s="1" t="s">
        <v>645</v>
      </c>
      <c r="O380" s="1" t="s">
        <v>16</v>
      </c>
      <c r="P380" s="82">
        <v>0.93600000000000005</v>
      </c>
      <c r="Q380" s="1" t="s">
        <v>76</v>
      </c>
      <c r="R380" s="81" t="s">
        <v>157</v>
      </c>
      <c r="S380" s="1">
        <v>2</v>
      </c>
      <c r="T380" s="1" t="s">
        <v>120</v>
      </c>
      <c r="U380" s="1" t="s">
        <v>659</v>
      </c>
      <c r="V380" s="1" t="s">
        <v>655</v>
      </c>
      <c r="W380" s="1">
        <v>31</v>
      </c>
      <c r="X380" s="1" t="s">
        <v>288</v>
      </c>
      <c r="Y380" s="1" t="s">
        <v>645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1E-3</v>
      </c>
      <c r="AI380" s="1">
        <v>0</v>
      </c>
      <c r="AJ380" s="1">
        <v>0</v>
      </c>
      <c r="AK380" s="1">
        <v>0.93600000000000005</v>
      </c>
      <c r="AL380" s="1">
        <v>4.9000000000000002E-2</v>
      </c>
      <c r="AM380" s="1">
        <v>3.0000000000000001E-3</v>
      </c>
      <c r="AN380" s="1">
        <v>3.0000000000000001E-3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1E-3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1E-3</v>
      </c>
      <c r="CL380" s="1">
        <v>2E-3</v>
      </c>
      <c r="CM380" s="1">
        <v>-77.589090049999996</v>
      </c>
      <c r="CN380" s="83">
        <v>2.09843029</v>
      </c>
    </row>
    <row r="381" spans="1:92" s="3" customFormat="1" x14ac:dyDescent="0.25">
      <c r="A381" s="72">
        <v>393</v>
      </c>
      <c r="B381" s="81" t="s">
        <v>1265</v>
      </c>
      <c r="C381" s="1" t="s">
        <v>83</v>
      </c>
      <c r="D381" s="1" t="s">
        <v>79</v>
      </c>
      <c r="E381" s="1" t="s">
        <v>99</v>
      </c>
      <c r="F381" s="1" t="s">
        <v>84</v>
      </c>
      <c r="G381" s="1" t="s">
        <v>86</v>
      </c>
      <c r="H381" s="1" t="s">
        <v>85</v>
      </c>
      <c r="I381" s="1"/>
      <c r="J381" s="9" t="s">
        <v>544</v>
      </c>
      <c r="K381" s="10">
        <v>0.59230749999999999</v>
      </c>
      <c r="L381" s="1" t="s">
        <v>641</v>
      </c>
      <c r="M381" s="1" t="s">
        <v>76</v>
      </c>
      <c r="N381" s="1" t="s">
        <v>649</v>
      </c>
      <c r="O381" s="1" t="s">
        <v>18</v>
      </c>
      <c r="P381" s="82">
        <v>0.51500000000000001</v>
      </c>
      <c r="Q381" s="1">
        <f>SUM(AK381:AN381)</f>
        <v>0.79300000000000004</v>
      </c>
      <c r="R381" s="81" t="s">
        <v>124</v>
      </c>
      <c r="S381" s="1">
        <v>3</v>
      </c>
      <c r="T381" s="1" t="s">
        <v>78</v>
      </c>
      <c r="U381" s="1" t="s">
        <v>659</v>
      </c>
      <c r="V381" s="1" t="s">
        <v>655</v>
      </c>
      <c r="W381" s="1">
        <v>55</v>
      </c>
      <c r="X381" s="1" t="s">
        <v>286</v>
      </c>
      <c r="Y381" s="1" t="s">
        <v>649</v>
      </c>
      <c r="Z381" s="1">
        <v>0</v>
      </c>
      <c r="AA381" s="1">
        <v>3.0000000000000001E-3</v>
      </c>
      <c r="AB381" s="1">
        <v>1E-3</v>
      </c>
      <c r="AC381" s="1">
        <v>5.0000000000000001E-3</v>
      </c>
      <c r="AD381" s="1">
        <v>1E-3</v>
      </c>
      <c r="AE381" s="1">
        <v>1E-3</v>
      </c>
      <c r="AF381" s="1">
        <v>2E-3</v>
      </c>
      <c r="AG381" s="1">
        <v>0</v>
      </c>
      <c r="AH381" s="1">
        <v>4.0000000000000001E-3</v>
      </c>
      <c r="AI381" s="1">
        <v>1E-3</v>
      </c>
      <c r="AJ381" s="1">
        <v>1E-3</v>
      </c>
      <c r="AK381" s="1">
        <v>4.0000000000000001E-3</v>
      </c>
      <c r="AL381" s="1">
        <v>0.27300000000000002</v>
      </c>
      <c r="AM381" s="1">
        <v>0.51500000000000001</v>
      </c>
      <c r="AN381" s="1">
        <v>1E-3</v>
      </c>
      <c r="AO381" s="1">
        <v>1E-3</v>
      </c>
      <c r="AP381" s="1">
        <v>1E-3</v>
      </c>
      <c r="AQ381" s="1">
        <v>1E-3</v>
      </c>
      <c r="AR381" s="1">
        <v>1E-3</v>
      </c>
      <c r="AS381" s="1">
        <v>3.0000000000000001E-3</v>
      </c>
      <c r="AT381" s="1">
        <v>3.0000000000000001E-3</v>
      </c>
      <c r="AU381" s="1">
        <v>1E-3</v>
      </c>
      <c r="AV381" s="1">
        <v>1E-3</v>
      </c>
      <c r="AW381" s="1">
        <v>6.0000000000000001E-3</v>
      </c>
      <c r="AX381" s="1">
        <v>4.0000000000000001E-3</v>
      </c>
      <c r="AY381" s="1">
        <v>8.0000000000000002E-3</v>
      </c>
      <c r="AZ381" s="1">
        <v>2E-3</v>
      </c>
      <c r="BA381" s="1">
        <v>4.0000000000000001E-3</v>
      </c>
      <c r="BB381" s="1">
        <v>1E-3</v>
      </c>
      <c r="BC381" s="1">
        <v>2E-3</v>
      </c>
      <c r="BD381" s="1">
        <v>3.0000000000000001E-3</v>
      </c>
      <c r="BE381" s="1">
        <v>1E-3</v>
      </c>
      <c r="BF381" s="1">
        <v>0</v>
      </c>
      <c r="BG381" s="1">
        <v>1E-3</v>
      </c>
      <c r="BH381" s="1">
        <v>1E-3</v>
      </c>
      <c r="BI381" s="1">
        <v>1E-3</v>
      </c>
      <c r="BJ381" s="1">
        <v>0</v>
      </c>
      <c r="BK381" s="1">
        <v>1E-3</v>
      </c>
      <c r="BL381" s="1">
        <v>6.7000000000000004E-2</v>
      </c>
      <c r="BM381" s="1">
        <v>7.0000000000000001E-3</v>
      </c>
      <c r="BN381" s="1">
        <v>2E-3</v>
      </c>
      <c r="BO381" s="1">
        <v>1E-3</v>
      </c>
      <c r="BP381" s="1">
        <v>0</v>
      </c>
      <c r="BQ381" s="1">
        <v>6.0000000000000001E-3</v>
      </c>
      <c r="BR381" s="1">
        <v>3.0000000000000001E-3</v>
      </c>
      <c r="BS381" s="1">
        <v>1E-3</v>
      </c>
      <c r="BT381" s="1">
        <v>1E-3</v>
      </c>
      <c r="BU381" s="1">
        <v>1E-3</v>
      </c>
      <c r="BV381" s="1">
        <v>1E-3</v>
      </c>
      <c r="BW381" s="1">
        <v>2E-3</v>
      </c>
      <c r="BX381" s="1">
        <v>3.0000000000000001E-3</v>
      </c>
      <c r="BY381" s="1">
        <v>5.0000000000000001E-3</v>
      </c>
      <c r="BZ381" s="1">
        <v>8.0000000000000002E-3</v>
      </c>
      <c r="CA381" s="1">
        <v>2E-3</v>
      </c>
      <c r="CB381" s="1">
        <v>0</v>
      </c>
      <c r="CC381" s="1">
        <v>1E-3</v>
      </c>
      <c r="CD381" s="1">
        <v>0</v>
      </c>
      <c r="CE381" s="1">
        <v>2E-3</v>
      </c>
      <c r="CF381" s="1">
        <v>1E-3</v>
      </c>
      <c r="CG381" s="1">
        <v>5.0000000000000001E-3</v>
      </c>
      <c r="CH381" s="1">
        <v>2E-3</v>
      </c>
      <c r="CI381" s="1">
        <v>2E-3</v>
      </c>
      <c r="CJ381" s="1">
        <v>4.0000000000000001E-3</v>
      </c>
      <c r="CK381" s="1">
        <v>7.0000000000000001E-3</v>
      </c>
      <c r="CL381" s="1">
        <v>4.0000000000000001E-3</v>
      </c>
      <c r="CM381" s="1">
        <v>-10.290656289999999</v>
      </c>
      <c r="CN381" s="83">
        <v>68.354650930000005</v>
      </c>
    </row>
    <row r="382" spans="1:92" s="3" customFormat="1" x14ac:dyDescent="0.25">
      <c r="A382" s="72">
        <v>394</v>
      </c>
      <c r="B382" s="81" t="s">
        <v>1278</v>
      </c>
      <c r="C382" s="1" t="s">
        <v>83</v>
      </c>
      <c r="D382" s="1" t="s">
        <v>79</v>
      </c>
      <c r="E382" s="1" t="s">
        <v>74</v>
      </c>
      <c r="F382" s="1" t="s">
        <v>84</v>
      </c>
      <c r="G382" s="1" t="s">
        <v>86</v>
      </c>
      <c r="H382" s="1" t="s">
        <v>85</v>
      </c>
      <c r="I382" s="1"/>
      <c r="J382" s="9" t="s">
        <v>544</v>
      </c>
      <c r="K382" s="10">
        <v>0.59148883333333302</v>
      </c>
      <c r="L382" s="1" t="s">
        <v>76</v>
      </c>
      <c r="M382" s="1" t="s">
        <v>506</v>
      </c>
      <c r="N382" s="1" t="s">
        <v>645</v>
      </c>
      <c r="O382" s="1" t="s">
        <v>17</v>
      </c>
      <c r="P382" s="82">
        <v>0.99</v>
      </c>
      <c r="Q382" s="1" t="s">
        <v>76</v>
      </c>
      <c r="R382" s="81" t="s">
        <v>285</v>
      </c>
      <c r="S382" s="1">
        <v>3</v>
      </c>
      <c r="T382" s="1" t="s">
        <v>78</v>
      </c>
      <c r="U382" s="1" t="s">
        <v>660</v>
      </c>
      <c r="V382" s="1" t="s">
        <v>655</v>
      </c>
      <c r="W382" s="1">
        <v>69</v>
      </c>
      <c r="X382" s="1" t="s">
        <v>286</v>
      </c>
      <c r="Y382" s="1" t="s">
        <v>645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0.99</v>
      </c>
      <c r="AM382" s="1">
        <v>8.9999999999999993E-3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-3.7344471650000002</v>
      </c>
      <c r="CN382" s="83">
        <v>61.776141690000003</v>
      </c>
    </row>
    <row r="383" spans="1:92" s="3" customFormat="1" x14ac:dyDescent="0.25">
      <c r="A383" s="72">
        <v>395</v>
      </c>
      <c r="B383" s="81" t="s">
        <v>1238</v>
      </c>
      <c r="C383" s="1" t="s">
        <v>83</v>
      </c>
      <c r="D383" s="1" t="s">
        <v>79</v>
      </c>
      <c r="E383" s="1" t="s">
        <v>99</v>
      </c>
      <c r="F383" s="1" t="s">
        <v>84</v>
      </c>
      <c r="G383" s="1" t="s">
        <v>86</v>
      </c>
      <c r="H383" s="1" t="s">
        <v>85</v>
      </c>
      <c r="I383" s="1"/>
      <c r="J383" s="9" t="s">
        <v>544</v>
      </c>
      <c r="K383" s="10">
        <v>0.62009000000000003</v>
      </c>
      <c r="L383" s="1" t="s">
        <v>641</v>
      </c>
      <c r="M383" s="1" t="s">
        <v>76</v>
      </c>
      <c r="N383" s="1" t="s">
        <v>649</v>
      </c>
      <c r="O383" s="1" t="s">
        <v>18</v>
      </c>
      <c r="P383" s="82">
        <v>0.71499999999999997</v>
      </c>
      <c r="Q383" s="1">
        <f>SUM(AK383:AN383)</f>
        <v>0.77</v>
      </c>
      <c r="R383" s="81" t="s">
        <v>110</v>
      </c>
      <c r="S383" s="1">
        <v>3</v>
      </c>
      <c r="T383" s="1" t="s">
        <v>78</v>
      </c>
      <c r="U383" s="1" t="s">
        <v>659</v>
      </c>
      <c r="V383" s="1" t="s">
        <v>655</v>
      </c>
      <c r="W383" s="1">
        <v>55</v>
      </c>
      <c r="X383" s="1" t="s">
        <v>289</v>
      </c>
      <c r="Y383" s="1" t="s">
        <v>649</v>
      </c>
      <c r="Z383" s="1">
        <v>1E-3</v>
      </c>
      <c r="AA383" s="1">
        <v>4.0000000000000001E-3</v>
      </c>
      <c r="AB383" s="1">
        <v>2E-3</v>
      </c>
      <c r="AC383" s="1">
        <v>7.0000000000000001E-3</v>
      </c>
      <c r="AD383" s="1">
        <v>1E-3</v>
      </c>
      <c r="AE383" s="1">
        <v>1E-3</v>
      </c>
      <c r="AF383" s="1">
        <v>2E-3</v>
      </c>
      <c r="AG383" s="1">
        <v>0</v>
      </c>
      <c r="AH383" s="1">
        <v>5.0000000000000001E-3</v>
      </c>
      <c r="AI383" s="1">
        <v>1E-3</v>
      </c>
      <c r="AJ383" s="1">
        <v>1E-3</v>
      </c>
      <c r="AK383" s="1">
        <v>4.0000000000000001E-3</v>
      </c>
      <c r="AL383" s="1">
        <v>0.05</v>
      </c>
      <c r="AM383" s="1">
        <v>0.71499999999999997</v>
      </c>
      <c r="AN383" s="1">
        <v>1E-3</v>
      </c>
      <c r="AO383" s="1">
        <v>2E-3</v>
      </c>
      <c r="AP383" s="1">
        <v>2E-3</v>
      </c>
      <c r="AQ383" s="1">
        <v>1E-3</v>
      </c>
      <c r="AR383" s="1">
        <v>1E-3</v>
      </c>
      <c r="AS383" s="1">
        <v>5.0000000000000001E-3</v>
      </c>
      <c r="AT383" s="1">
        <v>4.0000000000000001E-3</v>
      </c>
      <c r="AU383" s="1">
        <v>2E-3</v>
      </c>
      <c r="AV383" s="1">
        <v>1E-3</v>
      </c>
      <c r="AW383" s="1">
        <v>6.0000000000000001E-3</v>
      </c>
      <c r="AX383" s="1">
        <v>3.0000000000000001E-3</v>
      </c>
      <c r="AY383" s="1">
        <v>1.4999999999999999E-2</v>
      </c>
      <c r="AZ383" s="1">
        <v>3.0000000000000001E-3</v>
      </c>
      <c r="BA383" s="1">
        <v>6.0000000000000001E-3</v>
      </c>
      <c r="BB383" s="1">
        <v>1E-3</v>
      </c>
      <c r="BC383" s="1">
        <v>2E-3</v>
      </c>
      <c r="BD383" s="1">
        <v>6.0000000000000001E-3</v>
      </c>
      <c r="BE383" s="1">
        <v>1E-3</v>
      </c>
      <c r="BF383" s="1">
        <v>1E-3</v>
      </c>
      <c r="BG383" s="1">
        <v>2E-3</v>
      </c>
      <c r="BH383" s="1">
        <v>2E-3</v>
      </c>
      <c r="BI383" s="1">
        <v>1E-3</v>
      </c>
      <c r="BJ383" s="1">
        <v>1E-3</v>
      </c>
      <c r="BK383" s="1">
        <v>2E-3</v>
      </c>
      <c r="BL383" s="1">
        <v>4.9000000000000002E-2</v>
      </c>
      <c r="BM383" s="1">
        <v>7.0000000000000001E-3</v>
      </c>
      <c r="BN383" s="1">
        <v>3.0000000000000001E-3</v>
      </c>
      <c r="BO383" s="1">
        <v>1E-3</v>
      </c>
      <c r="BP383" s="1">
        <v>1E-3</v>
      </c>
      <c r="BQ383" s="1">
        <v>6.0000000000000001E-3</v>
      </c>
      <c r="BR383" s="1">
        <v>3.0000000000000001E-3</v>
      </c>
      <c r="BS383" s="1">
        <v>1E-3</v>
      </c>
      <c r="BT383" s="1">
        <v>1E-3</v>
      </c>
      <c r="BU383" s="1">
        <v>1E-3</v>
      </c>
      <c r="BV383" s="1">
        <v>1E-3</v>
      </c>
      <c r="BW383" s="1">
        <v>3.0000000000000001E-3</v>
      </c>
      <c r="BX383" s="1">
        <v>4.0000000000000001E-3</v>
      </c>
      <c r="BY383" s="1">
        <v>7.0000000000000001E-3</v>
      </c>
      <c r="BZ383" s="1">
        <v>6.0000000000000001E-3</v>
      </c>
      <c r="CA383" s="1">
        <v>2E-3</v>
      </c>
      <c r="CB383" s="1">
        <v>0</v>
      </c>
      <c r="CC383" s="1">
        <v>2E-3</v>
      </c>
      <c r="CD383" s="1">
        <v>0</v>
      </c>
      <c r="CE383" s="1">
        <v>3.0000000000000001E-3</v>
      </c>
      <c r="CF383" s="1">
        <v>2E-3</v>
      </c>
      <c r="CG383" s="1">
        <v>4.0000000000000001E-3</v>
      </c>
      <c r="CH383" s="1">
        <v>3.0000000000000001E-3</v>
      </c>
      <c r="CI383" s="1">
        <v>3.0000000000000001E-3</v>
      </c>
      <c r="CJ383" s="1">
        <v>6.0000000000000001E-3</v>
      </c>
      <c r="CK383" s="1">
        <v>8.9999999999999993E-3</v>
      </c>
      <c r="CL383" s="1">
        <v>5.0000000000000001E-3</v>
      </c>
      <c r="CM383" s="1">
        <v>-9.6007707539999991</v>
      </c>
      <c r="CN383" s="83">
        <v>69.974169529999998</v>
      </c>
    </row>
    <row r="384" spans="1:92" s="3" customFormat="1" x14ac:dyDescent="0.25">
      <c r="A384" s="72">
        <v>396</v>
      </c>
      <c r="B384" s="81" t="s">
        <v>1263</v>
      </c>
      <c r="C384" s="1" t="s">
        <v>83</v>
      </c>
      <c r="D384" s="1" t="s">
        <v>79</v>
      </c>
      <c r="E384" s="1" t="s">
        <v>99</v>
      </c>
      <c r="F384" s="1" t="s">
        <v>84</v>
      </c>
      <c r="G384" s="1" t="s">
        <v>86</v>
      </c>
      <c r="H384" s="1" t="s">
        <v>85</v>
      </c>
      <c r="I384" s="1"/>
      <c r="J384" s="9" t="s">
        <v>544</v>
      </c>
      <c r="K384" s="10">
        <v>0.53864400000000001</v>
      </c>
      <c r="L384" s="1" t="s">
        <v>76</v>
      </c>
      <c r="M384" s="1" t="s">
        <v>506</v>
      </c>
      <c r="N384" s="1" t="s">
        <v>645</v>
      </c>
      <c r="O384" s="1" t="s">
        <v>17</v>
      </c>
      <c r="P384" s="82">
        <v>0.92800000000000005</v>
      </c>
      <c r="Q384" s="1" t="s">
        <v>76</v>
      </c>
      <c r="R384" s="81" t="s">
        <v>124</v>
      </c>
      <c r="S384" s="1">
        <v>3</v>
      </c>
      <c r="T384" s="1" t="s">
        <v>78</v>
      </c>
      <c r="U384" s="1" t="s">
        <v>659</v>
      </c>
      <c r="V384" s="1" t="s">
        <v>655</v>
      </c>
      <c r="W384" s="1">
        <v>55</v>
      </c>
      <c r="X384" s="1" t="s">
        <v>286</v>
      </c>
      <c r="Y384" s="1" t="s">
        <v>645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0.92800000000000005</v>
      </c>
      <c r="AM384" s="1">
        <v>5.2999999999999999E-2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1E-3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8.9999999999999993E-3</v>
      </c>
      <c r="BM384" s="1">
        <v>1E-3</v>
      </c>
      <c r="BN384" s="1">
        <v>0</v>
      </c>
      <c r="BO384" s="1">
        <v>0</v>
      </c>
      <c r="BP384" s="1">
        <v>0</v>
      </c>
      <c r="BQ384" s="1">
        <v>1E-3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1E-3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1E-3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-10.88160455</v>
      </c>
      <c r="CN384" s="83">
        <v>64.659775670000002</v>
      </c>
    </row>
    <row r="385" spans="1:92" s="3" customFormat="1" x14ac:dyDescent="0.25">
      <c r="A385" s="72">
        <v>397</v>
      </c>
      <c r="B385" s="81" t="s">
        <v>1216</v>
      </c>
      <c r="C385" s="1" t="s">
        <v>83</v>
      </c>
      <c r="D385" s="1" t="s">
        <v>79</v>
      </c>
      <c r="E385" s="1" t="s">
        <v>74</v>
      </c>
      <c r="F385" s="1" t="s">
        <v>84</v>
      </c>
      <c r="G385" s="1" t="s">
        <v>86</v>
      </c>
      <c r="H385" s="1" t="s">
        <v>85</v>
      </c>
      <c r="I385" s="1"/>
      <c r="J385" s="9" t="s">
        <v>544</v>
      </c>
      <c r="K385" s="10">
        <v>0.40040316666666698</v>
      </c>
      <c r="L385" s="1" t="s">
        <v>76</v>
      </c>
      <c r="M385" s="1" t="s">
        <v>506</v>
      </c>
      <c r="N385" s="1" t="s">
        <v>645</v>
      </c>
      <c r="O385" s="1" t="s">
        <v>17</v>
      </c>
      <c r="P385" s="82">
        <v>0.95699999999999996</v>
      </c>
      <c r="Q385" s="1" t="s">
        <v>76</v>
      </c>
      <c r="R385" s="81" t="s">
        <v>285</v>
      </c>
      <c r="S385" s="1">
        <v>3</v>
      </c>
      <c r="T385" s="1" t="s">
        <v>120</v>
      </c>
      <c r="U385" s="1" t="s">
        <v>659</v>
      </c>
      <c r="V385" s="1" t="s">
        <v>655</v>
      </c>
      <c r="W385" s="1">
        <v>69</v>
      </c>
      <c r="X385" s="1" t="s">
        <v>286</v>
      </c>
      <c r="Y385" s="1" t="s">
        <v>645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0.95699999999999996</v>
      </c>
      <c r="AM385" s="1">
        <v>3.2000000000000001E-2</v>
      </c>
      <c r="AN385" s="1">
        <v>1E-3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1E-3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3.0000000000000001E-3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1E-3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1E-3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-23.37868735</v>
      </c>
      <c r="CN385" s="83">
        <v>46.2812166</v>
      </c>
    </row>
    <row r="386" spans="1:92" s="3" customFormat="1" x14ac:dyDescent="0.25">
      <c r="A386" s="72">
        <v>398</v>
      </c>
      <c r="B386" s="81" t="s">
        <v>1204</v>
      </c>
      <c r="C386" s="1" t="s">
        <v>83</v>
      </c>
      <c r="D386" s="1" t="s">
        <v>79</v>
      </c>
      <c r="E386" s="1" t="s">
        <v>99</v>
      </c>
      <c r="F386" s="1" t="s">
        <v>84</v>
      </c>
      <c r="G386" s="1" t="s">
        <v>505</v>
      </c>
      <c r="H386" s="1" t="s">
        <v>85</v>
      </c>
      <c r="I386" s="1"/>
      <c r="J386" s="9" t="s">
        <v>544</v>
      </c>
      <c r="K386" s="10">
        <v>0.58539383333333295</v>
      </c>
      <c r="L386" s="1" t="s">
        <v>641</v>
      </c>
      <c r="M386" s="1" t="s">
        <v>76</v>
      </c>
      <c r="N386" s="1" t="s">
        <v>649</v>
      </c>
      <c r="O386" s="1" t="s">
        <v>17</v>
      </c>
      <c r="P386" s="82">
        <v>0.76500000000000001</v>
      </c>
      <c r="Q386" s="1">
        <f>SUM(AK386:AN386)</f>
        <v>0.77500000000000002</v>
      </c>
      <c r="R386" s="81" t="s">
        <v>297</v>
      </c>
      <c r="S386" s="1" t="s">
        <v>123</v>
      </c>
      <c r="T386" s="1" t="s">
        <v>78</v>
      </c>
      <c r="U386" s="1" t="s">
        <v>659</v>
      </c>
      <c r="V386" s="1" t="s">
        <v>655</v>
      </c>
      <c r="W386" s="1">
        <v>52</v>
      </c>
      <c r="X386" s="1" t="s">
        <v>88</v>
      </c>
      <c r="Y386" s="1" t="s">
        <v>649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1E-3</v>
      </c>
      <c r="AI386" s="1">
        <v>0</v>
      </c>
      <c r="AJ386" s="1">
        <v>0</v>
      </c>
      <c r="AK386" s="1">
        <v>1E-3</v>
      </c>
      <c r="AL386" s="1">
        <v>0.76500000000000001</v>
      </c>
      <c r="AM386" s="1">
        <v>8.9999999999999993E-3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1E-3</v>
      </c>
      <c r="AT386" s="1">
        <v>0</v>
      </c>
      <c r="AU386" s="1">
        <v>0</v>
      </c>
      <c r="AV386" s="1">
        <v>0</v>
      </c>
      <c r="AW386" s="1">
        <v>2E-3</v>
      </c>
      <c r="AX386" s="1">
        <v>0.17899999999999999</v>
      </c>
      <c r="AY386" s="1">
        <v>1E-3</v>
      </c>
      <c r="AZ386" s="1">
        <v>0</v>
      </c>
      <c r="BA386" s="1">
        <v>1E-3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1.0999999999999999E-2</v>
      </c>
      <c r="BM386" s="1">
        <v>1E-3</v>
      </c>
      <c r="BN386" s="1">
        <v>0</v>
      </c>
      <c r="BO386" s="1">
        <v>0</v>
      </c>
      <c r="BP386" s="1">
        <v>0</v>
      </c>
      <c r="BQ386" s="1">
        <v>2E-3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1E-3</v>
      </c>
      <c r="BY386" s="1">
        <v>1E-3</v>
      </c>
      <c r="BZ386" s="1">
        <v>2E-3</v>
      </c>
      <c r="CA386" s="1">
        <v>1E-3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1E-3</v>
      </c>
      <c r="CH386" s="1">
        <v>0</v>
      </c>
      <c r="CI386" s="1">
        <v>0</v>
      </c>
      <c r="CJ386" s="1">
        <v>1E-3</v>
      </c>
      <c r="CK386" s="1">
        <v>0.01</v>
      </c>
      <c r="CL386" s="1">
        <v>1E-3</v>
      </c>
      <c r="CM386" s="1">
        <v>10.909044420000001</v>
      </c>
      <c r="CN386" s="83">
        <v>55.362375190000002</v>
      </c>
    </row>
    <row r="387" spans="1:92" s="3" customFormat="1" x14ac:dyDescent="0.25">
      <c r="A387" s="72">
        <v>204</v>
      </c>
      <c r="B387" s="81" t="s">
        <v>1289</v>
      </c>
      <c r="C387" s="1" t="s">
        <v>83</v>
      </c>
      <c r="D387" s="1" t="s">
        <v>79</v>
      </c>
      <c r="E387" s="1" t="s">
        <v>195</v>
      </c>
      <c r="F387" s="1" t="s">
        <v>665</v>
      </c>
      <c r="G387" s="1" t="s">
        <v>231</v>
      </c>
      <c r="H387" s="1" t="s">
        <v>48</v>
      </c>
      <c r="I387" s="1"/>
      <c r="J387" s="9" t="s">
        <v>544</v>
      </c>
      <c r="K387" s="95">
        <v>0.49982650000000001</v>
      </c>
      <c r="L387" s="89" t="s">
        <v>1707</v>
      </c>
      <c r="M387" s="1" t="s">
        <v>506</v>
      </c>
      <c r="N387" s="1" t="s">
        <v>648</v>
      </c>
      <c r="O387" s="1" t="s">
        <v>68</v>
      </c>
      <c r="P387" s="82">
        <v>0.98499999999999999</v>
      </c>
      <c r="Q387" s="1" t="s">
        <v>76</v>
      </c>
      <c r="R387" s="81" t="s">
        <v>232</v>
      </c>
      <c r="S387" s="1">
        <v>3</v>
      </c>
      <c r="T387" s="1" t="s">
        <v>120</v>
      </c>
      <c r="U387" s="1" t="s">
        <v>658</v>
      </c>
      <c r="V387" s="1" t="s">
        <v>655</v>
      </c>
      <c r="W387" s="1">
        <v>57</v>
      </c>
      <c r="X387" s="1" t="s">
        <v>233</v>
      </c>
      <c r="Y387" s="1" t="s">
        <v>648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1E-3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1E-3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0.98499999999999999</v>
      </c>
      <c r="CL387" s="1">
        <v>6.0000000000000001E-3</v>
      </c>
      <c r="CM387" s="1">
        <v>45.233343120000001</v>
      </c>
      <c r="CN387" s="83">
        <v>-78.941595480000004</v>
      </c>
    </row>
    <row r="388" spans="1:92" s="3" customFormat="1" x14ac:dyDescent="0.25">
      <c r="A388" s="72">
        <v>400</v>
      </c>
      <c r="B388" s="81" t="s">
        <v>1368</v>
      </c>
      <c r="C388" s="1" t="s">
        <v>83</v>
      </c>
      <c r="D388" s="1" t="s">
        <v>79</v>
      </c>
      <c r="E388" s="1" t="s">
        <v>74</v>
      </c>
      <c r="F388" s="1" t="s">
        <v>84</v>
      </c>
      <c r="G388" s="1" t="s">
        <v>86</v>
      </c>
      <c r="H388" s="1" t="s">
        <v>85</v>
      </c>
      <c r="I388" s="1"/>
      <c r="J388" s="9" t="s">
        <v>544</v>
      </c>
      <c r="K388" s="10">
        <v>0.35927316666666698</v>
      </c>
      <c r="L388" s="1" t="s">
        <v>510</v>
      </c>
      <c r="M388" s="1" t="s">
        <v>76</v>
      </c>
      <c r="N388" s="1" t="s">
        <v>644</v>
      </c>
      <c r="O388" s="1" t="s">
        <v>69</v>
      </c>
      <c r="P388" s="82">
        <v>0.61099999999999999</v>
      </c>
      <c r="Q388" s="1">
        <f>SUM(AK388:AN388)</f>
        <v>1.3999999999999999E-2</v>
      </c>
      <c r="R388" s="81" t="s">
        <v>129</v>
      </c>
      <c r="S388" s="1">
        <v>2</v>
      </c>
      <c r="T388" s="1" t="s">
        <v>120</v>
      </c>
      <c r="U388" s="1" t="s">
        <v>659</v>
      </c>
      <c r="V388" s="1" t="s">
        <v>655</v>
      </c>
      <c r="W388" s="1">
        <v>31</v>
      </c>
      <c r="X388" s="1" t="s">
        <v>288</v>
      </c>
      <c r="Y388" s="1" t="s">
        <v>644</v>
      </c>
      <c r="Z388" s="1">
        <v>1.2E-2</v>
      </c>
      <c r="AA388" s="1">
        <v>2E-3</v>
      </c>
      <c r="AB388" s="1">
        <v>2E-3</v>
      </c>
      <c r="AC388" s="1">
        <v>3.0000000000000001E-3</v>
      </c>
      <c r="AD388" s="1">
        <v>1.4E-2</v>
      </c>
      <c r="AE388" s="1">
        <v>2E-3</v>
      </c>
      <c r="AF388" s="1">
        <v>2E-3</v>
      </c>
      <c r="AG388" s="1">
        <v>0</v>
      </c>
      <c r="AH388" s="1">
        <v>8.0000000000000002E-3</v>
      </c>
      <c r="AI388" s="1">
        <v>1E-3</v>
      </c>
      <c r="AJ388" s="1">
        <v>3.0000000000000001E-3</v>
      </c>
      <c r="AK388" s="1">
        <v>2E-3</v>
      </c>
      <c r="AL388" s="1">
        <v>0</v>
      </c>
      <c r="AM388" s="1">
        <v>3.0000000000000001E-3</v>
      </c>
      <c r="AN388" s="1">
        <v>8.9999999999999993E-3</v>
      </c>
      <c r="AO388" s="1">
        <v>1E-3</v>
      </c>
      <c r="AP388" s="1">
        <v>1E-3</v>
      </c>
      <c r="AQ388" s="1">
        <v>4.0000000000000001E-3</v>
      </c>
      <c r="AR388" s="1">
        <v>6.0000000000000001E-3</v>
      </c>
      <c r="AS388" s="1">
        <v>3.0000000000000001E-3</v>
      </c>
      <c r="AT388" s="1">
        <v>2E-3</v>
      </c>
      <c r="AU388" s="1">
        <v>3.0000000000000001E-3</v>
      </c>
      <c r="AV388" s="1">
        <v>4.0000000000000001E-3</v>
      </c>
      <c r="AW388" s="1">
        <v>2E-3</v>
      </c>
      <c r="AX388" s="1">
        <v>0.02</v>
      </c>
      <c r="AY388" s="1">
        <v>7.0000000000000001E-3</v>
      </c>
      <c r="AZ388" s="1">
        <v>8.0000000000000002E-3</v>
      </c>
      <c r="BA388" s="1">
        <v>7.0000000000000001E-3</v>
      </c>
      <c r="BB388" s="1">
        <v>1E-3</v>
      </c>
      <c r="BC388" s="1">
        <v>1E-3</v>
      </c>
      <c r="BD388" s="1">
        <v>1.0999999999999999E-2</v>
      </c>
      <c r="BE388" s="1">
        <v>1E-3</v>
      </c>
      <c r="BF388" s="1">
        <v>3.0000000000000001E-3</v>
      </c>
      <c r="BG388" s="1">
        <v>0</v>
      </c>
      <c r="BH388" s="1">
        <v>1E-3</v>
      </c>
      <c r="BI388" s="1">
        <v>1E-3</v>
      </c>
      <c r="BJ388" s="1">
        <v>7.3999999999999996E-2</v>
      </c>
      <c r="BK388" s="1">
        <v>1E-3</v>
      </c>
      <c r="BL388" s="1">
        <v>4.0000000000000001E-3</v>
      </c>
      <c r="BM388" s="1">
        <v>1E-3</v>
      </c>
      <c r="BN388" s="1">
        <v>3.0000000000000001E-3</v>
      </c>
      <c r="BO388" s="1">
        <v>1E-3</v>
      </c>
      <c r="BP388" s="1">
        <v>8.0000000000000002E-3</v>
      </c>
      <c r="BQ388" s="1">
        <v>2E-3</v>
      </c>
      <c r="BR388" s="1">
        <v>2E-3</v>
      </c>
      <c r="BS388" s="1">
        <v>3.0000000000000001E-3</v>
      </c>
      <c r="BT388" s="1">
        <v>1E-3</v>
      </c>
      <c r="BU388" s="1">
        <v>1.7999999999999999E-2</v>
      </c>
      <c r="BV388" s="1">
        <v>1E-3</v>
      </c>
      <c r="BW388" s="1">
        <v>2E-3</v>
      </c>
      <c r="BX388" s="1">
        <v>4.0000000000000001E-3</v>
      </c>
      <c r="BY388" s="1">
        <v>5.0000000000000001E-3</v>
      </c>
      <c r="BZ388" s="1">
        <v>1.2999999999999999E-2</v>
      </c>
      <c r="CA388" s="1">
        <v>2E-3</v>
      </c>
      <c r="CB388" s="1">
        <v>1E-3</v>
      </c>
      <c r="CC388" s="1">
        <v>2E-3</v>
      </c>
      <c r="CD388" s="1">
        <v>0</v>
      </c>
      <c r="CE388" s="1">
        <v>2E-3</v>
      </c>
      <c r="CF388" s="1">
        <v>2E-3</v>
      </c>
      <c r="CG388" s="1">
        <v>3.0000000000000001E-3</v>
      </c>
      <c r="CH388" s="1">
        <v>2E-3</v>
      </c>
      <c r="CI388" s="1">
        <v>2E-3</v>
      </c>
      <c r="CJ388" s="1">
        <v>3.0000000000000001E-3</v>
      </c>
      <c r="CK388" s="1">
        <v>7.3999999999999996E-2</v>
      </c>
      <c r="CL388" s="1">
        <v>0.61099999999999999</v>
      </c>
      <c r="CM388" s="1">
        <v>-54.687427550000002</v>
      </c>
      <c r="CN388" s="83">
        <v>-13.20932153</v>
      </c>
    </row>
    <row r="389" spans="1:92" s="3" customFormat="1" x14ac:dyDescent="0.25">
      <c r="A389" s="72">
        <v>401</v>
      </c>
      <c r="B389" s="81" t="s">
        <v>1042</v>
      </c>
      <c r="C389" s="1" t="s">
        <v>83</v>
      </c>
      <c r="D389" s="1" t="s">
        <v>79</v>
      </c>
      <c r="E389" s="1" t="s">
        <v>74</v>
      </c>
      <c r="F389" s="1" t="s">
        <v>84</v>
      </c>
      <c r="G389" s="1" t="s">
        <v>86</v>
      </c>
      <c r="H389" s="1" t="s">
        <v>85</v>
      </c>
      <c r="I389" s="1"/>
      <c r="J389" s="9" t="s">
        <v>544</v>
      </c>
      <c r="K389" s="10">
        <v>0.42816616666666701</v>
      </c>
      <c r="L389" s="1" t="s">
        <v>76</v>
      </c>
      <c r="M389" s="1" t="s">
        <v>506</v>
      </c>
      <c r="N389" s="1" t="s">
        <v>645</v>
      </c>
      <c r="O389" s="1" t="s">
        <v>17</v>
      </c>
      <c r="P389" s="82">
        <v>0.999</v>
      </c>
      <c r="Q389" s="1" t="s">
        <v>76</v>
      </c>
      <c r="R389" s="81" t="s">
        <v>95</v>
      </c>
      <c r="S389" s="1">
        <v>2</v>
      </c>
      <c r="T389" s="1" t="s">
        <v>78</v>
      </c>
      <c r="U389" s="1" t="s">
        <v>659</v>
      </c>
      <c r="V389" s="1" t="s">
        <v>655</v>
      </c>
      <c r="W389" s="1">
        <v>69</v>
      </c>
      <c r="X389" s="1" t="s">
        <v>288</v>
      </c>
      <c r="Y389" s="1" t="s">
        <v>645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0.999</v>
      </c>
      <c r="AM389" s="1">
        <v>1E-3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-28.729692679999999</v>
      </c>
      <c r="CN389" s="83">
        <v>50.175750069999999</v>
      </c>
    </row>
    <row r="390" spans="1:92" s="3" customFormat="1" x14ac:dyDescent="0.25">
      <c r="A390" s="72">
        <v>402</v>
      </c>
      <c r="B390" s="81" t="s">
        <v>1079</v>
      </c>
      <c r="C390" s="1" t="s">
        <v>83</v>
      </c>
      <c r="D390" s="1" t="s">
        <v>79</v>
      </c>
      <c r="E390" s="1" t="s">
        <v>99</v>
      </c>
      <c r="F390" s="1" t="s">
        <v>84</v>
      </c>
      <c r="G390" s="1" t="s">
        <v>505</v>
      </c>
      <c r="H390" s="1" t="s">
        <v>85</v>
      </c>
      <c r="I390" s="1"/>
      <c r="J390" s="9" t="s">
        <v>544</v>
      </c>
      <c r="K390" s="10">
        <v>0.322137333333333</v>
      </c>
      <c r="L390" s="1" t="s">
        <v>545</v>
      </c>
      <c r="M390" s="1" t="s">
        <v>76</v>
      </c>
      <c r="N390" s="1" t="s">
        <v>644</v>
      </c>
      <c r="O390" s="1" t="s">
        <v>29</v>
      </c>
      <c r="P390" s="82">
        <v>0.28100000000000003</v>
      </c>
      <c r="Q390" s="1">
        <f>SUM(AK390:AN390)</f>
        <v>0.12</v>
      </c>
      <c r="R390" s="81" t="s">
        <v>87</v>
      </c>
      <c r="S390" s="1" t="s">
        <v>123</v>
      </c>
      <c r="T390" s="1" t="s">
        <v>78</v>
      </c>
      <c r="U390" s="1" t="s">
        <v>658</v>
      </c>
      <c r="V390" s="1" t="s">
        <v>655</v>
      </c>
      <c r="W390" s="1">
        <v>55</v>
      </c>
      <c r="X390" s="1" t="s">
        <v>286</v>
      </c>
      <c r="Y390" s="1" t="s">
        <v>647</v>
      </c>
      <c r="Z390" s="1">
        <v>4.4999999999999998E-2</v>
      </c>
      <c r="AA390" s="1">
        <v>0.02</v>
      </c>
      <c r="AB390" s="1">
        <v>3.0000000000000001E-3</v>
      </c>
      <c r="AC390" s="1">
        <v>1.6E-2</v>
      </c>
      <c r="AD390" s="1">
        <v>6.0000000000000001E-3</v>
      </c>
      <c r="AE390" s="1">
        <v>3.0000000000000001E-3</v>
      </c>
      <c r="AF390" s="1">
        <v>3.0000000000000001E-3</v>
      </c>
      <c r="AG390" s="1">
        <v>0</v>
      </c>
      <c r="AH390" s="1">
        <v>5.2999999999999999E-2</v>
      </c>
      <c r="AI390" s="1">
        <v>1.7999999999999999E-2</v>
      </c>
      <c r="AJ390" s="1">
        <v>2E-3</v>
      </c>
      <c r="AK390" s="1">
        <v>5.0000000000000001E-3</v>
      </c>
      <c r="AL390" s="1">
        <v>0.08</v>
      </c>
      <c r="AM390" s="1">
        <v>8.0000000000000002E-3</v>
      </c>
      <c r="AN390" s="1">
        <v>2.7E-2</v>
      </c>
      <c r="AO390" s="1">
        <v>3.0000000000000001E-3</v>
      </c>
      <c r="AP390" s="1">
        <v>3.0000000000000001E-3</v>
      </c>
      <c r="AQ390" s="1">
        <v>2E-3</v>
      </c>
      <c r="AR390" s="1">
        <v>2E-3</v>
      </c>
      <c r="AS390" s="1">
        <v>5.0000000000000001E-3</v>
      </c>
      <c r="AT390" s="1">
        <v>5.0000000000000001E-3</v>
      </c>
      <c r="AU390" s="1">
        <v>4.0000000000000001E-3</v>
      </c>
      <c r="AV390" s="1">
        <v>4.0000000000000001E-3</v>
      </c>
      <c r="AW390" s="1">
        <v>6.0000000000000001E-3</v>
      </c>
      <c r="AX390" s="1">
        <v>0.28100000000000003</v>
      </c>
      <c r="AY390" s="1">
        <v>8.0000000000000002E-3</v>
      </c>
      <c r="AZ390" s="1">
        <v>5.0000000000000001E-3</v>
      </c>
      <c r="BA390" s="1">
        <v>8.9999999999999993E-3</v>
      </c>
      <c r="BB390" s="1">
        <v>2E-3</v>
      </c>
      <c r="BC390" s="1">
        <v>2E-3</v>
      </c>
      <c r="BD390" s="1">
        <v>0.01</v>
      </c>
      <c r="BE390" s="1">
        <v>2E-3</v>
      </c>
      <c r="BF390" s="1">
        <v>5.0000000000000001E-3</v>
      </c>
      <c r="BG390" s="1">
        <v>1E-3</v>
      </c>
      <c r="BH390" s="1">
        <v>5.0000000000000001E-3</v>
      </c>
      <c r="BI390" s="1">
        <v>2E-3</v>
      </c>
      <c r="BJ390" s="1">
        <v>1E-3</v>
      </c>
      <c r="BK390" s="1">
        <v>2E-3</v>
      </c>
      <c r="BL390" s="1">
        <v>1.9E-2</v>
      </c>
      <c r="BM390" s="1">
        <v>7.0000000000000001E-3</v>
      </c>
      <c r="BN390" s="1">
        <v>3.0000000000000001E-3</v>
      </c>
      <c r="BO390" s="1">
        <v>2E-3</v>
      </c>
      <c r="BP390" s="1">
        <v>1E-3</v>
      </c>
      <c r="BQ390" s="1">
        <v>1.2999999999999999E-2</v>
      </c>
      <c r="BR390" s="1">
        <v>6.0000000000000001E-3</v>
      </c>
      <c r="BS390" s="1">
        <v>3.0000000000000001E-3</v>
      </c>
      <c r="BT390" s="1">
        <v>2E-3</v>
      </c>
      <c r="BU390" s="1">
        <v>3.0000000000000001E-3</v>
      </c>
      <c r="BV390" s="1">
        <v>2E-3</v>
      </c>
      <c r="BW390" s="1">
        <v>3.0000000000000001E-3</v>
      </c>
      <c r="BX390" s="1">
        <v>1.4999999999999999E-2</v>
      </c>
      <c r="BY390" s="1">
        <v>1.0999999999999999E-2</v>
      </c>
      <c r="BZ390" s="1">
        <v>1.9E-2</v>
      </c>
      <c r="CA390" s="1">
        <v>8.0000000000000002E-3</v>
      </c>
      <c r="CB390" s="1">
        <v>1E-3</v>
      </c>
      <c r="CC390" s="1">
        <v>3.0000000000000001E-3</v>
      </c>
      <c r="CD390" s="1">
        <v>1E-3</v>
      </c>
      <c r="CE390" s="1">
        <v>4.0000000000000001E-3</v>
      </c>
      <c r="CF390" s="1">
        <v>5.0000000000000001E-3</v>
      </c>
      <c r="CG390" s="1">
        <v>2.5999999999999999E-2</v>
      </c>
      <c r="CH390" s="1">
        <v>4.0000000000000001E-3</v>
      </c>
      <c r="CI390" s="1">
        <v>4.0000000000000001E-3</v>
      </c>
      <c r="CJ390" s="1">
        <v>7.0000000000000001E-3</v>
      </c>
      <c r="CK390" s="1">
        <v>0.16200000000000001</v>
      </c>
      <c r="CL390" s="1">
        <v>8.9999999999999993E-3</v>
      </c>
      <c r="CM390" s="1">
        <v>13.235183259999999</v>
      </c>
      <c r="CN390" s="83">
        <v>-25.778549659999999</v>
      </c>
    </row>
    <row r="391" spans="1:92" s="3" customFormat="1" x14ac:dyDescent="0.25">
      <c r="A391" s="72">
        <v>403</v>
      </c>
      <c r="B391" s="81" t="s">
        <v>1077</v>
      </c>
      <c r="C391" s="1" t="s">
        <v>83</v>
      </c>
      <c r="D391" s="1" t="s">
        <v>79</v>
      </c>
      <c r="E391" s="1" t="s">
        <v>99</v>
      </c>
      <c r="F391" s="1" t="s">
        <v>84</v>
      </c>
      <c r="G391" s="1" t="s">
        <v>505</v>
      </c>
      <c r="H391" s="1" t="s">
        <v>85</v>
      </c>
      <c r="I391" s="1"/>
      <c r="J391" s="9" t="s">
        <v>544</v>
      </c>
      <c r="K391" s="10">
        <v>0.43267183333333398</v>
      </c>
      <c r="L391" s="1" t="s">
        <v>641</v>
      </c>
      <c r="M391" s="1" t="s">
        <v>76</v>
      </c>
      <c r="N391" s="1" t="s">
        <v>649</v>
      </c>
      <c r="O391" s="1" t="s">
        <v>17</v>
      </c>
      <c r="P391" s="82">
        <v>0.83799999999999997</v>
      </c>
      <c r="Q391" s="1">
        <f>SUM(AK391:AN391)</f>
        <v>0.84499999999999997</v>
      </c>
      <c r="R391" s="81" t="s">
        <v>87</v>
      </c>
      <c r="S391" s="1" t="s">
        <v>123</v>
      </c>
      <c r="T391" s="1" t="s">
        <v>78</v>
      </c>
      <c r="U391" s="1" t="s">
        <v>658</v>
      </c>
      <c r="V391" s="1" t="s">
        <v>655</v>
      </c>
      <c r="W391" s="1">
        <v>55</v>
      </c>
      <c r="X391" s="1" t="s">
        <v>286</v>
      </c>
      <c r="Y391" s="1" t="s">
        <v>649</v>
      </c>
      <c r="Z391" s="1">
        <v>0</v>
      </c>
      <c r="AA391" s="1">
        <v>5.0000000000000001E-3</v>
      </c>
      <c r="AB391" s="1">
        <v>0</v>
      </c>
      <c r="AC391" s="1">
        <v>1E-3</v>
      </c>
      <c r="AD391" s="1">
        <v>1E-3</v>
      </c>
      <c r="AE391" s="1">
        <v>0</v>
      </c>
      <c r="AF391" s="1">
        <v>1E-3</v>
      </c>
      <c r="AG391" s="1">
        <v>0</v>
      </c>
      <c r="AH391" s="1">
        <v>2E-3</v>
      </c>
      <c r="AI391" s="1">
        <v>1E-3</v>
      </c>
      <c r="AJ391" s="1">
        <v>0</v>
      </c>
      <c r="AK391" s="1">
        <v>2E-3</v>
      </c>
      <c r="AL391" s="1">
        <v>0.83799999999999997</v>
      </c>
      <c r="AM391" s="1">
        <v>4.0000000000000001E-3</v>
      </c>
      <c r="AN391" s="1">
        <v>1E-3</v>
      </c>
      <c r="AO391" s="1">
        <v>1E-3</v>
      </c>
      <c r="AP391" s="1">
        <v>0</v>
      </c>
      <c r="AQ391" s="1">
        <v>0</v>
      </c>
      <c r="AR391" s="1">
        <v>0</v>
      </c>
      <c r="AS391" s="1">
        <v>1E-3</v>
      </c>
      <c r="AT391" s="1">
        <v>1E-3</v>
      </c>
      <c r="AU391" s="1">
        <v>1E-3</v>
      </c>
      <c r="AV391" s="1">
        <v>1E-3</v>
      </c>
      <c r="AW391" s="1">
        <v>2E-3</v>
      </c>
      <c r="AX391" s="1">
        <v>0.06</v>
      </c>
      <c r="AY391" s="1">
        <v>1E-3</v>
      </c>
      <c r="AZ391" s="1">
        <v>1E-3</v>
      </c>
      <c r="BA391" s="1">
        <v>1E-3</v>
      </c>
      <c r="BB391" s="1">
        <v>0</v>
      </c>
      <c r="BC391" s="1">
        <v>1E-3</v>
      </c>
      <c r="BD391" s="1">
        <v>1E-3</v>
      </c>
      <c r="BE391" s="1">
        <v>0</v>
      </c>
      <c r="BF391" s="1">
        <v>0</v>
      </c>
      <c r="BG391" s="1">
        <v>1E-3</v>
      </c>
      <c r="BH391" s="1">
        <v>0</v>
      </c>
      <c r="BI391" s="1">
        <v>0</v>
      </c>
      <c r="BJ391" s="1">
        <v>0</v>
      </c>
      <c r="BK391" s="1">
        <v>0</v>
      </c>
      <c r="BL391" s="1">
        <v>1.2E-2</v>
      </c>
      <c r="BM391" s="1">
        <v>3.0000000000000001E-3</v>
      </c>
      <c r="BN391" s="1">
        <v>1E-3</v>
      </c>
      <c r="BO391" s="1">
        <v>0</v>
      </c>
      <c r="BP391" s="1">
        <v>0</v>
      </c>
      <c r="BQ391" s="1">
        <v>5.0000000000000001E-3</v>
      </c>
      <c r="BR391" s="1">
        <v>1E-3</v>
      </c>
      <c r="BS391" s="1">
        <v>0</v>
      </c>
      <c r="BT391" s="1">
        <v>0</v>
      </c>
      <c r="BU391" s="1">
        <v>0</v>
      </c>
      <c r="BV391" s="1">
        <v>0</v>
      </c>
      <c r="BW391" s="1">
        <v>1E-3</v>
      </c>
      <c r="BX391" s="1">
        <v>2E-3</v>
      </c>
      <c r="BY391" s="1">
        <v>4.0000000000000001E-3</v>
      </c>
      <c r="BZ391" s="1">
        <v>8.9999999999999993E-3</v>
      </c>
      <c r="CA391" s="1">
        <v>2E-3</v>
      </c>
      <c r="CB391" s="1">
        <v>0</v>
      </c>
      <c r="CC391" s="1">
        <v>0</v>
      </c>
      <c r="CD391" s="1">
        <v>0</v>
      </c>
      <c r="CE391" s="1">
        <v>1E-3</v>
      </c>
      <c r="CF391" s="1">
        <v>1E-3</v>
      </c>
      <c r="CG391" s="1">
        <v>6.0000000000000001E-3</v>
      </c>
      <c r="CH391" s="1">
        <v>1E-3</v>
      </c>
      <c r="CI391" s="1">
        <v>1E-3</v>
      </c>
      <c r="CJ391" s="1">
        <v>1E-3</v>
      </c>
      <c r="CK391" s="1">
        <v>1.7999999999999999E-2</v>
      </c>
      <c r="CL391" s="1">
        <v>1E-3</v>
      </c>
      <c r="CM391" s="1">
        <v>-18.340665319999999</v>
      </c>
      <c r="CN391" s="83">
        <v>60.553264470000002</v>
      </c>
    </row>
    <row r="392" spans="1:92" s="3" customFormat="1" x14ac:dyDescent="0.25">
      <c r="A392" s="72">
        <v>405</v>
      </c>
      <c r="B392" s="81" t="s">
        <v>947</v>
      </c>
      <c r="C392" s="1" t="s">
        <v>83</v>
      </c>
      <c r="D392" s="1" t="s">
        <v>79</v>
      </c>
      <c r="E392" s="1" t="s">
        <v>99</v>
      </c>
      <c r="F392" s="1" t="s">
        <v>84</v>
      </c>
      <c r="G392" s="1" t="s">
        <v>556</v>
      </c>
      <c r="H392" s="1" t="s">
        <v>85</v>
      </c>
      <c r="I392" s="1"/>
      <c r="J392" s="9" t="s">
        <v>544</v>
      </c>
      <c r="K392" s="10">
        <v>0.36755383333333402</v>
      </c>
      <c r="L392" s="1" t="s">
        <v>510</v>
      </c>
      <c r="M392" s="1" t="s">
        <v>76</v>
      </c>
      <c r="N392" s="1" t="s">
        <v>644</v>
      </c>
      <c r="O392" s="1" t="s">
        <v>68</v>
      </c>
      <c r="P392" s="82">
        <v>0.33</v>
      </c>
      <c r="Q392" s="1">
        <f>SUM(AK392:AN392)</f>
        <v>9.0000000000000011E-3</v>
      </c>
      <c r="R392" s="81" t="s">
        <v>183</v>
      </c>
      <c r="S392" s="1">
        <v>1</v>
      </c>
      <c r="T392" s="1" t="s">
        <v>78</v>
      </c>
      <c r="U392" s="1" t="s">
        <v>658</v>
      </c>
      <c r="V392" s="1" t="s">
        <v>655</v>
      </c>
      <c r="W392" s="1">
        <v>44</v>
      </c>
      <c r="X392" s="1" t="s">
        <v>288</v>
      </c>
      <c r="Y392" s="1" t="s">
        <v>644</v>
      </c>
      <c r="Z392" s="1">
        <v>1.4E-2</v>
      </c>
      <c r="AA392" s="1">
        <v>3.0000000000000001E-3</v>
      </c>
      <c r="AB392" s="1">
        <v>2E-3</v>
      </c>
      <c r="AC392" s="1">
        <v>3.0000000000000001E-3</v>
      </c>
      <c r="AD392" s="1">
        <v>6.0000000000000001E-3</v>
      </c>
      <c r="AE392" s="1">
        <v>2E-3</v>
      </c>
      <c r="AF392" s="1">
        <v>3.0000000000000001E-3</v>
      </c>
      <c r="AG392" s="1">
        <v>0</v>
      </c>
      <c r="AH392" s="1">
        <v>6.0000000000000001E-3</v>
      </c>
      <c r="AI392" s="1">
        <v>1E-3</v>
      </c>
      <c r="AJ392" s="1">
        <v>3.0000000000000001E-3</v>
      </c>
      <c r="AK392" s="1">
        <v>2E-3</v>
      </c>
      <c r="AL392" s="1">
        <v>0</v>
      </c>
      <c r="AM392" s="1">
        <v>2E-3</v>
      </c>
      <c r="AN392" s="1">
        <v>5.0000000000000001E-3</v>
      </c>
      <c r="AO392" s="1">
        <v>1E-3</v>
      </c>
      <c r="AP392" s="1">
        <v>1E-3</v>
      </c>
      <c r="AQ392" s="1">
        <v>1E-3</v>
      </c>
      <c r="AR392" s="1">
        <v>3.3000000000000002E-2</v>
      </c>
      <c r="AS392" s="1">
        <v>4.0000000000000001E-3</v>
      </c>
      <c r="AT392" s="1">
        <v>2E-3</v>
      </c>
      <c r="AU392" s="1">
        <v>6.0000000000000001E-3</v>
      </c>
      <c r="AV392" s="1">
        <v>3.0000000000000001E-3</v>
      </c>
      <c r="AW392" s="1">
        <v>2E-3</v>
      </c>
      <c r="AX392" s="1">
        <v>4.1000000000000002E-2</v>
      </c>
      <c r="AY392" s="1">
        <v>6.0000000000000001E-3</v>
      </c>
      <c r="AZ392" s="1">
        <v>8.0000000000000002E-3</v>
      </c>
      <c r="BA392" s="1">
        <v>6.0000000000000001E-3</v>
      </c>
      <c r="BB392" s="1">
        <v>2E-3</v>
      </c>
      <c r="BC392" s="1">
        <v>1E-3</v>
      </c>
      <c r="BD392" s="1">
        <v>8.0000000000000002E-3</v>
      </c>
      <c r="BE392" s="1">
        <v>1E-3</v>
      </c>
      <c r="BF392" s="1">
        <v>3.0000000000000001E-3</v>
      </c>
      <c r="BG392" s="1">
        <v>0</v>
      </c>
      <c r="BH392" s="1">
        <v>1E-3</v>
      </c>
      <c r="BI392" s="1">
        <v>1E-3</v>
      </c>
      <c r="BJ392" s="1">
        <v>8.0000000000000002E-3</v>
      </c>
      <c r="BK392" s="1">
        <v>1E-3</v>
      </c>
      <c r="BL392" s="1">
        <v>4.0000000000000001E-3</v>
      </c>
      <c r="BM392" s="1">
        <v>1E-3</v>
      </c>
      <c r="BN392" s="1">
        <v>2E-3</v>
      </c>
      <c r="BO392" s="1">
        <v>2E-3</v>
      </c>
      <c r="BP392" s="1">
        <v>7.1999999999999995E-2</v>
      </c>
      <c r="BQ392" s="1">
        <v>2E-3</v>
      </c>
      <c r="BR392" s="1">
        <v>2E-3</v>
      </c>
      <c r="BS392" s="1">
        <v>1.7999999999999999E-2</v>
      </c>
      <c r="BT392" s="1">
        <v>1E-3</v>
      </c>
      <c r="BU392" s="1">
        <v>1.0999999999999999E-2</v>
      </c>
      <c r="BV392" s="1">
        <v>1E-3</v>
      </c>
      <c r="BW392" s="1">
        <v>2E-3</v>
      </c>
      <c r="BX392" s="1">
        <v>6.0000000000000001E-3</v>
      </c>
      <c r="BY392" s="1">
        <v>4.0000000000000001E-3</v>
      </c>
      <c r="BZ392" s="1">
        <v>0.01</v>
      </c>
      <c r="CA392" s="1">
        <v>2E-3</v>
      </c>
      <c r="CB392" s="1">
        <v>1E-3</v>
      </c>
      <c r="CC392" s="1">
        <v>2E-3</v>
      </c>
      <c r="CD392" s="1">
        <v>0</v>
      </c>
      <c r="CE392" s="1">
        <v>2E-3</v>
      </c>
      <c r="CF392" s="1">
        <v>2E-3</v>
      </c>
      <c r="CG392" s="1">
        <v>2E-3</v>
      </c>
      <c r="CH392" s="1">
        <v>2E-3</v>
      </c>
      <c r="CI392" s="1">
        <v>2E-3</v>
      </c>
      <c r="CJ392" s="1">
        <v>3.0000000000000001E-3</v>
      </c>
      <c r="CK392" s="1">
        <v>0.33</v>
      </c>
      <c r="CL392" s="1">
        <v>0.32100000000000001</v>
      </c>
      <c r="CM392" s="1">
        <v>-49.80319094</v>
      </c>
      <c r="CN392" s="83">
        <v>-15.432093549999999</v>
      </c>
    </row>
    <row r="393" spans="1:92" s="3" customFormat="1" x14ac:dyDescent="0.25">
      <c r="A393" s="72">
        <v>406</v>
      </c>
      <c r="B393" s="81" t="s">
        <v>1401</v>
      </c>
      <c r="C393" s="1" t="s">
        <v>83</v>
      </c>
      <c r="D393" s="1" t="s">
        <v>79</v>
      </c>
      <c r="E393" s="1" t="s">
        <v>99</v>
      </c>
      <c r="F393" s="1" t="s">
        <v>84</v>
      </c>
      <c r="G393" s="1" t="s">
        <v>556</v>
      </c>
      <c r="H393" s="1" t="s">
        <v>85</v>
      </c>
      <c r="I393" s="1"/>
      <c r="J393" s="9" t="s">
        <v>544</v>
      </c>
      <c r="K393" s="10">
        <v>0.41869816666666598</v>
      </c>
      <c r="L393" s="1" t="s">
        <v>641</v>
      </c>
      <c r="M393" s="1" t="s">
        <v>76</v>
      </c>
      <c r="N393" s="1" t="s">
        <v>649</v>
      </c>
      <c r="O393" s="1" t="s">
        <v>19</v>
      </c>
      <c r="P393" s="82">
        <v>0.66200000000000003</v>
      </c>
      <c r="Q393" s="1">
        <f>SUM(AK393:AN393)</f>
        <v>0.91900000000000004</v>
      </c>
      <c r="R393" s="81" t="s">
        <v>287</v>
      </c>
      <c r="S393" s="1">
        <v>1</v>
      </c>
      <c r="T393" s="1" t="s">
        <v>78</v>
      </c>
      <c r="U393" s="1" t="s">
        <v>659</v>
      </c>
      <c r="V393" s="1" t="s">
        <v>655</v>
      </c>
      <c r="W393" s="1">
        <v>44</v>
      </c>
      <c r="X393" s="1" t="s">
        <v>76</v>
      </c>
      <c r="Y393" s="1" t="s">
        <v>649</v>
      </c>
      <c r="Z393" s="1">
        <v>1E-3</v>
      </c>
      <c r="AA393" s="1">
        <v>1E-3</v>
      </c>
      <c r="AB393" s="1">
        <v>1E-3</v>
      </c>
      <c r="AC393" s="1">
        <v>0</v>
      </c>
      <c r="AD393" s="1">
        <v>1E-3</v>
      </c>
      <c r="AE393" s="1">
        <v>1E-3</v>
      </c>
      <c r="AF393" s="1">
        <v>1E-3</v>
      </c>
      <c r="AG393" s="1">
        <v>0</v>
      </c>
      <c r="AH393" s="1">
        <v>4.0000000000000001E-3</v>
      </c>
      <c r="AI393" s="1">
        <v>0</v>
      </c>
      <c r="AJ393" s="1">
        <v>7.0000000000000001E-3</v>
      </c>
      <c r="AK393" s="1">
        <v>6.6000000000000003E-2</v>
      </c>
      <c r="AL393" s="1">
        <v>0.109</v>
      </c>
      <c r="AM393" s="1">
        <v>8.2000000000000003E-2</v>
      </c>
      <c r="AN393" s="1">
        <v>0.66200000000000003</v>
      </c>
      <c r="AO393" s="1">
        <v>0</v>
      </c>
      <c r="AP393" s="1">
        <v>0</v>
      </c>
      <c r="AQ393" s="1">
        <v>0</v>
      </c>
      <c r="AR393" s="1">
        <v>3.0000000000000001E-3</v>
      </c>
      <c r="AS393" s="1">
        <v>1E-3</v>
      </c>
      <c r="AT393" s="1">
        <v>0</v>
      </c>
      <c r="AU393" s="1">
        <v>1E-3</v>
      </c>
      <c r="AV393" s="1">
        <v>1E-3</v>
      </c>
      <c r="AW393" s="1">
        <v>2E-3</v>
      </c>
      <c r="AX393" s="1">
        <v>3.0000000000000001E-3</v>
      </c>
      <c r="AY393" s="1">
        <v>1E-3</v>
      </c>
      <c r="AZ393" s="1">
        <v>2E-3</v>
      </c>
      <c r="BA393" s="1">
        <v>1E-3</v>
      </c>
      <c r="BB393" s="1">
        <v>1E-3</v>
      </c>
      <c r="BC393" s="1">
        <v>0</v>
      </c>
      <c r="BD393" s="1">
        <v>2E-3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3.0000000000000001E-3</v>
      </c>
      <c r="BM393" s="1">
        <v>1E-3</v>
      </c>
      <c r="BN393" s="1">
        <v>0</v>
      </c>
      <c r="BO393" s="1">
        <v>0</v>
      </c>
      <c r="BP393" s="1">
        <v>0</v>
      </c>
      <c r="BQ393" s="1">
        <v>1E-3</v>
      </c>
      <c r="BR393" s="1">
        <v>0</v>
      </c>
      <c r="BS393" s="1">
        <v>1E-3</v>
      </c>
      <c r="BT393" s="1">
        <v>0</v>
      </c>
      <c r="BU393" s="1">
        <v>1E-3</v>
      </c>
      <c r="BV393" s="1">
        <v>1E-3</v>
      </c>
      <c r="BW393" s="1">
        <v>1E-3</v>
      </c>
      <c r="BX393" s="1">
        <v>2E-3</v>
      </c>
      <c r="BY393" s="1">
        <v>1E-3</v>
      </c>
      <c r="BZ393" s="1">
        <v>4.0000000000000001E-3</v>
      </c>
      <c r="CA393" s="1">
        <v>1E-3</v>
      </c>
      <c r="CB393" s="1">
        <v>0</v>
      </c>
      <c r="CC393" s="1">
        <v>1E-3</v>
      </c>
      <c r="CD393" s="1">
        <v>0</v>
      </c>
      <c r="CE393" s="1">
        <v>1E-3</v>
      </c>
      <c r="CF393" s="1">
        <v>0</v>
      </c>
      <c r="CG393" s="1">
        <v>3.0000000000000001E-3</v>
      </c>
      <c r="CH393" s="1">
        <v>1E-3</v>
      </c>
      <c r="CI393" s="1">
        <v>0</v>
      </c>
      <c r="CJ393" s="1">
        <v>1E-3</v>
      </c>
      <c r="CK393" s="1">
        <v>1.4E-2</v>
      </c>
      <c r="CL393" s="1">
        <v>6.0000000000000001E-3</v>
      </c>
      <c r="CM393" s="1">
        <v>-39.286242700000003</v>
      </c>
      <c r="CN393" s="83">
        <v>-7.2090482890000001</v>
      </c>
    </row>
    <row r="394" spans="1:92" s="3" customFormat="1" x14ac:dyDescent="0.25">
      <c r="A394" s="72">
        <v>407</v>
      </c>
      <c r="B394" s="81" t="s">
        <v>1218</v>
      </c>
      <c r="C394" s="1" t="s">
        <v>83</v>
      </c>
      <c r="D394" s="1" t="s">
        <v>79</v>
      </c>
      <c r="E394" s="1" t="s">
        <v>74</v>
      </c>
      <c r="F394" s="1" t="s">
        <v>84</v>
      </c>
      <c r="G394" s="1" t="s">
        <v>86</v>
      </c>
      <c r="H394" s="1" t="s">
        <v>85</v>
      </c>
      <c r="I394" s="1"/>
      <c r="J394" s="9" t="s">
        <v>544</v>
      </c>
      <c r="K394" s="10">
        <v>0.36779783333333399</v>
      </c>
      <c r="L394" s="1" t="s">
        <v>510</v>
      </c>
      <c r="M394" s="1" t="s">
        <v>76</v>
      </c>
      <c r="N394" s="1" t="s">
        <v>644</v>
      </c>
      <c r="O394" s="1" t="s">
        <v>69</v>
      </c>
      <c r="P394" s="82">
        <v>0.124</v>
      </c>
      <c r="Q394" s="1">
        <f>SUM(AK394:AN394)</f>
        <v>0.1</v>
      </c>
      <c r="R394" s="81" t="s">
        <v>285</v>
      </c>
      <c r="S394" s="1">
        <v>3</v>
      </c>
      <c r="T394" s="1" t="s">
        <v>120</v>
      </c>
      <c r="U394" s="1" t="s">
        <v>659</v>
      </c>
      <c r="V394" s="1" t="s">
        <v>655</v>
      </c>
      <c r="W394" s="1">
        <v>69</v>
      </c>
      <c r="X394" s="1" t="s">
        <v>286</v>
      </c>
      <c r="Y394" s="1" t="s">
        <v>644</v>
      </c>
      <c r="Z394" s="1">
        <v>6.6000000000000003E-2</v>
      </c>
      <c r="AA394" s="1">
        <v>6.0000000000000001E-3</v>
      </c>
      <c r="AB394" s="1">
        <v>5.0000000000000001E-3</v>
      </c>
      <c r="AC394" s="1">
        <v>3.6999999999999998E-2</v>
      </c>
      <c r="AD394" s="1">
        <v>0.01</v>
      </c>
      <c r="AE394" s="1">
        <v>1.4E-2</v>
      </c>
      <c r="AF394" s="1">
        <v>6.0000000000000001E-3</v>
      </c>
      <c r="AG394" s="1">
        <v>1E-3</v>
      </c>
      <c r="AH394" s="1">
        <v>0.05</v>
      </c>
      <c r="AI394" s="1">
        <v>1.0999999999999999E-2</v>
      </c>
      <c r="AJ394" s="1">
        <v>4.0000000000000001E-3</v>
      </c>
      <c r="AK394" s="1">
        <v>8.9999999999999993E-3</v>
      </c>
      <c r="AL394" s="1">
        <v>4.0000000000000001E-3</v>
      </c>
      <c r="AM394" s="1">
        <v>1.2E-2</v>
      </c>
      <c r="AN394" s="1">
        <v>7.4999999999999997E-2</v>
      </c>
      <c r="AO394" s="1">
        <v>4.0000000000000001E-3</v>
      </c>
      <c r="AP394" s="1">
        <v>4.0000000000000001E-3</v>
      </c>
      <c r="AQ394" s="1">
        <v>4.0000000000000001E-3</v>
      </c>
      <c r="AR394" s="1">
        <v>4.0000000000000001E-3</v>
      </c>
      <c r="AS394" s="1">
        <v>8.9999999999999993E-3</v>
      </c>
      <c r="AT394" s="1">
        <v>7.0000000000000001E-3</v>
      </c>
      <c r="AU394" s="1">
        <v>7.0000000000000001E-3</v>
      </c>
      <c r="AV394" s="1">
        <v>1.0999999999999999E-2</v>
      </c>
      <c r="AW394" s="1">
        <v>7.0000000000000001E-3</v>
      </c>
      <c r="AX394" s="1">
        <v>2.7E-2</v>
      </c>
      <c r="AY394" s="1">
        <v>0.02</v>
      </c>
      <c r="AZ394" s="1">
        <v>1.2E-2</v>
      </c>
      <c r="BA394" s="1">
        <v>2.1999999999999999E-2</v>
      </c>
      <c r="BB394" s="1">
        <v>4.0000000000000001E-3</v>
      </c>
      <c r="BC394" s="1">
        <v>4.0000000000000001E-3</v>
      </c>
      <c r="BD394" s="1">
        <v>2.9000000000000001E-2</v>
      </c>
      <c r="BE394" s="1">
        <v>4.0000000000000001E-3</v>
      </c>
      <c r="BF394" s="1">
        <v>1.7999999999999999E-2</v>
      </c>
      <c r="BG394" s="1">
        <v>2E-3</v>
      </c>
      <c r="BH394" s="1">
        <v>7.0000000000000001E-3</v>
      </c>
      <c r="BI394" s="1">
        <v>3.0000000000000001E-3</v>
      </c>
      <c r="BJ394" s="1">
        <v>8.0000000000000002E-3</v>
      </c>
      <c r="BK394" s="1">
        <v>3.0000000000000001E-3</v>
      </c>
      <c r="BL394" s="1">
        <v>1.7999999999999999E-2</v>
      </c>
      <c r="BM394" s="1">
        <v>5.0000000000000001E-3</v>
      </c>
      <c r="BN394" s="1">
        <v>6.0000000000000001E-3</v>
      </c>
      <c r="BO394" s="1">
        <v>3.0000000000000001E-3</v>
      </c>
      <c r="BP394" s="1">
        <v>4.0000000000000001E-3</v>
      </c>
      <c r="BQ394" s="1">
        <v>1.0999999999999999E-2</v>
      </c>
      <c r="BR394" s="1">
        <v>1.4999999999999999E-2</v>
      </c>
      <c r="BS394" s="1">
        <v>5.0000000000000001E-3</v>
      </c>
      <c r="BT394" s="1">
        <v>3.0000000000000001E-3</v>
      </c>
      <c r="BU394" s="1">
        <v>1.0999999999999999E-2</v>
      </c>
      <c r="BV394" s="1">
        <v>3.0000000000000001E-3</v>
      </c>
      <c r="BW394" s="1">
        <v>6.0000000000000001E-3</v>
      </c>
      <c r="BX394" s="1">
        <v>4.3999999999999997E-2</v>
      </c>
      <c r="BY394" s="1">
        <v>1.7000000000000001E-2</v>
      </c>
      <c r="BZ394" s="1">
        <v>2.1000000000000001E-2</v>
      </c>
      <c r="CA394" s="1">
        <v>8.0000000000000002E-3</v>
      </c>
      <c r="CB394" s="1">
        <v>2E-3</v>
      </c>
      <c r="CC394" s="1">
        <v>6.0000000000000001E-3</v>
      </c>
      <c r="CD394" s="1">
        <v>1E-3</v>
      </c>
      <c r="CE394" s="1">
        <v>0.01</v>
      </c>
      <c r="CF394" s="1">
        <v>6.0000000000000001E-3</v>
      </c>
      <c r="CG394" s="1">
        <v>2.1999999999999999E-2</v>
      </c>
      <c r="CH394" s="1">
        <v>8.0000000000000002E-3</v>
      </c>
      <c r="CI394" s="1">
        <v>6.0000000000000001E-3</v>
      </c>
      <c r="CJ394" s="1">
        <v>1.4999999999999999E-2</v>
      </c>
      <c r="CK394" s="1">
        <v>9.2999999999999999E-2</v>
      </c>
      <c r="CL394" s="1">
        <v>0.124</v>
      </c>
      <c r="CM394" s="1">
        <v>2.564428039</v>
      </c>
      <c r="CN394" s="83">
        <v>-26.82377808</v>
      </c>
    </row>
    <row r="395" spans="1:92" s="3" customFormat="1" x14ac:dyDescent="0.25">
      <c r="A395" s="72">
        <v>408</v>
      </c>
      <c r="B395" s="81" t="s">
        <v>1490</v>
      </c>
      <c r="C395" s="1" t="s">
        <v>83</v>
      </c>
      <c r="D395" s="1" t="s">
        <v>79</v>
      </c>
      <c r="E395" s="1" t="s">
        <v>74</v>
      </c>
      <c r="F395" s="1" t="s">
        <v>155</v>
      </c>
      <c r="G395" s="1" t="s">
        <v>76</v>
      </c>
      <c r="H395" s="1" t="s">
        <v>156</v>
      </c>
      <c r="I395" s="1"/>
      <c r="J395" s="9" t="s">
        <v>506</v>
      </c>
      <c r="K395" s="10">
        <v>0.44438883333333401</v>
      </c>
      <c r="L395" s="1" t="s">
        <v>632</v>
      </c>
      <c r="M395" s="1" t="s">
        <v>506</v>
      </c>
      <c r="N395" s="1" t="s">
        <v>648</v>
      </c>
      <c r="O395" s="1" t="s">
        <v>55</v>
      </c>
      <c r="P395" s="82">
        <v>0.94899999999999995</v>
      </c>
      <c r="Q395" s="1" t="s">
        <v>76</v>
      </c>
      <c r="R395" s="81" t="s">
        <v>177</v>
      </c>
      <c r="S395" s="1" t="s">
        <v>76</v>
      </c>
      <c r="T395" s="1" t="s">
        <v>120</v>
      </c>
      <c r="U395" s="1" t="s">
        <v>658</v>
      </c>
      <c r="V395" s="1" t="s">
        <v>655</v>
      </c>
      <c r="W395" s="1">
        <v>64</v>
      </c>
      <c r="X395" s="1" t="s">
        <v>76</v>
      </c>
      <c r="Y395" s="1" t="s">
        <v>648</v>
      </c>
      <c r="Z395" s="1">
        <v>0</v>
      </c>
      <c r="AA395" s="1">
        <v>1E-3</v>
      </c>
      <c r="AB395" s="1">
        <v>1E-3</v>
      </c>
      <c r="AC395" s="1">
        <v>3.0000000000000001E-3</v>
      </c>
      <c r="AD395" s="1">
        <v>1E-3</v>
      </c>
      <c r="AE395" s="1">
        <v>1E-3</v>
      </c>
      <c r="AF395" s="1">
        <v>0</v>
      </c>
      <c r="AG395" s="1">
        <v>0</v>
      </c>
      <c r="AH395" s="1">
        <v>3.0000000000000001E-3</v>
      </c>
      <c r="AI395" s="1">
        <v>1E-3</v>
      </c>
      <c r="AJ395" s="1">
        <v>2E-3</v>
      </c>
      <c r="AK395" s="1">
        <v>1E-3</v>
      </c>
      <c r="AL395" s="1">
        <v>0</v>
      </c>
      <c r="AM395" s="1">
        <v>0</v>
      </c>
      <c r="AN395" s="1">
        <v>1E-3</v>
      </c>
      <c r="AO395" s="1">
        <v>0</v>
      </c>
      <c r="AP395" s="1">
        <v>0</v>
      </c>
      <c r="AQ395" s="1">
        <v>0</v>
      </c>
      <c r="AR395" s="1">
        <v>0</v>
      </c>
      <c r="AS395" s="1">
        <v>2E-3</v>
      </c>
      <c r="AT395" s="1">
        <v>1E-3</v>
      </c>
      <c r="AU395" s="1">
        <v>1E-3</v>
      </c>
      <c r="AV395" s="1">
        <v>0</v>
      </c>
      <c r="AW395" s="1">
        <v>1E-3</v>
      </c>
      <c r="AX395" s="1">
        <v>1E-3</v>
      </c>
      <c r="AY395" s="1">
        <v>1E-3</v>
      </c>
      <c r="AZ395" s="1">
        <v>1E-3</v>
      </c>
      <c r="BA395" s="1">
        <v>2E-3</v>
      </c>
      <c r="BB395" s="1">
        <v>1E-3</v>
      </c>
      <c r="BC395" s="1">
        <v>0</v>
      </c>
      <c r="BD395" s="1">
        <v>2E-3</v>
      </c>
      <c r="BE395" s="1">
        <v>0</v>
      </c>
      <c r="BF395" s="1">
        <v>0</v>
      </c>
      <c r="BG395" s="1">
        <v>1E-3</v>
      </c>
      <c r="BH395" s="1">
        <v>0</v>
      </c>
      <c r="BI395" s="1">
        <v>0</v>
      </c>
      <c r="BJ395" s="1">
        <v>0</v>
      </c>
      <c r="BK395" s="1">
        <v>0</v>
      </c>
      <c r="BL395" s="1">
        <v>1E-3</v>
      </c>
      <c r="BM395" s="1">
        <v>1E-3</v>
      </c>
      <c r="BN395" s="1">
        <v>1E-3</v>
      </c>
      <c r="BO395" s="1">
        <v>1E-3</v>
      </c>
      <c r="BP395" s="1">
        <v>0</v>
      </c>
      <c r="BQ395" s="1">
        <v>1E-3</v>
      </c>
      <c r="BR395" s="1">
        <v>1E-3</v>
      </c>
      <c r="BS395" s="1">
        <v>1E-3</v>
      </c>
      <c r="BT395" s="1">
        <v>0</v>
      </c>
      <c r="BU395" s="1">
        <v>0</v>
      </c>
      <c r="BV395" s="1">
        <v>1E-3</v>
      </c>
      <c r="BW395" s="1">
        <v>0</v>
      </c>
      <c r="BX395" s="1">
        <v>0.94899999999999995</v>
      </c>
      <c r="BY395" s="1">
        <v>1E-3</v>
      </c>
      <c r="BZ395" s="1">
        <v>1E-3</v>
      </c>
      <c r="CA395" s="1">
        <v>1E-3</v>
      </c>
      <c r="CB395" s="1">
        <v>0</v>
      </c>
      <c r="CC395" s="1">
        <v>1E-3</v>
      </c>
      <c r="CD395" s="1">
        <v>0</v>
      </c>
      <c r="CE395" s="1">
        <v>0</v>
      </c>
      <c r="CF395" s="1">
        <v>0</v>
      </c>
      <c r="CG395" s="1">
        <v>1E-3</v>
      </c>
      <c r="CH395" s="1">
        <v>1E-3</v>
      </c>
      <c r="CI395" s="1">
        <v>1E-3</v>
      </c>
      <c r="CJ395" s="1">
        <v>1E-3</v>
      </c>
      <c r="CK395" s="1">
        <v>5.0000000000000001E-3</v>
      </c>
      <c r="CL395" s="1">
        <v>1E-3</v>
      </c>
      <c r="CM395" s="1">
        <v>36.285438720000002</v>
      </c>
      <c r="CN395" s="83">
        <v>-14.81646387</v>
      </c>
    </row>
    <row r="396" spans="1:92" s="3" customFormat="1" x14ac:dyDescent="0.25">
      <c r="A396" s="72">
        <v>409</v>
      </c>
      <c r="B396" s="81" t="s">
        <v>1070</v>
      </c>
      <c r="C396" s="1" t="s">
        <v>83</v>
      </c>
      <c r="D396" s="1" t="s">
        <v>79</v>
      </c>
      <c r="E396" s="1" t="s">
        <v>99</v>
      </c>
      <c r="F396" s="1" t="s">
        <v>84</v>
      </c>
      <c r="G396" s="1" t="s">
        <v>86</v>
      </c>
      <c r="H396" s="1" t="s">
        <v>85</v>
      </c>
      <c r="I396" s="1"/>
      <c r="J396" s="9" t="s">
        <v>544</v>
      </c>
      <c r="K396" s="10">
        <v>0.460326333333334</v>
      </c>
      <c r="L396" s="1" t="s">
        <v>76</v>
      </c>
      <c r="M396" s="1" t="s">
        <v>506</v>
      </c>
      <c r="N396" s="1" t="s">
        <v>645</v>
      </c>
      <c r="O396" s="1" t="s">
        <v>17</v>
      </c>
      <c r="P396" s="82">
        <v>0.91900000000000004</v>
      </c>
      <c r="Q396" s="1" t="s">
        <v>76</v>
      </c>
      <c r="R396" s="81" t="s">
        <v>110</v>
      </c>
      <c r="S396" s="1">
        <v>3</v>
      </c>
      <c r="T396" s="1" t="s">
        <v>78</v>
      </c>
      <c r="U396" s="1" t="s">
        <v>659</v>
      </c>
      <c r="V396" s="1" t="s">
        <v>655</v>
      </c>
      <c r="W396" s="1">
        <v>55</v>
      </c>
      <c r="X396" s="1" t="s">
        <v>286</v>
      </c>
      <c r="Y396" s="1" t="s">
        <v>645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0.91900000000000004</v>
      </c>
      <c r="AM396" s="1">
        <v>7.4999999999999997E-2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3.0000000000000001E-3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-9.9332706900000005</v>
      </c>
      <c r="CN396" s="83">
        <v>62.257971959999999</v>
      </c>
    </row>
    <row r="397" spans="1:92" s="3" customFormat="1" x14ac:dyDescent="0.25">
      <c r="A397" s="72">
        <v>410</v>
      </c>
      <c r="B397" s="81" t="s">
        <v>1264</v>
      </c>
      <c r="C397" s="1" t="s">
        <v>83</v>
      </c>
      <c r="D397" s="1" t="s">
        <v>79</v>
      </c>
      <c r="E397" s="1" t="s">
        <v>99</v>
      </c>
      <c r="F397" s="1" t="s">
        <v>84</v>
      </c>
      <c r="G397" s="1" t="s">
        <v>86</v>
      </c>
      <c r="H397" s="1" t="s">
        <v>85</v>
      </c>
      <c r="I397" s="1"/>
      <c r="J397" s="9" t="s">
        <v>544</v>
      </c>
      <c r="K397" s="10">
        <v>0.44681616666666701</v>
      </c>
      <c r="L397" s="1" t="s">
        <v>76</v>
      </c>
      <c r="M397" s="1" t="s">
        <v>506</v>
      </c>
      <c r="N397" s="1" t="s">
        <v>645</v>
      </c>
      <c r="O397" s="1" t="s">
        <v>17</v>
      </c>
      <c r="P397" s="82">
        <v>0.98</v>
      </c>
      <c r="Q397" s="1" t="s">
        <v>76</v>
      </c>
      <c r="R397" s="81" t="s">
        <v>124</v>
      </c>
      <c r="S397" s="1">
        <v>3</v>
      </c>
      <c r="T397" s="1" t="s">
        <v>78</v>
      </c>
      <c r="U397" s="1" t="s">
        <v>659</v>
      </c>
      <c r="V397" s="1" t="s">
        <v>655</v>
      </c>
      <c r="W397" s="1">
        <v>55</v>
      </c>
      <c r="X397" s="1" t="s">
        <v>286</v>
      </c>
      <c r="Y397" s="1" t="s">
        <v>645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0.98</v>
      </c>
      <c r="AM397" s="1">
        <v>1.7000000000000001E-2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1E-3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-10.45709274</v>
      </c>
      <c r="CN397" s="83">
        <v>59.664205770000002</v>
      </c>
    </row>
    <row r="398" spans="1:92" s="3" customFormat="1" x14ac:dyDescent="0.25">
      <c r="A398" s="72">
        <v>411</v>
      </c>
      <c r="B398" s="81" t="s">
        <v>1117</v>
      </c>
      <c r="C398" s="1" t="s">
        <v>83</v>
      </c>
      <c r="D398" s="1" t="s">
        <v>79</v>
      </c>
      <c r="E398" s="1" t="s">
        <v>99</v>
      </c>
      <c r="F398" s="1" t="s">
        <v>84</v>
      </c>
      <c r="G398" s="1" t="s">
        <v>86</v>
      </c>
      <c r="H398" s="1" t="s">
        <v>85</v>
      </c>
      <c r="I398" s="1"/>
      <c r="J398" s="9" t="s">
        <v>544</v>
      </c>
      <c r="K398" s="10">
        <v>0.57763399999999998</v>
      </c>
      <c r="L398" s="1" t="s">
        <v>76</v>
      </c>
      <c r="M398" s="1" t="s">
        <v>506</v>
      </c>
      <c r="N398" s="1" t="s">
        <v>645</v>
      </c>
      <c r="O398" s="1" t="s">
        <v>17</v>
      </c>
      <c r="P398" s="82">
        <v>1</v>
      </c>
      <c r="Q398" s="1" t="s">
        <v>76</v>
      </c>
      <c r="R398" s="81" t="s">
        <v>191</v>
      </c>
      <c r="S398" s="1">
        <v>2</v>
      </c>
      <c r="T398" s="1" t="s">
        <v>78</v>
      </c>
      <c r="U398" s="1" t="s">
        <v>659</v>
      </c>
      <c r="V398" s="1" t="s">
        <v>655</v>
      </c>
      <c r="W398" s="1">
        <v>31</v>
      </c>
      <c r="X398" s="1" t="s">
        <v>288</v>
      </c>
      <c r="Y398" s="1" t="s">
        <v>645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1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-30.125772420000001</v>
      </c>
      <c r="CN398" s="83">
        <v>55.805968829999998</v>
      </c>
    </row>
    <row r="399" spans="1:92" s="3" customFormat="1" x14ac:dyDescent="0.25">
      <c r="A399" s="72">
        <v>412</v>
      </c>
      <c r="B399" s="81" t="s">
        <v>1031</v>
      </c>
      <c r="C399" s="1" t="s">
        <v>83</v>
      </c>
      <c r="D399" s="1" t="s">
        <v>79</v>
      </c>
      <c r="E399" s="1" t="s">
        <v>99</v>
      </c>
      <c r="F399" s="1" t="s">
        <v>84</v>
      </c>
      <c r="G399" s="1" t="s">
        <v>86</v>
      </c>
      <c r="H399" s="1" t="s">
        <v>85</v>
      </c>
      <c r="I399" s="1"/>
      <c r="J399" s="9" t="s">
        <v>544</v>
      </c>
      <c r="K399" s="10">
        <v>0.53196049999999995</v>
      </c>
      <c r="L399" s="1" t="s">
        <v>641</v>
      </c>
      <c r="M399" s="1" t="s">
        <v>76</v>
      </c>
      <c r="N399" s="1" t="s">
        <v>649</v>
      </c>
      <c r="O399" s="1" t="s">
        <v>18</v>
      </c>
      <c r="P399" s="82">
        <v>0.68300000000000005</v>
      </c>
      <c r="Q399" s="1">
        <f>SUM(AK399:AN399)</f>
        <v>0.98399999999999999</v>
      </c>
      <c r="R399" s="81" t="s">
        <v>299</v>
      </c>
      <c r="S399" s="1">
        <v>3</v>
      </c>
      <c r="T399" s="1" t="s">
        <v>78</v>
      </c>
      <c r="U399" s="1" t="s">
        <v>659</v>
      </c>
      <c r="V399" s="1" t="s">
        <v>655</v>
      </c>
      <c r="W399" s="1">
        <v>55</v>
      </c>
      <c r="X399" s="1" t="s">
        <v>286</v>
      </c>
      <c r="Y399" s="1" t="s">
        <v>649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0.30099999999999999</v>
      </c>
      <c r="AM399" s="1">
        <v>0.68300000000000005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1E-3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7.0000000000000001E-3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1E-3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1E-3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-9.0128006240000005</v>
      </c>
      <c r="CN399" s="83">
        <v>64.993258449999999</v>
      </c>
    </row>
    <row r="400" spans="1:92" s="3" customFormat="1" x14ac:dyDescent="0.25">
      <c r="A400" s="72">
        <v>413</v>
      </c>
      <c r="B400" s="81" t="s">
        <v>1032</v>
      </c>
      <c r="C400" s="1" t="s">
        <v>83</v>
      </c>
      <c r="D400" s="1" t="s">
        <v>79</v>
      </c>
      <c r="E400" s="1" t="s">
        <v>99</v>
      </c>
      <c r="F400" s="1" t="s">
        <v>84</v>
      </c>
      <c r="G400" s="1" t="s">
        <v>86</v>
      </c>
      <c r="H400" s="1" t="s">
        <v>85</v>
      </c>
      <c r="I400" s="1"/>
      <c r="J400" s="9" t="s">
        <v>544</v>
      </c>
      <c r="K400" s="10">
        <v>0.55302050000000103</v>
      </c>
      <c r="L400" s="1" t="s">
        <v>641</v>
      </c>
      <c r="M400" s="1" t="s">
        <v>76</v>
      </c>
      <c r="N400" s="1" t="s">
        <v>649</v>
      </c>
      <c r="O400" s="1" t="s">
        <v>18</v>
      </c>
      <c r="P400" s="82">
        <v>0.71699999999999997</v>
      </c>
      <c r="Q400" s="1">
        <f>SUM(AK400:AN400)</f>
        <v>0.98599999999999999</v>
      </c>
      <c r="R400" s="81" t="s">
        <v>299</v>
      </c>
      <c r="S400" s="1">
        <v>3</v>
      </c>
      <c r="T400" s="1" t="s">
        <v>78</v>
      </c>
      <c r="U400" s="1" t="s">
        <v>659</v>
      </c>
      <c r="V400" s="1" t="s">
        <v>655</v>
      </c>
      <c r="W400" s="1">
        <v>55</v>
      </c>
      <c r="X400" s="1" t="s">
        <v>286</v>
      </c>
      <c r="Y400" s="1" t="s">
        <v>649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0.26900000000000002</v>
      </c>
      <c r="AM400" s="1">
        <v>0.71699999999999997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1E-3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6.0000000000000001E-3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1E-3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1E-3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-9.3158399410000001</v>
      </c>
      <c r="CN400" s="83">
        <v>66.113855670000007</v>
      </c>
    </row>
    <row r="401" spans="1:92" s="3" customFormat="1" x14ac:dyDescent="0.25">
      <c r="A401" s="72">
        <v>414</v>
      </c>
      <c r="B401" s="81" t="s">
        <v>945</v>
      </c>
      <c r="C401" s="1" t="s">
        <v>83</v>
      </c>
      <c r="D401" s="1" t="s">
        <v>79</v>
      </c>
      <c r="E401" s="1" t="s">
        <v>99</v>
      </c>
      <c r="F401" s="1" t="s">
        <v>84</v>
      </c>
      <c r="G401" s="1" t="s">
        <v>86</v>
      </c>
      <c r="H401" s="1" t="s">
        <v>85</v>
      </c>
      <c r="I401" s="1"/>
      <c r="J401" s="9" t="s">
        <v>544</v>
      </c>
      <c r="K401" s="10">
        <v>0.46876250000000003</v>
      </c>
      <c r="L401" s="1" t="s">
        <v>641</v>
      </c>
      <c r="M401" s="1" t="s">
        <v>76</v>
      </c>
      <c r="N401" s="1" t="s">
        <v>649</v>
      </c>
      <c r="O401" s="1" t="s">
        <v>17</v>
      </c>
      <c r="P401" s="82">
        <v>0.64600000000000002</v>
      </c>
      <c r="Q401" s="1">
        <f>SUM(AK401:AN401)</f>
        <v>0.99399999999999999</v>
      </c>
      <c r="R401" s="81" t="s">
        <v>110</v>
      </c>
      <c r="S401" s="1">
        <v>2</v>
      </c>
      <c r="T401" s="1" t="s">
        <v>78</v>
      </c>
      <c r="U401" s="1" t="s">
        <v>658</v>
      </c>
      <c r="V401" s="1" t="s">
        <v>655</v>
      </c>
      <c r="W401" s="1">
        <v>55</v>
      </c>
      <c r="X401" s="1" t="s">
        <v>286</v>
      </c>
      <c r="Y401" s="1" t="s">
        <v>649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1E-3</v>
      </c>
      <c r="AL401" s="1">
        <v>0.64600000000000002</v>
      </c>
      <c r="AM401" s="1">
        <v>0.34699999999999998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2E-3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1E-3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-8.4741771279999991</v>
      </c>
      <c r="CN401" s="83">
        <v>60.096502469999997</v>
      </c>
    </row>
    <row r="402" spans="1:92" s="3" customFormat="1" x14ac:dyDescent="0.25">
      <c r="A402" s="72">
        <v>415</v>
      </c>
      <c r="B402" s="81" t="s">
        <v>1194</v>
      </c>
      <c r="C402" s="1" t="s">
        <v>83</v>
      </c>
      <c r="D402" s="1" t="s">
        <v>79</v>
      </c>
      <c r="E402" s="1" t="s">
        <v>99</v>
      </c>
      <c r="F402" s="1" t="s">
        <v>84</v>
      </c>
      <c r="G402" s="1" t="s">
        <v>86</v>
      </c>
      <c r="H402" s="1" t="s">
        <v>85</v>
      </c>
      <c r="I402" s="1"/>
      <c r="J402" s="9" t="s">
        <v>544</v>
      </c>
      <c r="K402" s="10">
        <v>0.47046500000000002</v>
      </c>
      <c r="L402" s="1" t="s">
        <v>76</v>
      </c>
      <c r="M402" s="1" t="s">
        <v>506</v>
      </c>
      <c r="N402" s="1" t="s">
        <v>645</v>
      </c>
      <c r="O402" s="1" t="s">
        <v>17</v>
      </c>
      <c r="P402" s="82">
        <v>0.97199999999999998</v>
      </c>
      <c r="Q402" s="1" t="s">
        <v>76</v>
      </c>
      <c r="R402" s="81" t="s">
        <v>110</v>
      </c>
      <c r="S402" s="1">
        <v>3</v>
      </c>
      <c r="T402" s="1" t="s">
        <v>120</v>
      </c>
      <c r="U402" s="1" t="s">
        <v>659</v>
      </c>
      <c r="V402" s="1" t="s">
        <v>655</v>
      </c>
      <c r="W402" s="1">
        <v>55</v>
      </c>
      <c r="X402" s="1" t="s">
        <v>295</v>
      </c>
      <c r="Y402" s="1" t="s">
        <v>645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0.97199999999999998</v>
      </c>
      <c r="AM402" s="1">
        <v>2.7E-2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1E-3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-9.9833191340000003</v>
      </c>
      <c r="CN402" s="83">
        <v>60.954863230000001</v>
      </c>
    </row>
    <row r="403" spans="1:92" s="3" customFormat="1" x14ac:dyDescent="0.25">
      <c r="A403" s="72">
        <v>416</v>
      </c>
      <c r="B403" s="81" t="s">
        <v>988</v>
      </c>
      <c r="C403" s="1" t="s">
        <v>83</v>
      </c>
      <c r="D403" s="1" t="s">
        <v>79</v>
      </c>
      <c r="E403" s="1" t="s">
        <v>99</v>
      </c>
      <c r="F403" s="1" t="s">
        <v>84</v>
      </c>
      <c r="G403" s="1" t="s">
        <v>86</v>
      </c>
      <c r="H403" s="1" t="s">
        <v>85</v>
      </c>
      <c r="I403" s="1"/>
      <c r="J403" s="9" t="s">
        <v>544</v>
      </c>
      <c r="K403" s="10">
        <v>0.48966016666666701</v>
      </c>
      <c r="L403" s="1" t="s">
        <v>76</v>
      </c>
      <c r="M403" s="1" t="s">
        <v>506</v>
      </c>
      <c r="N403" s="1" t="s">
        <v>645</v>
      </c>
      <c r="O403" s="1" t="s">
        <v>17</v>
      </c>
      <c r="P403" s="82">
        <v>0.90600000000000003</v>
      </c>
      <c r="Q403" s="1" t="s">
        <v>76</v>
      </c>
      <c r="R403" s="81" t="s">
        <v>299</v>
      </c>
      <c r="S403" s="1">
        <v>3</v>
      </c>
      <c r="T403" s="1" t="s">
        <v>78</v>
      </c>
      <c r="U403" s="1" t="s">
        <v>659</v>
      </c>
      <c r="V403" s="1" t="s">
        <v>655</v>
      </c>
      <c r="W403" s="1">
        <v>55</v>
      </c>
      <c r="X403" s="1" t="s">
        <v>286</v>
      </c>
      <c r="Y403" s="1" t="s">
        <v>645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0.90600000000000003</v>
      </c>
      <c r="AM403" s="1">
        <v>9.1999999999999998E-2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1E-3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-8.6344866949999997</v>
      </c>
      <c r="CN403" s="83">
        <v>61.442660259999997</v>
      </c>
    </row>
    <row r="404" spans="1:92" s="3" customFormat="1" x14ac:dyDescent="0.25">
      <c r="A404" s="72">
        <v>417</v>
      </c>
      <c r="B404" s="81" t="s">
        <v>1369</v>
      </c>
      <c r="C404" s="1" t="s">
        <v>83</v>
      </c>
      <c r="D404" s="1" t="s">
        <v>79</v>
      </c>
      <c r="E404" s="1" t="s">
        <v>74</v>
      </c>
      <c r="F404" s="1" t="s">
        <v>84</v>
      </c>
      <c r="G404" s="1" t="s">
        <v>86</v>
      </c>
      <c r="H404" s="1" t="s">
        <v>85</v>
      </c>
      <c r="I404" s="1"/>
      <c r="J404" s="9" t="s">
        <v>544</v>
      </c>
      <c r="K404" s="10">
        <v>0.35847200000000101</v>
      </c>
      <c r="L404" s="1" t="s">
        <v>510</v>
      </c>
      <c r="M404" s="1" t="s">
        <v>76</v>
      </c>
      <c r="N404" s="1" t="s">
        <v>644</v>
      </c>
      <c r="O404" s="1" t="s">
        <v>69</v>
      </c>
      <c r="P404" s="82">
        <v>0.67900000000000005</v>
      </c>
      <c r="Q404" s="1">
        <f>SUM(AK404:AN404)</f>
        <v>3.1E-2</v>
      </c>
      <c r="R404" s="81" t="s">
        <v>129</v>
      </c>
      <c r="S404" s="1">
        <v>2</v>
      </c>
      <c r="T404" s="1" t="s">
        <v>120</v>
      </c>
      <c r="U404" s="1" t="s">
        <v>659</v>
      </c>
      <c r="V404" s="1" t="s">
        <v>655</v>
      </c>
      <c r="W404" s="1">
        <v>31</v>
      </c>
      <c r="X404" s="1" t="s">
        <v>288</v>
      </c>
      <c r="Y404" s="1" t="s">
        <v>644</v>
      </c>
      <c r="Z404" s="1">
        <v>1.2999999999999999E-2</v>
      </c>
      <c r="AA404" s="1">
        <v>1E-3</v>
      </c>
      <c r="AB404" s="1">
        <v>1E-3</v>
      </c>
      <c r="AC404" s="1">
        <v>1E-3</v>
      </c>
      <c r="AD404" s="1">
        <v>4.0000000000000001E-3</v>
      </c>
      <c r="AE404" s="1">
        <v>1E-3</v>
      </c>
      <c r="AF404" s="1">
        <v>1E-3</v>
      </c>
      <c r="AG404" s="1">
        <v>0</v>
      </c>
      <c r="AH404" s="1">
        <v>4.0000000000000001E-3</v>
      </c>
      <c r="AI404" s="1">
        <v>0</v>
      </c>
      <c r="AJ404" s="1">
        <v>3.0000000000000001E-3</v>
      </c>
      <c r="AK404" s="1">
        <v>2E-3</v>
      </c>
      <c r="AL404" s="1">
        <v>0</v>
      </c>
      <c r="AM404" s="1">
        <v>2E-3</v>
      </c>
      <c r="AN404" s="1">
        <v>2.7E-2</v>
      </c>
      <c r="AO404" s="1">
        <v>1E-3</v>
      </c>
      <c r="AP404" s="1">
        <v>1E-3</v>
      </c>
      <c r="AQ404" s="1">
        <v>1E-3</v>
      </c>
      <c r="AR404" s="1">
        <v>8.9999999999999993E-3</v>
      </c>
      <c r="AS404" s="1">
        <v>2E-3</v>
      </c>
      <c r="AT404" s="1">
        <v>1E-3</v>
      </c>
      <c r="AU404" s="1">
        <v>2E-3</v>
      </c>
      <c r="AV404" s="1">
        <v>2E-3</v>
      </c>
      <c r="AW404" s="1">
        <v>1E-3</v>
      </c>
      <c r="AX404" s="1">
        <v>1.0999999999999999E-2</v>
      </c>
      <c r="AY404" s="1">
        <v>2E-3</v>
      </c>
      <c r="AZ404" s="1">
        <v>5.0000000000000001E-3</v>
      </c>
      <c r="BA404" s="1">
        <v>4.0000000000000001E-3</v>
      </c>
      <c r="BB404" s="1">
        <v>1E-3</v>
      </c>
      <c r="BC404" s="1">
        <v>1E-3</v>
      </c>
      <c r="BD404" s="1">
        <v>6.0000000000000001E-3</v>
      </c>
      <c r="BE404" s="1">
        <v>1E-3</v>
      </c>
      <c r="BF404" s="1">
        <v>2E-3</v>
      </c>
      <c r="BG404" s="1">
        <v>0</v>
      </c>
      <c r="BH404" s="1">
        <v>0</v>
      </c>
      <c r="BI404" s="1">
        <v>1E-3</v>
      </c>
      <c r="BJ404" s="1">
        <v>2.1000000000000001E-2</v>
      </c>
      <c r="BK404" s="1">
        <v>0</v>
      </c>
      <c r="BL404" s="1">
        <v>1E-3</v>
      </c>
      <c r="BM404" s="1">
        <v>1E-3</v>
      </c>
      <c r="BN404" s="1">
        <v>1E-3</v>
      </c>
      <c r="BO404" s="1">
        <v>1E-3</v>
      </c>
      <c r="BP404" s="1">
        <v>7.0000000000000001E-3</v>
      </c>
      <c r="BQ404" s="1">
        <v>1E-3</v>
      </c>
      <c r="BR404" s="1">
        <v>1E-3</v>
      </c>
      <c r="BS404" s="1">
        <v>4.0000000000000001E-3</v>
      </c>
      <c r="BT404" s="1">
        <v>1E-3</v>
      </c>
      <c r="BU404" s="1">
        <v>1.4E-2</v>
      </c>
      <c r="BV404" s="1">
        <v>1E-3</v>
      </c>
      <c r="BW404" s="1">
        <v>1E-3</v>
      </c>
      <c r="BX404" s="1">
        <v>3.0000000000000001E-3</v>
      </c>
      <c r="BY404" s="1">
        <v>2E-3</v>
      </c>
      <c r="BZ404" s="1">
        <v>6.0000000000000001E-3</v>
      </c>
      <c r="CA404" s="1">
        <v>1E-3</v>
      </c>
      <c r="CB404" s="1">
        <v>1E-3</v>
      </c>
      <c r="CC404" s="1">
        <v>1E-3</v>
      </c>
      <c r="CD404" s="1">
        <v>0</v>
      </c>
      <c r="CE404" s="1">
        <v>1E-3</v>
      </c>
      <c r="CF404" s="1">
        <v>1E-3</v>
      </c>
      <c r="CG404" s="1">
        <v>2E-3</v>
      </c>
      <c r="CH404" s="1">
        <v>1E-3</v>
      </c>
      <c r="CI404" s="1">
        <v>1E-3</v>
      </c>
      <c r="CJ404" s="1">
        <v>2E-3</v>
      </c>
      <c r="CK404" s="1">
        <v>0.13400000000000001</v>
      </c>
      <c r="CL404" s="1">
        <v>0.67900000000000005</v>
      </c>
      <c r="CM404" s="1">
        <v>-54.022618680000001</v>
      </c>
      <c r="CN404" s="83">
        <v>-14.988358910000001</v>
      </c>
    </row>
    <row r="405" spans="1:92" s="3" customFormat="1" x14ac:dyDescent="0.25">
      <c r="A405" s="72">
        <v>418</v>
      </c>
      <c r="B405" s="81" t="s">
        <v>1118</v>
      </c>
      <c r="C405" s="1" t="s">
        <v>83</v>
      </c>
      <c r="D405" s="1" t="s">
        <v>79</v>
      </c>
      <c r="E405" s="1" t="s">
        <v>99</v>
      </c>
      <c r="F405" s="1" t="s">
        <v>84</v>
      </c>
      <c r="G405" s="1" t="s">
        <v>86</v>
      </c>
      <c r="H405" s="1" t="s">
        <v>85</v>
      </c>
      <c r="I405" s="1"/>
      <c r="J405" s="9" t="s">
        <v>544</v>
      </c>
      <c r="K405" s="10">
        <v>0.56258583333333301</v>
      </c>
      <c r="L405" s="1" t="s">
        <v>76</v>
      </c>
      <c r="M405" s="1" t="s">
        <v>506</v>
      </c>
      <c r="N405" s="1" t="s">
        <v>645</v>
      </c>
      <c r="O405" s="1" t="s">
        <v>17</v>
      </c>
      <c r="P405" s="82">
        <v>1</v>
      </c>
      <c r="Q405" s="1" t="s">
        <v>76</v>
      </c>
      <c r="R405" s="81" t="s">
        <v>191</v>
      </c>
      <c r="S405" s="1">
        <v>3</v>
      </c>
      <c r="T405" s="1" t="s">
        <v>78</v>
      </c>
      <c r="U405" s="1" t="s">
        <v>659</v>
      </c>
      <c r="V405" s="1" t="s">
        <v>655</v>
      </c>
      <c r="W405" s="1">
        <v>31</v>
      </c>
      <c r="X405" s="1" t="s">
        <v>288</v>
      </c>
      <c r="Y405" s="1" t="s">
        <v>645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1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-30.781653210000002</v>
      </c>
      <c r="CN405" s="83">
        <v>55.678562069999998</v>
      </c>
    </row>
    <row r="406" spans="1:92" s="3" customFormat="1" x14ac:dyDescent="0.25">
      <c r="A406" s="72">
        <v>419</v>
      </c>
      <c r="B406" s="81" t="s">
        <v>905</v>
      </c>
      <c r="C406" s="1" t="s">
        <v>83</v>
      </c>
      <c r="D406" s="1" t="s">
        <v>79</v>
      </c>
      <c r="E406" s="1" t="s">
        <v>74</v>
      </c>
      <c r="F406" s="1" t="s">
        <v>84</v>
      </c>
      <c r="G406" s="1" t="s">
        <v>86</v>
      </c>
      <c r="H406" s="1" t="s">
        <v>85</v>
      </c>
      <c r="I406" s="1"/>
      <c r="J406" s="9" t="s">
        <v>544</v>
      </c>
      <c r="K406" s="10">
        <v>0.461451000000001</v>
      </c>
      <c r="L406" s="1" t="s">
        <v>641</v>
      </c>
      <c r="M406" s="1" t="s">
        <v>76</v>
      </c>
      <c r="N406" s="1" t="s">
        <v>649</v>
      </c>
      <c r="O406" s="1" t="s">
        <v>16</v>
      </c>
      <c r="P406" s="82">
        <v>0.78600000000000003</v>
      </c>
      <c r="Q406" s="1">
        <f>SUM(AK406:AN406)</f>
        <v>0.85500000000000009</v>
      </c>
      <c r="R406" s="81" t="s">
        <v>77</v>
      </c>
      <c r="S406" s="1">
        <v>2</v>
      </c>
      <c r="T406" s="1" t="s">
        <v>78</v>
      </c>
      <c r="U406" s="1" t="s">
        <v>658</v>
      </c>
      <c r="V406" s="1" t="s">
        <v>655</v>
      </c>
      <c r="W406" s="1">
        <v>31</v>
      </c>
      <c r="X406" s="1" t="s">
        <v>288</v>
      </c>
      <c r="Y406" s="1" t="s">
        <v>649</v>
      </c>
      <c r="Z406" s="1">
        <v>0</v>
      </c>
      <c r="AA406" s="1">
        <v>1E-3</v>
      </c>
      <c r="AB406" s="1">
        <v>1E-3</v>
      </c>
      <c r="AC406" s="1">
        <v>4.0000000000000001E-3</v>
      </c>
      <c r="AD406" s="1">
        <v>1E-3</v>
      </c>
      <c r="AE406" s="1">
        <v>4.0000000000000001E-3</v>
      </c>
      <c r="AF406" s="1">
        <v>2E-3</v>
      </c>
      <c r="AG406" s="1">
        <v>0</v>
      </c>
      <c r="AH406" s="1">
        <v>8.0000000000000002E-3</v>
      </c>
      <c r="AI406" s="1">
        <v>1E-3</v>
      </c>
      <c r="AJ406" s="1">
        <v>2E-3</v>
      </c>
      <c r="AK406" s="1">
        <v>0.78600000000000003</v>
      </c>
      <c r="AL406" s="1">
        <v>4.9000000000000002E-2</v>
      </c>
      <c r="AM406" s="1">
        <v>0.01</v>
      </c>
      <c r="AN406" s="1">
        <v>0.01</v>
      </c>
      <c r="AO406" s="1">
        <v>2E-3</v>
      </c>
      <c r="AP406" s="1">
        <v>1E-3</v>
      </c>
      <c r="AQ406" s="1">
        <v>1E-3</v>
      </c>
      <c r="AR406" s="1">
        <v>2E-3</v>
      </c>
      <c r="AS406" s="1">
        <v>3.0000000000000001E-3</v>
      </c>
      <c r="AT406" s="1">
        <v>2E-3</v>
      </c>
      <c r="AU406" s="1">
        <v>1E-3</v>
      </c>
      <c r="AV406" s="1">
        <v>1E-3</v>
      </c>
      <c r="AW406" s="1">
        <v>6.0000000000000001E-3</v>
      </c>
      <c r="AX406" s="1">
        <v>2E-3</v>
      </c>
      <c r="AY406" s="1">
        <v>3.0000000000000001E-3</v>
      </c>
      <c r="AZ406" s="1">
        <v>4.0000000000000001E-3</v>
      </c>
      <c r="BA406" s="1">
        <v>5.0000000000000001E-3</v>
      </c>
      <c r="BB406" s="1">
        <v>1E-3</v>
      </c>
      <c r="BC406" s="1">
        <v>1E-3</v>
      </c>
      <c r="BD406" s="1">
        <v>6.0000000000000001E-3</v>
      </c>
      <c r="BE406" s="1">
        <v>1E-3</v>
      </c>
      <c r="BF406" s="1">
        <v>0</v>
      </c>
      <c r="BG406" s="1">
        <v>2E-3</v>
      </c>
      <c r="BH406" s="1">
        <v>1E-3</v>
      </c>
      <c r="BI406" s="1">
        <v>1E-3</v>
      </c>
      <c r="BJ406" s="1">
        <v>1E-3</v>
      </c>
      <c r="BK406" s="1">
        <v>1E-3</v>
      </c>
      <c r="BL406" s="1">
        <v>4.0000000000000001E-3</v>
      </c>
      <c r="BM406" s="1">
        <v>1E-3</v>
      </c>
      <c r="BN406" s="1">
        <v>2E-3</v>
      </c>
      <c r="BO406" s="1">
        <v>1E-3</v>
      </c>
      <c r="BP406" s="1">
        <v>0</v>
      </c>
      <c r="BQ406" s="1">
        <v>4.0000000000000001E-3</v>
      </c>
      <c r="BR406" s="1">
        <v>2E-3</v>
      </c>
      <c r="BS406" s="1">
        <v>1E-3</v>
      </c>
      <c r="BT406" s="1">
        <v>1E-3</v>
      </c>
      <c r="BU406" s="1">
        <v>1E-3</v>
      </c>
      <c r="BV406" s="1">
        <v>2E-3</v>
      </c>
      <c r="BW406" s="1">
        <v>2E-3</v>
      </c>
      <c r="BX406" s="1">
        <v>3.0000000000000001E-3</v>
      </c>
      <c r="BY406" s="1">
        <v>3.0000000000000001E-3</v>
      </c>
      <c r="BZ406" s="1">
        <v>2E-3</v>
      </c>
      <c r="CA406" s="1">
        <v>1E-3</v>
      </c>
      <c r="CB406" s="1">
        <v>0</v>
      </c>
      <c r="CC406" s="1">
        <v>3.0000000000000001E-3</v>
      </c>
      <c r="CD406" s="1">
        <v>0</v>
      </c>
      <c r="CE406" s="1">
        <v>2E-3</v>
      </c>
      <c r="CF406" s="1">
        <v>1E-3</v>
      </c>
      <c r="CG406" s="1">
        <v>6.0000000000000001E-3</v>
      </c>
      <c r="CH406" s="1">
        <v>2E-3</v>
      </c>
      <c r="CI406" s="1">
        <v>2E-3</v>
      </c>
      <c r="CJ406" s="1">
        <v>8.0000000000000002E-3</v>
      </c>
      <c r="CK406" s="1">
        <v>8.9999999999999993E-3</v>
      </c>
      <c r="CL406" s="1">
        <v>1.2E-2</v>
      </c>
      <c r="CM406" s="1">
        <v>-78.163996969999999</v>
      </c>
      <c r="CN406" s="83">
        <v>3.572253876</v>
      </c>
    </row>
    <row r="407" spans="1:92" s="3" customFormat="1" x14ac:dyDescent="0.25">
      <c r="A407" s="72">
        <v>420</v>
      </c>
      <c r="B407" s="81" t="s">
        <v>1217</v>
      </c>
      <c r="C407" s="1" t="s">
        <v>83</v>
      </c>
      <c r="D407" s="1" t="s">
        <v>79</v>
      </c>
      <c r="E407" s="1" t="s">
        <v>74</v>
      </c>
      <c r="F407" s="1" t="s">
        <v>84</v>
      </c>
      <c r="G407" s="1" t="s">
        <v>86</v>
      </c>
      <c r="H407" s="1" t="s">
        <v>85</v>
      </c>
      <c r="I407" s="1"/>
      <c r="J407" s="9" t="s">
        <v>544</v>
      </c>
      <c r="K407" s="10">
        <v>0.37682600000000099</v>
      </c>
      <c r="L407" s="1" t="s">
        <v>641</v>
      </c>
      <c r="M407" s="1" t="s">
        <v>76</v>
      </c>
      <c r="N407" s="1" t="s">
        <v>649</v>
      </c>
      <c r="O407" s="1" t="s">
        <v>17</v>
      </c>
      <c r="P407" s="82">
        <v>0.56599999999999995</v>
      </c>
      <c r="Q407" s="1">
        <f>SUM(AK407:AN407)</f>
        <v>0.80299999999999994</v>
      </c>
      <c r="R407" s="81" t="s">
        <v>285</v>
      </c>
      <c r="S407" s="1">
        <v>3</v>
      </c>
      <c r="T407" s="1" t="s">
        <v>120</v>
      </c>
      <c r="U407" s="1" t="s">
        <v>659</v>
      </c>
      <c r="V407" s="1" t="s">
        <v>655</v>
      </c>
      <c r="W407" s="1">
        <v>69</v>
      </c>
      <c r="X407" s="1" t="s">
        <v>286</v>
      </c>
      <c r="Y407" s="1" t="s">
        <v>649</v>
      </c>
      <c r="Z407" s="1">
        <v>3.0000000000000001E-3</v>
      </c>
      <c r="AA407" s="1">
        <v>1E-3</v>
      </c>
      <c r="AB407" s="1">
        <v>1E-3</v>
      </c>
      <c r="AC407" s="1">
        <v>2E-3</v>
      </c>
      <c r="AD407" s="1">
        <v>1E-3</v>
      </c>
      <c r="AE407" s="1">
        <v>2E-3</v>
      </c>
      <c r="AF407" s="1">
        <v>1E-3</v>
      </c>
      <c r="AG407" s="1">
        <v>0</v>
      </c>
      <c r="AH407" s="1">
        <v>6.0000000000000001E-3</v>
      </c>
      <c r="AI407" s="1">
        <v>2E-3</v>
      </c>
      <c r="AJ407" s="1">
        <v>1E-3</v>
      </c>
      <c r="AK407" s="1">
        <v>6.0000000000000001E-3</v>
      </c>
      <c r="AL407" s="1">
        <v>0.56599999999999995</v>
      </c>
      <c r="AM407" s="1">
        <v>0.151</v>
      </c>
      <c r="AN407" s="1">
        <v>0.08</v>
      </c>
      <c r="AO407" s="1">
        <v>1E-3</v>
      </c>
      <c r="AP407" s="1">
        <v>1E-3</v>
      </c>
      <c r="AQ407" s="1">
        <v>1E-3</v>
      </c>
      <c r="AR407" s="1">
        <v>1E-3</v>
      </c>
      <c r="AS407" s="1">
        <v>2E-3</v>
      </c>
      <c r="AT407" s="1">
        <v>1E-3</v>
      </c>
      <c r="AU407" s="1">
        <v>1E-3</v>
      </c>
      <c r="AV407" s="1">
        <v>2E-3</v>
      </c>
      <c r="AW407" s="1">
        <v>5.0000000000000001E-3</v>
      </c>
      <c r="AX407" s="1">
        <v>1.0999999999999999E-2</v>
      </c>
      <c r="AY407" s="1">
        <v>2E-3</v>
      </c>
      <c r="AZ407" s="1">
        <v>2E-3</v>
      </c>
      <c r="BA407" s="1">
        <v>2E-3</v>
      </c>
      <c r="BB407" s="1">
        <v>1E-3</v>
      </c>
      <c r="BC407" s="1">
        <v>1E-3</v>
      </c>
      <c r="BD407" s="1">
        <v>3.0000000000000001E-3</v>
      </c>
      <c r="BE407" s="1">
        <v>1E-3</v>
      </c>
      <c r="BF407" s="1">
        <v>1E-3</v>
      </c>
      <c r="BG407" s="1">
        <v>0</v>
      </c>
      <c r="BH407" s="1">
        <v>1E-3</v>
      </c>
      <c r="BI407" s="1">
        <v>1E-3</v>
      </c>
      <c r="BJ407" s="1">
        <v>1E-3</v>
      </c>
      <c r="BK407" s="1">
        <v>1E-3</v>
      </c>
      <c r="BL407" s="1">
        <v>4.4999999999999998E-2</v>
      </c>
      <c r="BM407" s="1">
        <v>2E-3</v>
      </c>
      <c r="BN407" s="1">
        <v>1E-3</v>
      </c>
      <c r="BO407" s="1">
        <v>1E-3</v>
      </c>
      <c r="BP407" s="1">
        <v>1E-3</v>
      </c>
      <c r="BQ407" s="1">
        <v>6.0000000000000001E-3</v>
      </c>
      <c r="BR407" s="1">
        <v>2E-3</v>
      </c>
      <c r="BS407" s="1">
        <v>1E-3</v>
      </c>
      <c r="BT407" s="1">
        <v>1E-3</v>
      </c>
      <c r="BU407" s="1">
        <v>1E-3</v>
      </c>
      <c r="BV407" s="1">
        <v>1E-3</v>
      </c>
      <c r="BW407" s="1">
        <v>1E-3</v>
      </c>
      <c r="BX407" s="1">
        <v>3.0000000000000001E-3</v>
      </c>
      <c r="BY407" s="1">
        <v>2E-3</v>
      </c>
      <c r="BZ407" s="1">
        <v>1.4999999999999999E-2</v>
      </c>
      <c r="CA407" s="1">
        <v>3.0000000000000001E-3</v>
      </c>
      <c r="CB407" s="1">
        <v>0</v>
      </c>
      <c r="CC407" s="1">
        <v>1E-3</v>
      </c>
      <c r="CD407" s="1">
        <v>0</v>
      </c>
      <c r="CE407" s="1">
        <v>2E-3</v>
      </c>
      <c r="CF407" s="1">
        <v>1E-3</v>
      </c>
      <c r="CG407" s="1">
        <v>1.2E-2</v>
      </c>
      <c r="CH407" s="1">
        <v>1E-3</v>
      </c>
      <c r="CI407" s="1">
        <v>1E-3</v>
      </c>
      <c r="CJ407" s="1">
        <v>2E-3</v>
      </c>
      <c r="CK407" s="1">
        <v>1.2E-2</v>
      </c>
      <c r="CL407" s="1">
        <v>1.4999999999999999E-2</v>
      </c>
      <c r="CM407" s="1">
        <v>-24.398351219999999</v>
      </c>
      <c r="CN407" s="83">
        <v>46.18248895</v>
      </c>
    </row>
    <row r="408" spans="1:92" s="3" customFormat="1" x14ac:dyDescent="0.25">
      <c r="A408" s="72">
        <v>421</v>
      </c>
      <c r="B408" s="81" t="s">
        <v>1136</v>
      </c>
      <c r="C408" s="1" t="s">
        <v>83</v>
      </c>
      <c r="D408" s="1" t="s">
        <v>79</v>
      </c>
      <c r="E408" s="1" t="s">
        <v>99</v>
      </c>
      <c r="F408" s="1" t="s">
        <v>84</v>
      </c>
      <c r="G408" s="1" t="s">
        <v>505</v>
      </c>
      <c r="H408" s="1" t="s">
        <v>85</v>
      </c>
      <c r="I408" s="1"/>
      <c r="J408" s="9" t="s">
        <v>544</v>
      </c>
      <c r="K408" s="10">
        <v>0.43985566666666698</v>
      </c>
      <c r="L408" s="1" t="s">
        <v>76</v>
      </c>
      <c r="M408" s="1" t="s">
        <v>506</v>
      </c>
      <c r="N408" s="1" t="s">
        <v>645</v>
      </c>
      <c r="O408" s="1" t="s">
        <v>17</v>
      </c>
      <c r="P408" s="82">
        <v>0.97099999999999997</v>
      </c>
      <c r="Q408" s="1" t="s">
        <v>76</v>
      </c>
      <c r="R408" s="81" t="s">
        <v>87</v>
      </c>
      <c r="S408" s="1" t="s">
        <v>123</v>
      </c>
      <c r="T408" s="1" t="s">
        <v>78</v>
      </c>
      <c r="U408" s="1" t="s">
        <v>658</v>
      </c>
      <c r="V408" s="1" t="s">
        <v>655</v>
      </c>
      <c r="W408" s="1">
        <v>68</v>
      </c>
      <c r="X408" s="1" t="s">
        <v>300</v>
      </c>
      <c r="Y408" s="1" t="s">
        <v>645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0.97099999999999997</v>
      </c>
      <c r="AM408" s="1">
        <v>2E-3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2.5000000000000001E-2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17.138288540000001</v>
      </c>
      <c r="CN408" s="83">
        <v>46.365495180000003</v>
      </c>
    </row>
    <row r="409" spans="1:92" s="3" customFormat="1" x14ac:dyDescent="0.25">
      <c r="A409" s="72">
        <v>422</v>
      </c>
      <c r="B409" s="81" t="s">
        <v>1138</v>
      </c>
      <c r="C409" s="1" t="s">
        <v>83</v>
      </c>
      <c r="D409" s="1" t="s">
        <v>79</v>
      </c>
      <c r="E409" s="1" t="s">
        <v>99</v>
      </c>
      <c r="F409" s="1" t="s">
        <v>84</v>
      </c>
      <c r="G409" s="1" t="s">
        <v>505</v>
      </c>
      <c r="H409" s="1" t="s">
        <v>85</v>
      </c>
      <c r="I409" s="1"/>
      <c r="J409" s="9" t="s">
        <v>544</v>
      </c>
      <c r="K409" s="10">
        <v>0.45079683333333298</v>
      </c>
      <c r="L409" s="1" t="s">
        <v>545</v>
      </c>
      <c r="M409" s="1" t="s">
        <v>76</v>
      </c>
      <c r="N409" s="1" t="s">
        <v>644</v>
      </c>
      <c r="O409" s="1" t="s">
        <v>55</v>
      </c>
      <c r="P409" s="82">
        <v>0.55900000000000005</v>
      </c>
      <c r="Q409" s="1">
        <f>SUM(AK409:AN409)</f>
        <v>0.434</v>
      </c>
      <c r="R409" s="81" t="s">
        <v>87</v>
      </c>
      <c r="S409" s="1" t="s">
        <v>123</v>
      </c>
      <c r="T409" s="1" t="s">
        <v>78</v>
      </c>
      <c r="U409" s="1" t="s">
        <v>658</v>
      </c>
      <c r="V409" s="1" t="s">
        <v>655</v>
      </c>
      <c r="W409" s="1">
        <v>68</v>
      </c>
      <c r="X409" s="1" t="s">
        <v>300</v>
      </c>
      <c r="Y409" s="1" t="s">
        <v>644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0.42899999999999999</v>
      </c>
      <c r="AM409" s="1">
        <v>5.0000000000000001E-3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2E-3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0.55900000000000005</v>
      </c>
      <c r="BY409" s="1">
        <v>0</v>
      </c>
      <c r="BZ409" s="1">
        <v>1E-3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1E-3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17.645449889999998</v>
      </c>
      <c r="CN409" s="83">
        <v>45.459718959999996</v>
      </c>
    </row>
    <row r="410" spans="1:92" s="3" customFormat="1" x14ac:dyDescent="0.25">
      <c r="A410" s="72">
        <v>423</v>
      </c>
      <c r="B410" s="81" t="s">
        <v>1137</v>
      </c>
      <c r="C410" s="1" t="s">
        <v>83</v>
      </c>
      <c r="D410" s="1" t="s">
        <v>79</v>
      </c>
      <c r="E410" s="1" t="s">
        <v>99</v>
      </c>
      <c r="F410" s="1" t="s">
        <v>84</v>
      </c>
      <c r="G410" s="1" t="s">
        <v>505</v>
      </c>
      <c r="H410" s="1" t="s">
        <v>85</v>
      </c>
      <c r="I410" s="1"/>
      <c r="J410" s="9" t="s">
        <v>544</v>
      </c>
      <c r="K410" s="10">
        <v>0.57213433333333297</v>
      </c>
      <c r="L410" s="1" t="s">
        <v>641</v>
      </c>
      <c r="M410" s="1" t="s">
        <v>76</v>
      </c>
      <c r="N410" s="1" t="s">
        <v>649</v>
      </c>
      <c r="O410" s="1" t="s">
        <v>17</v>
      </c>
      <c r="P410" s="82">
        <v>0.48499999999999999</v>
      </c>
      <c r="Q410" s="1">
        <f>SUM(AK410:AN410)</f>
        <v>0.51600000000000001</v>
      </c>
      <c r="R410" s="81" t="s">
        <v>87</v>
      </c>
      <c r="S410" s="1" t="s">
        <v>123</v>
      </c>
      <c r="T410" s="1" t="s">
        <v>78</v>
      </c>
      <c r="U410" s="1" t="s">
        <v>658</v>
      </c>
      <c r="V410" s="1" t="s">
        <v>655</v>
      </c>
      <c r="W410" s="1">
        <v>68</v>
      </c>
      <c r="X410" s="1" t="s">
        <v>300</v>
      </c>
      <c r="Y410" s="1" t="s">
        <v>649</v>
      </c>
      <c r="Z410" s="1">
        <v>0</v>
      </c>
      <c r="AA410" s="1">
        <v>2E-3</v>
      </c>
      <c r="AB410" s="1">
        <v>1E-3</v>
      </c>
      <c r="AC410" s="1">
        <v>5.0000000000000001E-3</v>
      </c>
      <c r="AD410" s="1">
        <v>1E-3</v>
      </c>
      <c r="AE410" s="1">
        <v>2E-3</v>
      </c>
      <c r="AF410" s="1">
        <v>1E-3</v>
      </c>
      <c r="AG410" s="1">
        <v>0</v>
      </c>
      <c r="AH410" s="1">
        <v>3.0000000000000001E-3</v>
      </c>
      <c r="AI410" s="1">
        <v>1E-3</v>
      </c>
      <c r="AJ410" s="1">
        <v>1E-3</v>
      </c>
      <c r="AK410" s="1">
        <v>6.0000000000000001E-3</v>
      </c>
      <c r="AL410" s="1">
        <v>0.48499999999999999</v>
      </c>
      <c r="AM410" s="1">
        <v>2.3E-2</v>
      </c>
      <c r="AN410" s="1">
        <v>2E-3</v>
      </c>
      <c r="AO410" s="1">
        <v>2E-3</v>
      </c>
      <c r="AP410" s="1">
        <v>1E-3</v>
      </c>
      <c r="AQ410" s="1">
        <v>1E-3</v>
      </c>
      <c r="AR410" s="1">
        <v>1E-3</v>
      </c>
      <c r="AS410" s="1">
        <v>2E-3</v>
      </c>
      <c r="AT410" s="1">
        <v>2E-3</v>
      </c>
      <c r="AU410" s="1">
        <v>1E-3</v>
      </c>
      <c r="AV410" s="1">
        <v>1E-3</v>
      </c>
      <c r="AW410" s="1">
        <v>4.0000000000000001E-3</v>
      </c>
      <c r="AX410" s="1">
        <v>3.0000000000000001E-3</v>
      </c>
      <c r="AY410" s="1">
        <v>2E-3</v>
      </c>
      <c r="AZ410" s="1">
        <v>1E-3</v>
      </c>
      <c r="BA410" s="1">
        <v>2E-3</v>
      </c>
      <c r="BB410" s="1">
        <v>1E-3</v>
      </c>
      <c r="BC410" s="1">
        <v>1E-3</v>
      </c>
      <c r="BD410" s="1">
        <v>2E-3</v>
      </c>
      <c r="BE410" s="1">
        <v>1E-3</v>
      </c>
      <c r="BF410" s="1">
        <v>0</v>
      </c>
      <c r="BG410" s="1">
        <v>1E-3</v>
      </c>
      <c r="BH410" s="1">
        <v>1E-3</v>
      </c>
      <c r="BI410" s="1">
        <v>1E-3</v>
      </c>
      <c r="BJ410" s="1">
        <v>0</v>
      </c>
      <c r="BK410" s="1">
        <v>1E-3</v>
      </c>
      <c r="BL410" s="1">
        <v>1.7000000000000001E-2</v>
      </c>
      <c r="BM410" s="1">
        <v>2E-3</v>
      </c>
      <c r="BN410" s="1">
        <v>1E-3</v>
      </c>
      <c r="BO410" s="1">
        <v>1E-3</v>
      </c>
      <c r="BP410" s="1">
        <v>0</v>
      </c>
      <c r="BQ410" s="1">
        <v>6.0000000000000001E-3</v>
      </c>
      <c r="BR410" s="1">
        <v>1E-3</v>
      </c>
      <c r="BS410" s="1">
        <v>0</v>
      </c>
      <c r="BT410" s="1">
        <v>0</v>
      </c>
      <c r="BU410" s="1">
        <v>0</v>
      </c>
      <c r="BV410" s="1">
        <v>2E-3</v>
      </c>
      <c r="BW410" s="1">
        <v>1E-3</v>
      </c>
      <c r="BX410" s="1">
        <v>0.36799999999999999</v>
      </c>
      <c r="BY410" s="1">
        <v>4.0000000000000001E-3</v>
      </c>
      <c r="BZ410" s="1">
        <v>8.9999999999999993E-3</v>
      </c>
      <c r="CA410" s="1">
        <v>3.0000000000000001E-3</v>
      </c>
      <c r="CB410" s="1">
        <v>0</v>
      </c>
      <c r="CC410" s="1">
        <v>1E-3</v>
      </c>
      <c r="CD410" s="1">
        <v>1E-3</v>
      </c>
      <c r="CE410" s="1">
        <v>1E-3</v>
      </c>
      <c r="CF410" s="1">
        <v>1E-3</v>
      </c>
      <c r="CG410" s="1">
        <v>8.0000000000000002E-3</v>
      </c>
      <c r="CH410" s="1">
        <v>1E-3</v>
      </c>
      <c r="CI410" s="1">
        <v>1E-3</v>
      </c>
      <c r="CJ410" s="1">
        <v>2E-3</v>
      </c>
      <c r="CK410" s="1">
        <v>5.0000000000000001E-3</v>
      </c>
      <c r="CL410" s="1">
        <v>2E-3</v>
      </c>
      <c r="CM410" s="1">
        <v>18.930596820000002</v>
      </c>
      <c r="CN410" s="83">
        <v>46.031628150000003</v>
      </c>
    </row>
    <row r="411" spans="1:92" s="3" customFormat="1" x14ac:dyDescent="0.25">
      <c r="A411" s="72">
        <v>424</v>
      </c>
      <c r="B411" s="81" t="s">
        <v>1074</v>
      </c>
      <c r="C411" s="1" t="s">
        <v>83</v>
      </c>
      <c r="D411" s="1" t="s">
        <v>79</v>
      </c>
      <c r="E411" s="1" t="s">
        <v>99</v>
      </c>
      <c r="F411" s="1" t="s">
        <v>84</v>
      </c>
      <c r="G411" s="1" t="s">
        <v>505</v>
      </c>
      <c r="H411" s="1" t="s">
        <v>85</v>
      </c>
      <c r="I411" s="1"/>
      <c r="J411" s="9" t="s">
        <v>544</v>
      </c>
      <c r="K411" s="10">
        <v>0.41354766666666698</v>
      </c>
      <c r="L411" s="1" t="s">
        <v>545</v>
      </c>
      <c r="M411" s="1" t="s">
        <v>76</v>
      </c>
      <c r="N411" s="1" t="s">
        <v>644</v>
      </c>
      <c r="O411" s="1" t="s">
        <v>22</v>
      </c>
      <c r="P411" s="82">
        <v>0.32300000000000001</v>
      </c>
      <c r="Q411" s="1">
        <f>SUM(AK411:AN411)</f>
        <v>3.6999999999999998E-2</v>
      </c>
      <c r="R411" s="81" t="s">
        <v>87</v>
      </c>
      <c r="S411" s="1" t="s">
        <v>123</v>
      </c>
      <c r="T411" s="1" t="s">
        <v>78</v>
      </c>
      <c r="U411" s="1" t="s">
        <v>659</v>
      </c>
      <c r="V411" s="1" t="s">
        <v>655</v>
      </c>
      <c r="W411" s="1">
        <v>51</v>
      </c>
      <c r="X411" s="1" t="s">
        <v>289</v>
      </c>
      <c r="Y411" s="1" t="s">
        <v>644</v>
      </c>
      <c r="Z411" s="1">
        <v>2E-3</v>
      </c>
      <c r="AA411" s="1">
        <v>5.0000000000000001E-3</v>
      </c>
      <c r="AB411" s="1">
        <v>8.0000000000000002E-3</v>
      </c>
      <c r="AC411" s="1">
        <v>3.1E-2</v>
      </c>
      <c r="AD411" s="1">
        <v>7.6999999999999999E-2</v>
      </c>
      <c r="AE411" s="1">
        <v>6.0000000000000001E-3</v>
      </c>
      <c r="AF411" s="1">
        <v>4.0000000000000001E-3</v>
      </c>
      <c r="AG411" s="1">
        <v>0</v>
      </c>
      <c r="AH411" s="1">
        <v>0.02</v>
      </c>
      <c r="AI411" s="1">
        <v>2E-3</v>
      </c>
      <c r="AJ411" s="1">
        <v>5.0000000000000001E-3</v>
      </c>
      <c r="AK411" s="1">
        <v>0.02</v>
      </c>
      <c r="AL411" s="1">
        <v>2E-3</v>
      </c>
      <c r="AM411" s="1">
        <v>8.0000000000000002E-3</v>
      </c>
      <c r="AN411" s="1">
        <v>7.0000000000000001E-3</v>
      </c>
      <c r="AO411" s="1">
        <v>4.0000000000000001E-3</v>
      </c>
      <c r="AP411" s="1">
        <v>3.0000000000000001E-3</v>
      </c>
      <c r="AQ411" s="1">
        <v>0.32300000000000001</v>
      </c>
      <c r="AR411" s="1">
        <v>3.0000000000000001E-3</v>
      </c>
      <c r="AS411" s="1">
        <v>1.4E-2</v>
      </c>
      <c r="AT411" s="1">
        <v>8.0000000000000002E-3</v>
      </c>
      <c r="AU411" s="1">
        <v>4.0000000000000001E-3</v>
      </c>
      <c r="AV411" s="1">
        <v>3.0000000000000001E-3</v>
      </c>
      <c r="AW411" s="1">
        <v>0.01</v>
      </c>
      <c r="AX411" s="1">
        <v>8.0000000000000002E-3</v>
      </c>
      <c r="AY411" s="1">
        <v>8.0000000000000002E-3</v>
      </c>
      <c r="AZ411" s="1">
        <v>8.9999999999999993E-3</v>
      </c>
      <c r="BA411" s="1">
        <v>1.2999999999999999E-2</v>
      </c>
      <c r="BB411" s="1">
        <v>4.0000000000000001E-3</v>
      </c>
      <c r="BC411" s="1">
        <v>3.0000000000000001E-3</v>
      </c>
      <c r="BD411" s="1">
        <v>1.9E-2</v>
      </c>
      <c r="BE411" s="1">
        <v>3.0000000000000001E-3</v>
      </c>
      <c r="BF411" s="1">
        <v>2E-3</v>
      </c>
      <c r="BG411" s="1">
        <v>3.0000000000000001E-3</v>
      </c>
      <c r="BH411" s="1">
        <v>3.0000000000000001E-3</v>
      </c>
      <c r="BI411" s="1">
        <v>2E-3</v>
      </c>
      <c r="BJ411" s="1">
        <v>3.0000000000000001E-3</v>
      </c>
      <c r="BK411" s="1">
        <v>2E-3</v>
      </c>
      <c r="BL411" s="1">
        <v>2.1000000000000001E-2</v>
      </c>
      <c r="BM411" s="1">
        <v>5.0000000000000001E-3</v>
      </c>
      <c r="BN411" s="1">
        <v>1.0999999999999999E-2</v>
      </c>
      <c r="BO411" s="1">
        <v>3.0000000000000001E-3</v>
      </c>
      <c r="BP411" s="1">
        <v>3.0000000000000001E-3</v>
      </c>
      <c r="BQ411" s="1">
        <v>8.9999999999999993E-3</v>
      </c>
      <c r="BR411" s="1">
        <v>5.0000000000000001E-3</v>
      </c>
      <c r="BS411" s="1">
        <v>3.0000000000000001E-3</v>
      </c>
      <c r="BT411" s="1">
        <v>2E-3</v>
      </c>
      <c r="BU411" s="1">
        <v>3.0000000000000001E-3</v>
      </c>
      <c r="BV411" s="1">
        <v>4.0000000000000001E-3</v>
      </c>
      <c r="BW411" s="1">
        <v>5.0000000000000001E-3</v>
      </c>
      <c r="BX411" s="1">
        <v>0.108</v>
      </c>
      <c r="BY411" s="1">
        <v>3.1E-2</v>
      </c>
      <c r="BZ411" s="1">
        <v>2.7E-2</v>
      </c>
      <c r="CA411" s="1">
        <v>6.0000000000000001E-3</v>
      </c>
      <c r="CB411" s="1">
        <v>1E-3</v>
      </c>
      <c r="CC411" s="1">
        <v>6.0000000000000001E-3</v>
      </c>
      <c r="CD411" s="1">
        <v>0</v>
      </c>
      <c r="CE411" s="1">
        <v>4.0000000000000001E-3</v>
      </c>
      <c r="CF411" s="1">
        <v>4.0000000000000001E-3</v>
      </c>
      <c r="CG411" s="1">
        <v>8.9999999999999993E-3</v>
      </c>
      <c r="CH411" s="1">
        <v>8.9999999999999993E-3</v>
      </c>
      <c r="CI411" s="1">
        <v>6.0000000000000001E-3</v>
      </c>
      <c r="CJ411" s="1">
        <v>0.01</v>
      </c>
      <c r="CK411" s="1">
        <v>2.1000000000000001E-2</v>
      </c>
      <c r="CL411" s="1">
        <v>3.1E-2</v>
      </c>
      <c r="CM411" s="1">
        <v>-31.97628121</v>
      </c>
      <c r="CN411" s="83">
        <v>45.692057499999997</v>
      </c>
    </row>
    <row r="412" spans="1:92" s="3" customFormat="1" x14ac:dyDescent="0.25">
      <c r="A412" s="72">
        <v>425</v>
      </c>
      <c r="B412" s="81" t="s">
        <v>1124</v>
      </c>
      <c r="C412" s="1" t="s">
        <v>83</v>
      </c>
      <c r="D412" s="1" t="s">
        <v>79</v>
      </c>
      <c r="E412" s="1" t="s">
        <v>99</v>
      </c>
      <c r="F412" s="1" t="s">
        <v>84</v>
      </c>
      <c r="G412" s="1" t="s">
        <v>505</v>
      </c>
      <c r="H412" s="1" t="s">
        <v>85</v>
      </c>
      <c r="I412" s="1"/>
      <c r="J412" s="9" t="s">
        <v>544</v>
      </c>
      <c r="K412" s="10">
        <v>0.57112433333333301</v>
      </c>
      <c r="L412" s="1" t="s">
        <v>76</v>
      </c>
      <c r="M412" s="1" t="s">
        <v>506</v>
      </c>
      <c r="N412" s="1" t="s">
        <v>645</v>
      </c>
      <c r="O412" s="1" t="s">
        <v>17</v>
      </c>
      <c r="P412" s="82">
        <v>0.94699999999999995</v>
      </c>
      <c r="Q412" s="1" t="s">
        <v>76</v>
      </c>
      <c r="R412" s="81" t="s">
        <v>114</v>
      </c>
      <c r="S412" s="1" t="s">
        <v>123</v>
      </c>
      <c r="T412" s="1" t="s">
        <v>78</v>
      </c>
      <c r="U412" s="1" t="s">
        <v>658</v>
      </c>
      <c r="V412" s="1" t="s">
        <v>655</v>
      </c>
      <c r="W412" s="1">
        <v>52</v>
      </c>
      <c r="X412" s="1" t="s">
        <v>88</v>
      </c>
      <c r="Y412" s="1" t="s">
        <v>645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1E-3</v>
      </c>
      <c r="AL412" s="1">
        <v>0.94699999999999995</v>
      </c>
      <c r="AM412" s="1">
        <v>2.7E-2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1E-3</v>
      </c>
      <c r="AX412" s="1">
        <v>4.0000000000000001E-3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6.0000000000000001E-3</v>
      </c>
      <c r="BM412" s="1">
        <v>0</v>
      </c>
      <c r="BN412" s="1">
        <v>0</v>
      </c>
      <c r="BO412" s="1">
        <v>0</v>
      </c>
      <c r="BP412" s="1">
        <v>0</v>
      </c>
      <c r="BQ412" s="1">
        <v>1E-3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1E-3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1E-3</v>
      </c>
      <c r="CH412" s="1">
        <v>0</v>
      </c>
      <c r="CI412" s="1">
        <v>0</v>
      </c>
      <c r="CJ412" s="1">
        <v>0</v>
      </c>
      <c r="CK412" s="1">
        <v>2E-3</v>
      </c>
      <c r="CL412" s="1">
        <v>0</v>
      </c>
      <c r="CM412" s="1">
        <v>9.6801721589999996</v>
      </c>
      <c r="CN412" s="83">
        <v>57.62423828</v>
      </c>
    </row>
    <row r="413" spans="1:92" s="3" customFormat="1" x14ac:dyDescent="0.25">
      <c r="A413" s="72">
        <v>426</v>
      </c>
      <c r="B413" s="81" t="s">
        <v>1125</v>
      </c>
      <c r="C413" s="1" t="s">
        <v>83</v>
      </c>
      <c r="D413" s="1" t="s">
        <v>79</v>
      </c>
      <c r="E413" s="1" t="s">
        <v>99</v>
      </c>
      <c r="F413" s="1" t="s">
        <v>84</v>
      </c>
      <c r="G413" s="1" t="s">
        <v>505</v>
      </c>
      <c r="H413" s="1" t="s">
        <v>85</v>
      </c>
      <c r="I413" s="1"/>
      <c r="J413" s="9" t="s">
        <v>544</v>
      </c>
      <c r="K413" s="10">
        <v>0.56289883333333302</v>
      </c>
      <c r="L413" s="1" t="s">
        <v>76</v>
      </c>
      <c r="M413" s="1" t="s">
        <v>506</v>
      </c>
      <c r="N413" s="1" t="s">
        <v>645</v>
      </c>
      <c r="O413" s="1" t="s">
        <v>17</v>
      </c>
      <c r="P413" s="82">
        <v>0.97699999999999998</v>
      </c>
      <c r="Q413" s="1" t="s">
        <v>76</v>
      </c>
      <c r="R413" s="81" t="s">
        <v>114</v>
      </c>
      <c r="S413" s="1" t="s">
        <v>123</v>
      </c>
      <c r="T413" s="1" t="s">
        <v>78</v>
      </c>
      <c r="U413" s="1" t="s">
        <v>658</v>
      </c>
      <c r="V413" s="1" t="s">
        <v>655</v>
      </c>
      <c r="W413" s="1">
        <v>52</v>
      </c>
      <c r="X413" s="1" t="s">
        <v>88</v>
      </c>
      <c r="Y413" s="1" t="s">
        <v>645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0.97699999999999998</v>
      </c>
      <c r="AM413" s="1">
        <v>1.4999999999999999E-2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1E-3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1E-3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1E-3</v>
      </c>
      <c r="CH413" s="1">
        <v>0</v>
      </c>
      <c r="CI413" s="1">
        <v>0</v>
      </c>
      <c r="CJ413" s="1">
        <v>0</v>
      </c>
      <c r="CK413" s="1">
        <v>2E-3</v>
      </c>
      <c r="CL413" s="1">
        <v>0</v>
      </c>
      <c r="CM413" s="1">
        <v>10.16542658</v>
      </c>
      <c r="CN413" s="83">
        <v>58.682973609999998</v>
      </c>
    </row>
    <row r="414" spans="1:92" s="3" customFormat="1" x14ac:dyDescent="0.25">
      <c r="A414" s="72">
        <v>427</v>
      </c>
      <c r="B414" s="81" t="s">
        <v>1126</v>
      </c>
      <c r="C414" s="1" t="s">
        <v>83</v>
      </c>
      <c r="D414" s="1" t="s">
        <v>79</v>
      </c>
      <c r="E414" s="1" t="s">
        <v>99</v>
      </c>
      <c r="F414" s="1" t="s">
        <v>84</v>
      </c>
      <c r="G414" s="1" t="s">
        <v>505</v>
      </c>
      <c r="H414" s="1" t="s">
        <v>85</v>
      </c>
      <c r="I414" s="1"/>
      <c r="J414" s="9" t="s">
        <v>544</v>
      </c>
      <c r="K414" s="10">
        <v>0.56568233333333295</v>
      </c>
      <c r="L414" s="1" t="s">
        <v>76</v>
      </c>
      <c r="M414" s="1" t="s">
        <v>506</v>
      </c>
      <c r="N414" s="1" t="s">
        <v>645</v>
      </c>
      <c r="O414" s="1" t="s">
        <v>17</v>
      </c>
      <c r="P414" s="82">
        <v>0.995</v>
      </c>
      <c r="Q414" s="1" t="s">
        <v>76</v>
      </c>
      <c r="R414" s="81" t="s">
        <v>114</v>
      </c>
      <c r="S414" s="1" t="s">
        <v>123</v>
      </c>
      <c r="T414" s="1" t="s">
        <v>78</v>
      </c>
      <c r="U414" s="1" t="s">
        <v>658</v>
      </c>
      <c r="V414" s="1" t="s">
        <v>655</v>
      </c>
      <c r="W414" s="1">
        <v>52</v>
      </c>
      <c r="X414" s="1" t="s">
        <v>88</v>
      </c>
      <c r="Y414" s="1" t="s">
        <v>645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0.995</v>
      </c>
      <c r="AM414" s="1">
        <v>4.0000000000000001E-3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10.524643749999999</v>
      </c>
      <c r="CN414" s="83">
        <v>57.527796940000002</v>
      </c>
    </row>
    <row r="415" spans="1:92" s="3" customFormat="1" hidden="1" x14ac:dyDescent="0.25">
      <c r="A415" s="72">
        <v>431</v>
      </c>
      <c r="B415" s="81" t="s">
        <v>1683</v>
      </c>
      <c r="C415" s="1" t="s">
        <v>83</v>
      </c>
      <c r="D415" s="1" t="s">
        <v>301</v>
      </c>
      <c r="E415" s="1" t="s">
        <v>76</v>
      </c>
      <c r="F415" s="1" t="s">
        <v>301</v>
      </c>
      <c r="G415" s="1" t="s">
        <v>76</v>
      </c>
      <c r="H415" s="1" t="s">
        <v>537</v>
      </c>
      <c r="I415" s="1"/>
      <c r="J415" s="9" t="s">
        <v>544</v>
      </c>
      <c r="K415" s="10">
        <v>0.308677166666667</v>
      </c>
      <c r="L415" s="1" t="s">
        <v>76</v>
      </c>
      <c r="M415" s="1" t="s">
        <v>506</v>
      </c>
      <c r="N415" s="1" t="s">
        <v>645</v>
      </c>
      <c r="O415" s="1" t="s">
        <v>21</v>
      </c>
      <c r="P415" s="82">
        <v>0.92300000000000004</v>
      </c>
      <c r="Q415" s="1" t="s">
        <v>76</v>
      </c>
      <c r="R415" s="81" t="s">
        <v>269</v>
      </c>
      <c r="S415" s="1" t="s">
        <v>76</v>
      </c>
      <c r="T415" s="1" t="s">
        <v>269</v>
      </c>
      <c r="U415" s="1" t="s">
        <v>76</v>
      </c>
      <c r="V415" s="1" t="s">
        <v>656</v>
      </c>
      <c r="W415" s="1" t="s">
        <v>269</v>
      </c>
      <c r="X415" s="1" t="s">
        <v>76</v>
      </c>
      <c r="Y415" s="1" t="s">
        <v>645</v>
      </c>
      <c r="Z415" s="1">
        <v>0</v>
      </c>
      <c r="AA415" s="1">
        <v>1E-3</v>
      </c>
      <c r="AB415" s="1">
        <v>0</v>
      </c>
      <c r="AC415" s="1">
        <v>5.0000000000000001E-3</v>
      </c>
      <c r="AD415" s="1">
        <v>1E-3</v>
      </c>
      <c r="AE415" s="1">
        <v>0</v>
      </c>
      <c r="AF415" s="1">
        <v>0</v>
      </c>
      <c r="AG415" s="1">
        <v>0</v>
      </c>
      <c r="AH415" s="1">
        <v>2E-3</v>
      </c>
      <c r="AI415" s="1">
        <v>0</v>
      </c>
      <c r="AJ415" s="1">
        <v>0</v>
      </c>
      <c r="AK415" s="1">
        <v>1E-3</v>
      </c>
      <c r="AL415" s="1">
        <v>0</v>
      </c>
      <c r="AM415" s="1">
        <v>0</v>
      </c>
      <c r="AN415" s="1">
        <v>0</v>
      </c>
      <c r="AO415" s="1">
        <v>1E-3</v>
      </c>
      <c r="AP415" s="1">
        <v>0.92300000000000004</v>
      </c>
      <c r="AQ415" s="1">
        <v>0</v>
      </c>
      <c r="AR415" s="1">
        <v>0</v>
      </c>
      <c r="AS415" s="1">
        <v>2E-3</v>
      </c>
      <c r="AT415" s="1">
        <v>1E-3</v>
      </c>
      <c r="AU415" s="1">
        <v>0</v>
      </c>
      <c r="AV415" s="1">
        <v>0</v>
      </c>
      <c r="AW415" s="1">
        <v>1E-3</v>
      </c>
      <c r="AX415" s="1">
        <v>1E-3</v>
      </c>
      <c r="AY415" s="1">
        <v>1E-3</v>
      </c>
      <c r="AZ415" s="1">
        <v>1E-3</v>
      </c>
      <c r="BA415" s="1">
        <v>2E-3</v>
      </c>
      <c r="BB415" s="1">
        <v>0</v>
      </c>
      <c r="BC415" s="1">
        <v>0</v>
      </c>
      <c r="BD415" s="1">
        <v>3.0000000000000001E-3</v>
      </c>
      <c r="BE415" s="1">
        <v>0</v>
      </c>
      <c r="BF415" s="1">
        <v>0</v>
      </c>
      <c r="BG415" s="1">
        <v>1E-3</v>
      </c>
      <c r="BH415" s="1">
        <v>2.7E-2</v>
      </c>
      <c r="BI415" s="1">
        <v>0</v>
      </c>
      <c r="BJ415" s="1">
        <v>0</v>
      </c>
      <c r="BK415" s="1">
        <v>0</v>
      </c>
      <c r="BL415" s="1">
        <v>1E-3</v>
      </c>
      <c r="BM415" s="1">
        <v>1E-3</v>
      </c>
      <c r="BN415" s="1">
        <v>1E-3</v>
      </c>
      <c r="BO415" s="1">
        <v>0</v>
      </c>
      <c r="BP415" s="1">
        <v>0</v>
      </c>
      <c r="BQ415" s="1">
        <v>1E-3</v>
      </c>
      <c r="BR415" s="1">
        <v>1E-3</v>
      </c>
      <c r="BS415" s="1">
        <v>0</v>
      </c>
      <c r="BT415" s="1">
        <v>0</v>
      </c>
      <c r="BU415" s="1">
        <v>0</v>
      </c>
      <c r="BV415" s="1">
        <v>0</v>
      </c>
      <c r="BW415" s="1">
        <v>1E-3</v>
      </c>
      <c r="BX415" s="1">
        <v>1E-3</v>
      </c>
      <c r="BY415" s="1">
        <v>2E-3</v>
      </c>
      <c r="BZ415" s="1">
        <v>1E-3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1E-3</v>
      </c>
      <c r="CI415" s="1">
        <v>1E-3</v>
      </c>
      <c r="CJ415" s="1">
        <v>1E-3</v>
      </c>
      <c r="CK415" s="1">
        <v>5.0000000000000001E-3</v>
      </c>
      <c r="CL415" s="1">
        <v>1E-3</v>
      </c>
      <c r="CM415" s="1">
        <v>-53.653386570000002</v>
      </c>
      <c r="CN415" s="83">
        <v>-75.17435802</v>
      </c>
    </row>
    <row r="416" spans="1:92" s="3" customFormat="1" hidden="1" x14ac:dyDescent="0.25">
      <c r="A416" s="72">
        <v>434</v>
      </c>
      <c r="B416" s="81" t="s">
        <v>1693</v>
      </c>
      <c r="C416" s="1" t="s">
        <v>83</v>
      </c>
      <c r="D416" s="1" t="s">
        <v>301</v>
      </c>
      <c r="E416" s="1" t="s">
        <v>76</v>
      </c>
      <c r="F416" s="1" t="s">
        <v>301</v>
      </c>
      <c r="G416" s="1" t="s">
        <v>76</v>
      </c>
      <c r="H416" s="1" t="s">
        <v>537</v>
      </c>
      <c r="I416" s="1"/>
      <c r="J416" s="9" t="s">
        <v>544</v>
      </c>
      <c r="K416" s="10">
        <v>0.28001366666666699</v>
      </c>
      <c r="L416" s="1" t="s">
        <v>641</v>
      </c>
      <c r="M416" s="1" t="s">
        <v>76</v>
      </c>
      <c r="N416" s="1" t="s">
        <v>649</v>
      </c>
      <c r="O416" s="1" t="s">
        <v>21</v>
      </c>
      <c r="P416" s="82">
        <v>0.79500000000000004</v>
      </c>
      <c r="Q416" s="1" t="s">
        <v>76</v>
      </c>
      <c r="R416" s="81" t="s">
        <v>269</v>
      </c>
      <c r="S416" s="1" t="s">
        <v>76</v>
      </c>
      <c r="T416" s="1" t="s">
        <v>269</v>
      </c>
      <c r="U416" s="1" t="s">
        <v>76</v>
      </c>
      <c r="V416" s="1" t="s">
        <v>656</v>
      </c>
      <c r="W416" s="1" t="s">
        <v>269</v>
      </c>
      <c r="X416" s="1" t="s">
        <v>76</v>
      </c>
      <c r="Y416" s="1" t="s">
        <v>649</v>
      </c>
      <c r="Z416" s="1">
        <v>1E-3</v>
      </c>
      <c r="AA416" s="1">
        <v>1E-3</v>
      </c>
      <c r="AB416" s="1">
        <v>1E-3</v>
      </c>
      <c r="AC416" s="1">
        <v>1.2E-2</v>
      </c>
      <c r="AD416" s="1">
        <v>1E-3</v>
      </c>
      <c r="AE416" s="1">
        <v>1E-3</v>
      </c>
      <c r="AF416" s="1">
        <v>1E-3</v>
      </c>
      <c r="AG416" s="1">
        <v>0</v>
      </c>
      <c r="AH416" s="1">
        <v>4.0000000000000001E-3</v>
      </c>
      <c r="AI416" s="1">
        <v>1E-3</v>
      </c>
      <c r="AJ416" s="1">
        <v>0</v>
      </c>
      <c r="AK416" s="1">
        <v>2E-3</v>
      </c>
      <c r="AL416" s="1">
        <v>0</v>
      </c>
      <c r="AM416" s="1">
        <v>1E-3</v>
      </c>
      <c r="AN416" s="1">
        <v>1E-3</v>
      </c>
      <c r="AO416" s="1">
        <v>2E-3</v>
      </c>
      <c r="AP416" s="1">
        <v>0.79500000000000004</v>
      </c>
      <c r="AQ416" s="1">
        <v>1E-3</v>
      </c>
      <c r="AR416" s="1">
        <v>0</v>
      </c>
      <c r="AS416" s="1">
        <v>4.0000000000000001E-3</v>
      </c>
      <c r="AT416" s="1">
        <v>2E-3</v>
      </c>
      <c r="AU416" s="1">
        <v>1E-3</v>
      </c>
      <c r="AV416" s="1">
        <v>1E-3</v>
      </c>
      <c r="AW416" s="1">
        <v>2E-3</v>
      </c>
      <c r="AX416" s="1">
        <v>1E-3</v>
      </c>
      <c r="AY416" s="1">
        <v>2E-3</v>
      </c>
      <c r="AZ416" s="1">
        <v>1E-3</v>
      </c>
      <c r="BA416" s="1">
        <v>4.0000000000000001E-3</v>
      </c>
      <c r="BB416" s="1">
        <v>1E-3</v>
      </c>
      <c r="BC416" s="1">
        <v>1E-3</v>
      </c>
      <c r="BD416" s="1">
        <v>6.0000000000000001E-3</v>
      </c>
      <c r="BE416" s="1">
        <v>1E-3</v>
      </c>
      <c r="BF416" s="1">
        <v>1E-3</v>
      </c>
      <c r="BG416" s="1">
        <v>1E-3</v>
      </c>
      <c r="BH416" s="1">
        <v>0.10100000000000001</v>
      </c>
      <c r="BI416" s="1">
        <v>1E-3</v>
      </c>
      <c r="BJ416" s="1">
        <v>0</v>
      </c>
      <c r="BK416" s="1">
        <v>0</v>
      </c>
      <c r="BL416" s="1">
        <v>2E-3</v>
      </c>
      <c r="BM416" s="1">
        <v>1E-3</v>
      </c>
      <c r="BN416" s="1">
        <v>2E-3</v>
      </c>
      <c r="BO416" s="1">
        <v>0</v>
      </c>
      <c r="BP416" s="1">
        <v>0</v>
      </c>
      <c r="BQ416" s="1">
        <v>2E-3</v>
      </c>
      <c r="BR416" s="1">
        <v>1E-3</v>
      </c>
      <c r="BS416" s="1">
        <v>1E-3</v>
      </c>
      <c r="BT416" s="1">
        <v>1E-3</v>
      </c>
      <c r="BU416" s="1">
        <v>0</v>
      </c>
      <c r="BV416" s="1">
        <v>1E-3</v>
      </c>
      <c r="BW416" s="1">
        <v>1E-3</v>
      </c>
      <c r="BX416" s="1">
        <v>3.0000000000000001E-3</v>
      </c>
      <c r="BY416" s="1">
        <v>4.0000000000000001E-3</v>
      </c>
      <c r="BZ416" s="1">
        <v>2E-3</v>
      </c>
      <c r="CA416" s="1">
        <v>1E-3</v>
      </c>
      <c r="CB416" s="1">
        <v>0</v>
      </c>
      <c r="CC416" s="1">
        <v>1E-3</v>
      </c>
      <c r="CD416" s="1">
        <v>0</v>
      </c>
      <c r="CE416" s="1">
        <v>1E-3</v>
      </c>
      <c r="CF416" s="1">
        <v>1E-3</v>
      </c>
      <c r="CG416" s="1">
        <v>1E-3</v>
      </c>
      <c r="CH416" s="1">
        <v>2E-3</v>
      </c>
      <c r="CI416" s="1">
        <v>2E-3</v>
      </c>
      <c r="CJ416" s="1">
        <v>3.0000000000000001E-3</v>
      </c>
      <c r="CK416" s="1">
        <v>8.9999999999999993E-3</v>
      </c>
      <c r="CL416" s="1">
        <v>2E-3</v>
      </c>
      <c r="CM416" s="1">
        <v>-51.434692210000001</v>
      </c>
      <c r="CN416" s="83">
        <v>-75.612022519999996</v>
      </c>
    </row>
    <row r="417" spans="1:92" s="3" customFormat="1" hidden="1" x14ac:dyDescent="0.25">
      <c r="A417" s="72">
        <v>437</v>
      </c>
      <c r="B417" s="81" t="s">
        <v>1684</v>
      </c>
      <c r="C417" s="1" t="s">
        <v>83</v>
      </c>
      <c r="D417" s="1" t="s">
        <v>301</v>
      </c>
      <c r="E417" s="1" t="s">
        <v>76</v>
      </c>
      <c r="F417" s="1" t="s">
        <v>301</v>
      </c>
      <c r="G417" s="1" t="s">
        <v>76</v>
      </c>
      <c r="H417" s="1" t="s">
        <v>537</v>
      </c>
      <c r="I417" s="1"/>
      <c r="J417" s="9" t="s">
        <v>544</v>
      </c>
      <c r="K417" s="10">
        <v>0.297809833333334</v>
      </c>
      <c r="L417" s="1" t="s">
        <v>76</v>
      </c>
      <c r="M417" s="1" t="s">
        <v>506</v>
      </c>
      <c r="N417" s="1" t="s">
        <v>645</v>
      </c>
      <c r="O417" s="1" t="s">
        <v>21</v>
      </c>
      <c r="P417" s="82">
        <v>0.94599999999999995</v>
      </c>
      <c r="Q417" s="1" t="s">
        <v>76</v>
      </c>
      <c r="R417" s="81" t="s">
        <v>269</v>
      </c>
      <c r="S417" s="1" t="s">
        <v>76</v>
      </c>
      <c r="T417" s="1" t="s">
        <v>269</v>
      </c>
      <c r="U417" s="1" t="s">
        <v>76</v>
      </c>
      <c r="V417" s="1" t="s">
        <v>656</v>
      </c>
      <c r="W417" s="1" t="s">
        <v>269</v>
      </c>
      <c r="X417" s="1" t="s">
        <v>76</v>
      </c>
      <c r="Y417" s="1" t="s">
        <v>645</v>
      </c>
      <c r="Z417" s="1">
        <v>0</v>
      </c>
      <c r="AA417" s="1">
        <v>0</v>
      </c>
      <c r="AB417" s="1">
        <v>0</v>
      </c>
      <c r="AC417" s="1">
        <v>3.0000000000000001E-3</v>
      </c>
      <c r="AD417" s="1">
        <v>0</v>
      </c>
      <c r="AE417" s="1">
        <v>0</v>
      </c>
      <c r="AF417" s="1">
        <v>0</v>
      </c>
      <c r="AG417" s="1">
        <v>0</v>
      </c>
      <c r="AH417" s="1">
        <v>1E-3</v>
      </c>
      <c r="AI417" s="1">
        <v>0</v>
      </c>
      <c r="AJ417" s="1">
        <v>0</v>
      </c>
      <c r="AK417" s="1">
        <v>1E-3</v>
      </c>
      <c r="AL417" s="1">
        <v>0</v>
      </c>
      <c r="AM417" s="1">
        <v>0</v>
      </c>
      <c r="AN417" s="1">
        <v>0</v>
      </c>
      <c r="AO417" s="1">
        <v>1E-3</v>
      </c>
      <c r="AP417" s="1">
        <v>0.94599999999999995</v>
      </c>
      <c r="AQ417" s="1">
        <v>0</v>
      </c>
      <c r="AR417" s="1">
        <v>0</v>
      </c>
      <c r="AS417" s="1">
        <v>1E-3</v>
      </c>
      <c r="AT417" s="1">
        <v>1E-3</v>
      </c>
      <c r="AU417" s="1">
        <v>0</v>
      </c>
      <c r="AV417" s="1">
        <v>0</v>
      </c>
      <c r="AW417" s="1">
        <v>1E-3</v>
      </c>
      <c r="AX417" s="1">
        <v>0</v>
      </c>
      <c r="AY417" s="1">
        <v>1E-3</v>
      </c>
      <c r="AZ417" s="1">
        <v>1E-3</v>
      </c>
      <c r="BA417" s="1">
        <v>2E-3</v>
      </c>
      <c r="BB417" s="1">
        <v>0</v>
      </c>
      <c r="BC417" s="1">
        <v>0</v>
      </c>
      <c r="BD417" s="1">
        <v>2E-3</v>
      </c>
      <c r="BE417" s="1">
        <v>0</v>
      </c>
      <c r="BF417" s="1">
        <v>0</v>
      </c>
      <c r="BG417" s="1">
        <v>1E-3</v>
      </c>
      <c r="BH417" s="1">
        <v>1.6E-2</v>
      </c>
      <c r="BI417" s="1">
        <v>0</v>
      </c>
      <c r="BJ417" s="1">
        <v>0</v>
      </c>
      <c r="BK417" s="1">
        <v>0</v>
      </c>
      <c r="BL417" s="1">
        <v>1E-3</v>
      </c>
      <c r="BM417" s="1">
        <v>0</v>
      </c>
      <c r="BN417" s="1">
        <v>1E-3</v>
      </c>
      <c r="BO417" s="1">
        <v>0</v>
      </c>
      <c r="BP417" s="1">
        <v>0</v>
      </c>
      <c r="BQ417" s="1">
        <v>1E-3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1E-3</v>
      </c>
      <c r="BY417" s="1">
        <v>2E-3</v>
      </c>
      <c r="BZ417" s="1">
        <v>1E-3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1E-3</v>
      </c>
      <c r="CI417" s="1">
        <v>1E-3</v>
      </c>
      <c r="CJ417" s="1">
        <v>1E-3</v>
      </c>
      <c r="CK417" s="1">
        <v>3.0000000000000001E-3</v>
      </c>
      <c r="CL417" s="1">
        <v>1E-3</v>
      </c>
      <c r="CM417" s="1">
        <v>-54.884815619999998</v>
      </c>
      <c r="CN417" s="83">
        <v>-75.796658600000001</v>
      </c>
    </row>
    <row r="418" spans="1:92" s="3" customFormat="1" x14ac:dyDescent="0.25">
      <c r="A418" s="72">
        <v>440</v>
      </c>
      <c r="B418" s="81" t="s">
        <v>1279</v>
      </c>
      <c r="C418" s="1" t="s">
        <v>83</v>
      </c>
      <c r="D418" s="1" t="s">
        <v>73</v>
      </c>
      <c r="E418" s="1" t="s">
        <v>74</v>
      </c>
      <c r="F418" s="1" t="s">
        <v>84</v>
      </c>
      <c r="G418" s="1" t="s">
        <v>86</v>
      </c>
      <c r="H418" s="1" t="s">
        <v>85</v>
      </c>
      <c r="I418" s="1"/>
      <c r="J418" s="9" t="s">
        <v>544</v>
      </c>
      <c r="K418" s="10">
        <v>0.46339766666666699</v>
      </c>
      <c r="L418" s="1" t="s">
        <v>76</v>
      </c>
      <c r="M418" s="1" t="s">
        <v>506</v>
      </c>
      <c r="N418" s="1" t="s">
        <v>645</v>
      </c>
      <c r="O418" s="1" t="s">
        <v>17</v>
      </c>
      <c r="P418" s="82">
        <v>0.998</v>
      </c>
      <c r="Q418" s="1" t="s">
        <v>76</v>
      </c>
      <c r="R418" s="81" t="s">
        <v>285</v>
      </c>
      <c r="S418" s="1">
        <v>3</v>
      </c>
      <c r="T418" s="1" t="s">
        <v>78</v>
      </c>
      <c r="U418" s="1" t="s">
        <v>660</v>
      </c>
      <c r="V418" s="1" t="s">
        <v>655</v>
      </c>
      <c r="W418" s="1">
        <v>69</v>
      </c>
      <c r="X418" s="1" t="s">
        <v>286</v>
      </c>
      <c r="Y418" s="1" t="s">
        <v>645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0.998</v>
      </c>
      <c r="AM418" s="1">
        <v>2E-3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-5.5456753299999999</v>
      </c>
      <c r="CN418" s="83">
        <v>60.520556280000001</v>
      </c>
    </row>
    <row r="419" spans="1:92" s="3" customFormat="1" x14ac:dyDescent="0.25">
      <c r="A419" s="72">
        <v>441</v>
      </c>
      <c r="B419" s="81" t="s">
        <v>1112</v>
      </c>
      <c r="C419" s="1" t="s">
        <v>83</v>
      </c>
      <c r="D419" s="1" t="s">
        <v>73</v>
      </c>
      <c r="E419" s="1" t="s">
        <v>99</v>
      </c>
      <c r="F419" s="1" t="s">
        <v>84</v>
      </c>
      <c r="G419" s="1" t="s">
        <v>503</v>
      </c>
      <c r="H419" s="1" t="s">
        <v>85</v>
      </c>
      <c r="I419" s="1"/>
      <c r="J419" s="9" t="s">
        <v>544</v>
      </c>
      <c r="K419" s="10">
        <v>0.34570799999999902</v>
      </c>
      <c r="L419" s="1" t="s">
        <v>510</v>
      </c>
      <c r="M419" s="1" t="s">
        <v>76</v>
      </c>
      <c r="N419" s="1" t="s">
        <v>644</v>
      </c>
      <c r="O419" s="1" t="s">
        <v>68</v>
      </c>
      <c r="P419" s="82">
        <v>0.55200000000000005</v>
      </c>
      <c r="Q419" s="1">
        <f>SUM(AK419:AN419)</f>
        <v>1.8000000000000002E-2</v>
      </c>
      <c r="R419" s="81" t="s">
        <v>302</v>
      </c>
      <c r="S419" s="1" t="s">
        <v>123</v>
      </c>
      <c r="T419" s="1" t="s">
        <v>120</v>
      </c>
      <c r="U419" s="1" t="s">
        <v>660</v>
      </c>
      <c r="V419" s="1" t="s">
        <v>655</v>
      </c>
      <c r="W419" s="1">
        <v>55</v>
      </c>
      <c r="X419" s="1" t="s">
        <v>286</v>
      </c>
      <c r="Y419" s="1" t="s">
        <v>644</v>
      </c>
      <c r="Z419" s="1">
        <v>0.01</v>
      </c>
      <c r="AA419" s="1">
        <v>1.2E-2</v>
      </c>
      <c r="AB419" s="1">
        <v>2E-3</v>
      </c>
      <c r="AC419" s="1">
        <v>5.0000000000000001E-3</v>
      </c>
      <c r="AD419" s="1">
        <v>1.0999999999999999E-2</v>
      </c>
      <c r="AE419" s="1">
        <v>2E-3</v>
      </c>
      <c r="AF419" s="1">
        <v>3.0000000000000001E-3</v>
      </c>
      <c r="AG419" s="1">
        <v>0</v>
      </c>
      <c r="AH419" s="1">
        <v>8.9999999999999993E-3</v>
      </c>
      <c r="AI419" s="1">
        <v>2E-3</v>
      </c>
      <c r="AJ419" s="1">
        <v>3.0000000000000001E-3</v>
      </c>
      <c r="AK419" s="1">
        <v>4.0000000000000001E-3</v>
      </c>
      <c r="AL419" s="1">
        <v>2E-3</v>
      </c>
      <c r="AM419" s="1">
        <v>3.0000000000000001E-3</v>
      </c>
      <c r="AN419" s="1">
        <v>8.9999999999999993E-3</v>
      </c>
      <c r="AO419" s="1">
        <v>2E-3</v>
      </c>
      <c r="AP419" s="1">
        <v>2E-3</v>
      </c>
      <c r="AQ419" s="1">
        <v>2E-3</v>
      </c>
      <c r="AR419" s="1">
        <v>8.9999999999999993E-3</v>
      </c>
      <c r="AS419" s="1">
        <v>6.0000000000000001E-3</v>
      </c>
      <c r="AT419" s="1">
        <v>3.0000000000000001E-3</v>
      </c>
      <c r="AU419" s="1">
        <v>4.0000000000000001E-3</v>
      </c>
      <c r="AV419" s="1">
        <v>4.0000000000000001E-3</v>
      </c>
      <c r="AW419" s="1">
        <v>3.0000000000000001E-3</v>
      </c>
      <c r="AX419" s="1">
        <v>0.08</v>
      </c>
      <c r="AY419" s="1">
        <v>4.0000000000000001E-3</v>
      </c>
      <c r="AZ419" s="1">
        <v>6.0000000000000001E-3</v>
      </c>
      <c r="BA419" s="1">
        <v>7.0000000000000001E-3</v>
      </c>
      <c r="BB419" s="1">
        <v>2E-3</v>
      </c>
      <c r="BC419" s="1">
        <v>2E-3</v>
      </c>
      <c r="BD419" s="1">
        <v>8.9999999999999993E-3</v>
      </c>
      <c r="BE419" s="1">
        <v>2E-3</v>
      </c>
      <c r="BF419" s="1">
        <v>2E-3</v>
      </c>
      <c r="BG419" s="1">
        <v>2E-3</v>
      </c>
      <c r="BH419" s="1">
        <v>1E-3</v>
      </c>
      <c r="BI419" s="1">
        <v>1E-3</v>
      </c>
      <c r="BJ419" s="1">
        <v>5.0000000000000001E-3</v>
      </c>
      <c r="BK419" s="1">
        <v>1E-3</v>
      </c>
      <c r="BL419" s="1">
        <v>5.0000000000000001E-3</v>
      </c>
      <c r="BM419" s="1">
        <v>2E-3</v>
      </c>
      <c r="BN419" s="1">
        <v>3.0000000000000001E-3</v>
      </c>
      <c r="BO419" s="1">
        <v>1E-3</v>
      </c>
      <c r="BP419" s="1">
        <v>6.0000000000000001E-3</v>
      </c>
      <c r="BQ419" s="1">
        <v>7.0000000000000001E-3</v>
      </c>
      <c r="BR419" s="1">
        <v>3.0000000000000001E-3</v>
      </c>
      <c r="BS419" s="1">
        <v>5.0000000000000001E-3</v>
      </c>
      <c r="BT419" s="1">
        <v>1E-3</v>
      </c>
      <c r="BU419" s="1">
        <v>6.0000000000000001E-3</v>
      </c>
      <c r="BV419" s="1">
        <v>1E-3</v>
      </c>
      <c r="BW419" s="1">
        <v>3.0000000000000001E-3</v>
      </c>
      <c r="BX419" s="1">
        <v>1.2E-2</v>
      </c>
      <c r="BY419" s="1">
        <v>7.0000000000000001E-3</v>
      </c>
      <c r="BZ419" s="1">
        <v>0.02</v>
      </c>
      <c r="CA419" s="1">
        <v>5.0000000000000001E-3</v>
      </c>
      <c r="CB419" s="1">
        <v>2E-3</v>
      </c>
      <c r="CC419" s="1">
        <v>4.0000000000000001E-3</v>
      </c>
      <c r="CD419" s="1">
        <v>0</v>
      </c>
      <c r="CE419" s="1">
        <v>2E-3</v>
      </c>
      <c r="CF419" s="1">
        <v>1.4E-2</v>
      </c>
      <c r="CG419" s="1">
        <v>7.0000000000000001E-3</v>
      </c>
      <c r="CH419" s="1">
        <v>3.0000000000000001E-3</v>
      </c>
      <c r="CI419" s="1">
        <v>2E-3</v>
      </c>
      <c r="CJ419" s="1">
        <v>4.0000000000000001E-3</v>
      </c>
      <c r="CK419" s="1">
        <v>0.55200000000000005</v>
      </c>
      <c r="CL419" s="1">
        <v>8.5999999999999993E-2</v>
      </c>
      <c r="CM419" s="1">
        <v>-29.8071546</v>
      </c>
      <c r="CN419" s="83">
        <v>41.583486659999998</v>
      </c>
    </row>
    <row r="420" spans="1:92" s="3" customFormat="1" x14ac:dyDescent="0.25">
      <c r="A420" s="72">
        <v>442</v>
      </c>
      <c r="B420" s="81" t="s">
        <v>1033</v>
      </c>
      <c r="C420" s="1" t="s">
        <v>83</v>
      </c>
      <c r="D420" s="1" t="s">
        <v>73</v>
      </c>
      <c r="E420" s="1" t="s">
        <v>99</v>
      </c>
      <c r="F420" s="1" t="s">
        <v>84</v>
      </c>
      <c r="G420" s="1" t="s">
        <v>86</v>
      </c>
      <c r="H420" s="1" t="s">
        <v>85</v>
      </c>
      <c r="I420" s="1"/>
      <c r="J420" s="9" t="s">
        <v>544</v>
      </c>
      <c r="K420" s="10">
        <v>0.40507266666666703</v>
      </c>
      <c r="L420" s="1" t="s">
        <v>641</v>
      </c>
      <c r="M420" s="1" t="s">
        <v>76</v>
      </c>
      <c r="N420" s="1" t="s">
        <v>649</v>
      </c>
      <c r="O420" s="1" t="s">
        <v>19</v>
      </c>
      <c r="P420" s="82">
        <v>0.86499999999999999</v>
      </c>
      <c r="Q420" s="1">
        <f>SUM(AK420:AN420)</f>
        <v>0.97199999999999998</v>
      </c>
      <c r="R420" s="81" t="s">
        <v>100</v>
      </c>
      <c r="S420" s="1">
        <v>2</v>
      </c>
      <c r="T420" s="1" t="s">
        <v>78</v>
      </c>
      <c r="U420" s="1" t="s">
        <v>660</v>
      </c>
      <c r="V420" s="1" t="s">
        <v>655</v>
      </c>
      <c r="W420" s="1">
        <v>57</v>
      </c>
      <c r="X420" s="1" t="s">
        <v>1731</v>
      </c>
      <c r="Y420" s="1" t="s">
        <v>645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2E-3</v>
      </c>
      <c r="AI420" s="1">
        <v>1E-3</v>
      </c>
      <c r="AJ420" s="1">
        <v>3.0000000000000001E-3</v>
      </c>
      <c r="AK420" s="1">
        <v>2E-3</v>
      </c>
      <c r="AL420" s="1">
        <v>7.0000000000000007E-2</v>
      </c>
      <c r="AM420" s="1">
        <v>3.5000000000000003E-2</v>
      </c>
      <c r="AN420" s="1">
        <v>0.86499999999999999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1E-3</v>
      </c>
      <c r="AX420" s="1">
        <v>2E-3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1E-3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2E-3</v>
      </c>
      <c r="BM420" s="1">
        <v>0</v>
      </c>
      <c r="BN420" s="1">
        <v>0</v>
      </c>
      <c r="BO420" s="1">
        <v>0</v>
      </c>
      <c r="BP420" s="1">
        <v>0</v>
      </c>
      <c r="BQ420" s="1">
        <v>1E-3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1E-3</v>
      </c>
      <c r="BY420" s="1">
        <v>0</v>
      </c>
      <c r="BZ420" s="1">
        <v>2E-3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3.0000000000000001E-3</v>
      </c>
      <c r="CH420" s="1">
        <v>0</v>
      </c>
      <c r="CI420" s="1">
        <v>0</v>
      </c>
      <c r="CJ420" s="1">
        <v>0</v>
      </c>
      <c r="CK420" s="1">
        <v>1E-3</v>
      </c>
      <c r="CL420" s="1">
        <v>0</v>
      </c>
      <c r="CM420" s="1">
        <v>-26.579959989999999</v>
      </c>
      <c r="CN420" s="83">
        <v>48.435504780000002</v>
      </c>
    </row>
    <row r="421" spans="1:92" s="3" customFormat="1" hidden="1" x14ac:dyDescent="0.25">
      <c r="A421" s="72">
        <v>443</v>
      </c>
      <c r="B421" s="81" t="s">
        <v>1685</v>
      </c>
      <c r="C421" s="1" t="s">
        <v>83</v>
      </c>
      <c r="D421" s="1" t="s">
        <v>301</v>
      </c>
      <c r="E421" s="1" t="s">
        <v>76</v>
      </c>
      <c r="F421" s="1" t="s">
        <v>301</v>
      </c>
      <c r="G421" s="1" t="s">
        <v>76</v>
      </c>
      <c r="H421" s="1" t="s">
        <v>537</v>
      </c>
      <c r="I421" s="1"/>
      <c r="J421" s="9" t="s">
        <v>544</v>
      </c>
      <c r="K421" s="10">
        <v>0.30786150000000101</v>
      </c>
      <c r="L421" s="1" t="s">
        <v>76</v>
      </c>
      <c r="M421" s="1" t="s">
        <v>506</v>
      </c>
      <c r="N421" s="1" t="s">
        <v>645</v>
      </c>
      <c r="O421" s="1" t="s">
        <v>21</v>
      </c>
      <c r="P421" s="82">
        <v>0.96599999999999997</v>
      </c>
      <c r="Q421" s="1" t="s">
        <v>76</v>
      </c>
      <c r="R421" s="81" t="s">
        <v>269</v>
      </c>
      <c r="S421" s="1" t="s">
        <v>76</v>
      </c>
      <c r="T421" s="1" t="s">
        <v>269</v>
      </c>
      <c r="U421" s="1" t="s">
        <v>76</v>
      </c>
      <c r="V421" s="1" t="s">
        <v>656</v>
      </c>
      <c r="W421" s="1" t="s">
        <v>269</v>
      </c>
      <c r="X421" s="1" t="s">
        <v>76</v>
      </c>
      <c r="Y421" s="1" t="s">
        <v>645</v>
      </c>
      <c r="Z421" s="1">
        <v>0</v>
      </c>
      <c r="AA421" s="1">
        <v>0</v>
      </c>
      <c r="AB421" s="1">
        <v>0</v>
      </c>
      <c r="AC421" s="1">
        <v>2E-3</v>
      </c>
      <c r="AD421" s="1">
        <v>0</v>
      </c>
      <c r="AE421" s="1">
        <v>0</v>
      </c>
      <c r="AF421" s="1">
        <v>0</v>
      </c>
      <c r="AG421" s="1">
        <v>0</v>
      </c>
      <c r="AH421" s="1">
        <v>1E-3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1E-3</v>
      </c>
      <c r="AP421" s="1">
        <v>0.96599999999999997</v>
      </c>
      <c r="AQ421" s="1">
        <v>0</v>
      </c>
      <c r="AR421" s="1">
        <v>0</v>
      </c>
      <c r="AS421" s="1">
        <v>1E-3</v>
      </c>
      <c r="AT421" s="1">
        <v>1E-3</v>
      </c>
      <c r="AU421" s="1">
        <v>0</v>
      </c>
      <c r="AV421" s="1">
        <v>0</v>
      </c>
      <c r="AW421" s="1">
        <v>1E-3</v>
      </c>
      <c r="AX421" s="1">
        <v>0</v>
      </c>
      <c r="AY421" s="1">
        <v>1E-3</v>
      </c>
      <c r="AZ421" s="1">
        <v>0</v>
      </c>
      <c r="BA421" s="1">
        <v>1E-3</v>
      </c>
      <c r="BB421" s="1">
        <v>0</v>
      </c>
      <c r="BC421" s="1">
        <v>0</v>
      </c>
      <c r="BD421" s="1">
        <v>2E-3</v>
      </c>
      <c r="BE421" s="1">
        <v>0</v>
      </c>
      <c r="BF421" s="1">
        <v>0</v>
      </c>
      <c r="BG421" s="1">
        <v>0</v>
      </c>
      <c r="BH421" s="1">
        <v>7.0000000000000001E-3</v>
      </c>
      <c r="BI421" s="1">
        <v>0</v>
      </c>
      <c r="BJ421" s="1">
        <v>0</v>
      </c>
      <c r="BK421" s="1">
        <v>0</v>
      </c>
      <c r="BL421" s="1">
        <v>1E-3</v>
      </c>
      <c r="BM421" s="1">
        <v>0</v>
      </c>
      <c r="BN421" s="1">
        <v>0</v>
      </c>
      <c r="BO421" s="1">
        <v>0</v>
      </c>
      <c r="BP421" s="1">
        <v>0</v>
      </c>
      <c r="BQ421" s="1">
        <v>1E-3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1E-3</v>
      </c>
      <c r="BY421" s="1">
        <v>1E-3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1E-3</v>
      </c>
      <c r="CI421" s="1">
        <v>1E-3</v>
      </c>
      <c r="CJ421" s="1">
        <v>1E-3</v>
      </c>
      <c r="CK421" s="1">
        <v>2E-3</v>
      </c>
      <c r="CL421" s="1">
        <v>1E-3</v>
      </c>
      <c r="CM421" s="1">
        <v>-56.143686809999998</v>
      </c>
      <c r="CN421" s="83">
        <v>-76.506219110000004</v>
      </c>
    </row>
    <row r="422" spans="1:92" s="3" customFormat="1" hidden="1" x14ac:dyDescent="0.25">
      <c r="A422" s="72">
        <v>448</v>
      </c>
      <c r="B422" s="81" t="s">
        <v>1694</v>
      </c>
      <c r="C422" s="1" t="s">
        <v>83</v>
      </c>
      <c r="D422" s="1" t="s">
        <v>301</v>
      </c>
      <c r="E422" s="1" t="s">
        <v>76</v>
      </c>
      <c r="F422" s="1" t="s">
        <v>301</v>
      </c>
      <c r="G422" s="1" t="s">
        <v>76</v>
      </c>
      <c r="H422" s="1" t="s">
        <v>537</v>
      </c>
      <c r="I422" s="1"/>
      <c r="J422" s="9" t="s">
        <v>544</v>
      </c>
      <c r="K422" s="10">
        <v>0.34617166666666699</v>
      </c>
      <c r="L422" s="1" t="s">
        <v>641</v>
      </c>
      <c r="M422" s="1" t="s">
        <v>76</v>
      </c>
      <c r="N422" s="1" t="s">
        <v>649</v>
      </c>
      <c r="O422" s="1" t="s">
        <v>21</v>
      </c>
      <c r="P422" s="82">
        <v>0.64200000000000002</v>
      </c>
      <c r="Q422" s="1" t="s">
        <v>76</v>
      </c>
      <c r="R422" s="81" t="s">
        <v>269</v>
      </c>
      <c r="S422" s="1" t="s">
        <v>76</v>
      </c>
      <c r="T422" s="1" t="s">
        <v>269</v>
      </c>
      <c r="U422" s="1" t="s">
        <v>76</v>
      </c>
      <c r="V422" s="1" t="s">
        <v>656</v>
      </c>
      <c r="W422" s="1" t="s">
        <v>269</v>
      </c>
      <c r="X422" s="1" t="s">
        <v>76</v>
      </c>
      <c r="Y422" s="1" t="s">
        <v>649</v>
      </c>
      <c r="Z422" s="1">
        <v>1E-3</v>
      </c>
      <c r="AA422" s="1">
        <v>4.0000000000000001E-3</v>
      </c>
      <c r="AB422" s="1">
        <v>3.0000000000000001E-3</v>
      </c>
      <c r="AC422" s="1">
        <v>2.1999999999999999E-2</v>
      </c>
      <c r="AD422" s="1">
        <v>3.0000000000000001E-3</v>
      </c>
      <c r="AE422" s="1">
        <v>2E-3</v>
      </c>
      <c r="AF422" s="1">
        <v>2E-3</v>
      </c>
      <c r="AG422" s="1">
        <v>0</v>
      </c>
      <c r="AH422" s="1">
        <v>1.0999999999999999E-2</v>
      </c>
      <c r="AI422" s="1">
        <v>1E-3</v>
      </c>
      <c r="AJ422" s="1">
        <v>1E-3</v>
      </c>
      <c r="AK422" s="1">
        <v>5.0000000000000001E-3</v>
      </c>
      <c r="AL422" s="1">
        <v>2E-3</v>
      </c>
      <c r="AM422" s="1">
        <v>1E-3</v>
      </c>
      <c r="AN422" s="1">
        <v>1E-3</v>
      </c>
      <c r="AO422" s="1">
        <v>6.0000000000000001E-3</v>
      </c>
      <c r="AP422" s="1">
        <v>0.64200000000000002</v>
      </c>
      <c r="AQ422" s="1">
        <v>2E-3</v>
      </c>
      <c r="AR422" s="1">
        <v>1E-3</v>
      </c>
      <c r="AS422" s="1">
        <v>1.0999999999999999E-2</v>
      </c>
      <c r="AT422" s="1">
        <v>7.0000000000000001E-3</v>
      </c>
      <c r="AU422" s="1">
        <v>3.0000000000000001E-3</v>
      </c>
      <c r="AV422" s="1">
        <v>2E-3</v>
      </c>
      <c r="AW422" s="1">
        <v>6.0000000000000001E-3</v>
      </c>
      <c r="AX422" s="1">
        <v>5.0000000000000001E-3</v>
      </c>
      <c r="AY422" s="1">
        <v>6.0000000000000001E-3</v>
      </c>
      <c r="AZ422" s="1">
        <v>4.0000000000000001E-3</v>
      </c>
      <c r="BA422" s="1">
        <v>1.0999999999999999E-2</v>
      </c>
      <c r="BB422" s="1">
        <v>2E-3</v>
      </c>
      <c r="BC422" s="1">
        <v>5.0000000000000001E-3</v>
      </c>
      <c r="BD422" s="1">
        <v>1.4E-2</v>
      </c>
      <c r="BE422" s="1">
        <v>2E-3</v>
      </c>
      <c r="BF422" s="1">
        <v>1E-3</v>
      </c>
      <c r="BG422" s="1">
        <v>4.0000000000000001E-3</v>
      </c>
      <c r="BH422" s="1">
        <v>5.8000000000000003E-2</v>
      </c>
      <c r="BI422" s="1">
        <v>2E-3</v>
      </c>
      <c r="BJ422" s="1">
        <v>1E-3</v>
      </c>
      <c r="BK422" s="1">
        <v>2E-3</v>
      </c>
      <c r="BL422" s="1">
        <v>8.0000000000000002E-3</v>
      </c>
      <c r="BM422" s="1">
        <v>3.0000000000000001E-3</v>
      </c>
      <c r="BN422" s="1">
        <v>6.0000000000000001E-3</v>
      </c>
      <c r="BO422" s="1">
        <v>1E-3</v>
      </c>
      <c r="BP422" s="1">
        <v>1E-3</v>
      </c>
      <c r="BQ422" s="1">
        <v>6.0000000000000001E-3</v>
      </c>
      <c r="BR422" s="1">
        <v>4.0000000000000001E-3</v>
      </c>
      <c r="BS422" s="1">
        <v>2E-3</v>
      </c>
      <c r="BT422" s="1">
        <v>1E-3</v>
      </c>
      <c r="BU422" s="1">
        <v>1E-3</v>
      </c>
      <c r="BV422" s="1">
        <v>1E-3</v>
      </c>
      <c r="BW422" s="1">
        <v>3.0000000000000001E-3</v>
      </c>
      <c r="BX422" s="1">
        <v>8.0000000000000002E-3</v>
      </c>
      <c r="BY422" s="1">
        <v>1.6E-2</v>
      </c>
      <c r="BZ422" s="1">
        <v>5.0000000000000001E-3</v>
      </c>
      <c r="CA422" s="1">
        <v>2E-3</v>
      </c>
      <c r="CB422" s="1">
        <v>1E-3</v>
      </c>
      <c r="CC422" s="1">
        <v>3.0000000000000001E-3</v>
      </c>
      <c r="CD422" s="1">
        <v>0</v>
      </c>
      <c r="CE422" s="1">
        <v>3.0000000000000001E-3</v>
      </c>
      <c r="CF422" s="1">
        <v>3.0000000000000001E-3</v>
      </c>
      <c r="CG422" s="1">
        <v>3.0000000000000001E-3</v>
      </c>
      <c r="CH422" s="1">
        <v>7.0000000000000001E-3</v>
      </c>
      <c r="CI422" s="1">
        <v>6.0000000000000001E-3</v>
      </c>
      <c r="CJ422" s="1">
        <v>0.01</v>
      </c>
      <c r="CK422" s="1">
        <v>3.2000000000000001E-2</v>
      </c>
      <c r="CL422" s="1">
        <v>5.0000000000000001E-3</v>
      </c>
      <c r="CM422" s="1">
        <v>-31.812635230000001</v>
      </c>
      <c r="CN422" s="83">
        <v>-64.585918050000004</v>
      </c>
    </row>
    <row r="423" spans="1:92" s="3" customFormat="1" ht="12.95" customHeight="1" x14ac:dyDescent="0.25">
      <c r="A423" s="72">
        <v>451</v>
      </c>
      <c r="B423" s="81" t="s">
        <v>1520</v>
      </c>
      <c r="C423" s="1" t="s">
        <v>83</v>
      </c>
      <c r="D423" s="1" t="s">
        <v>73</v>
      </c>
      <c r="E423" s="1" t="s">
        <v>74</v>
      </c>
      <c r="F423" s="1" t="s">
        <v>128</v>
      </c>
      <c r="G423" s="1" t="s">
        <v>303</v>
      </c>
      <c r="H423" s="1" t="s">
        <v>570</v>
      </c>
      <c r="I423" s="1"/>
      <c r="J423" s="9" t="s">
        <v>544</v>
      </c>
      <c r="K423" s="10">
        <v>0.49979533333333298</v>
      </c>
      <c r="L423" s="1" t="s">
        <v>76</v>
      </c>
      <c r="M423" s="1" t="s">
        <v>506</v>
      </c>
      <c r="N423" s="1" t="s">
        <v>645</v>
      </c>
      <c r="O423" s="1" t="s">
        <v>55</v>
      </c>
      <c r="P423" s="82">
        <v>1</v>
      </c>
      <c r="Q423" s="1" t="s">
        <v>76</v>
      </c>
      <c r="R423" s="81" t="s">
        <v>151</v>
      </c>
      <c r="S423" s="1">
        <v>3</v>
      </c>
      <c r="T423" s="1" t="s">
        <v>78</v>
      </c>
      <c r="U423" s="1" t="s">
        <v>658</v>
      </c>
      <c r="V423" s="1" t="s">
        <v>654</v>
      </c>
      <c r="W423" s="1">
        <v>14</v>
      </c>
      <c r="X423" s="1" t="s">
        <v>304</v>
      </c>
      <c r="Y423" s="1" t="s">
        <v>645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1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36.638298169999999</v>
      </c>
      <c r="CN423" s="83">
        <v>12.236319780000001</v>
      </c>
    </row>
    <row r="424" spans="1:92" s="3" customFormat="1" x14ac:dyDescent="0.25">
      <c r="A424" s="72">
        <v>452</v>
      </c>
      <c r="B424" s="81" t="s">
        <v>1599</v>
      </c>
      <c r="C424" s="1" t="s">
        <v>83</v>
      </c>
      <c r="D424" s="1" t="s">
        <v>73</v>
      </c>
      <c r="E424" s="1" t="s">
        <v>74</v>
      </c>
      <c r="F424" s="1" t="s">
        <v>128</v>
      </c>
      <c r="G424" s="1" t="s">
        <v>219</v>
      </c>
      <c r="H424" s="1" t="s">
        <v>570</v>
      </c>
      <c r="I424" s="1"/>
      <c r="J424" s="9" t="s">
        <v>544</v>
      </c>
      <c r="K424" s="10">
        <v>0.39372533333333298</v>
      </c>
      <c r="L424" s="1" t="s">
        <v>76</v>
      </c>
      <c r="M424" s="1" t="s">
        <v>506</v>
      </c>
      <c r="N424" s="1" t="s">
        <v>645</v>
      </c>
      <c r="O424" s="1" t="s">
        <v>55</v>
      </c>
      <c r="P424" s="82">
        <v>0.92700000000000005</v>
      </c>
      <c r="Q424" s="1" t="s">
        <v>76</v>
      </c>
      <c r="R424" s="81" t="s">
        <v>87</v>
      </c>
      <c r="S424" s="1">
        <v>3</v>
      </c>
      <c r="T424" s="1" t="s">
        <v>78</v>
      </c>
      <c r="U424" s="1" t="s">
        <v>658</v>
      </c>
      <c r="V424" s="1" t="s">
        <v>654</v>
      </c>
      <c r="W424" s="1">
        <v>14</v>
      </c>
      <c r="X424" s="1" t="s">
        <v>304</v>
      </c>
      <c r="Y424" s="1" t="s">
        <v>645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1E-3</v>
      </c>
      <c r="AO424" s="1">
        <v>0</v>
      </c>
      <c r="AP424" s="1">
        <v>0</v>
      </c>
      <c r="AQ424" s="1">
        <v>0</v>
      </c>
      <c r="AR424" s="1">
        <v>1E-3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0.92700000000000005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6.4000000000000001E-2</v>
      </c>
      <c r="CL424" s="1">
        <v>0</v>
      </c>
      <c r="CM424" s="1">
        <v>37.499321459999997</v>
      </c>
      <c r="CN424" s="83">
        <v>-14.052785650000001</v>
      </c>
    </row>
    <row r="425" spans="1:92" s="3" customFormat="1" x14ac:dyDescent="0.25">
      <c r="A425" s="72">
        <v>453</v>
      </c>
      <c r="B425" s="81" t="s">
        <v>1062</v>
      </c>
      <c r="C425" s="1" t="s">
        <v>83</v>
      </c>
      <c r="D425" s="1" t="s">
        <v>73</v>
      </c>
      <c r="E425" s="1" t="s">
        <v>99</v>
      </c>
      <c r="F425" s="1" t="s">
        <v>128</v>
      </c>
      <c r="G425" s="1" t="s">
        <v>305</v>
      </c>
      <c r="H425" s="1" t="s">
        <v>570</v>
      </c>
      <c r="I425" s="1"/>
      <c r="J425" s="9" t="s">
        <v>544</v>
      </c>
      <c r="K425" s="10">
        <v>0.42905183333333302</v>
      </c>
      <c r="L425" s="1" t="s">
        <v>641</v>
      </c>
      <c r="M425" s="1" t="s">
        <v>76</v>
      </c>
      <c r="N425" s="1" t="s">
        <v>649</v>
      </c>
      <c r="O425" s="1" t="s">
        <v>55</v>
      </c>
      <c r="P425" s="82">
        <v>0.52200000000000002</v>
      </c>
      <c r="Q425" s="1" t="s">
        <v>76</v>
      </c>
      <c r="R425" s="81" t="s">
        <v>138</v>
      </c>
      <c r="S425" s="1">
        <v>3</v>
      </c>
      <c r="T425" s="1" t="s">
        <v>78</v>
      </c>
      <c r="U425" s="1" t="s">
        <v>658</v>
      </c>
      <c r="V425" s="1" t="s">
        <v>654</v>
      </c>
      <c r="W425" s="1">
        <v>31</v>
      </c>
      <c r="X425" s="1" t="s">
        <v>76</v>
      </c>
      <c r="Y425" s="1" t="s">
        <v>649</v>
      </c>
      <c r="Z425" s="1">
        <v>2E-3</v>
      </c>
      <c r="AA425" s="1">
        <v>1E-3</v>
      </c>
      <c r="AB425" s="1">
        <v>0</v>
      </c>
      <c r="AC425" s="1">
        <v>2E-3</v>
      </c>
      <c r="AD425" s="1">
        <v>1E-3</v>
      </c>
      <c r="AE425" s="1">
        <v>0</v>
      </c>
      <c r="AF425" s="1">
        <v>0</v>
      </c>
      <c r="AG425" s="1">
        <v>0</v>
      </c>
      <c r="AH425" s="1">
        <v>1E-3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1E-3</v>
      </c>
      <c r="AS425" s="1">
        <v>1E-3</v>
      </c>
      <c r="AT425" s="1">
        <v>0</v>
      </c>
      <c r="AU425" s="1">
        <v>1E-3</v>
      </c>
      <c r="AV425" s="1">
        <v>0</v>
      </c>
      <c r="AW425" s="1">
        <v>0</v>
      </c>
      <c r="AX425" s="1">
        <v>2E-3</v>
      </c>
      <c r="AY425" s="1">
        <v>0</v>
      </c>
      <c r="AZ425" s="1">
        <v>1E-3</v>
      </c>
      <c r="BA425" s="1">
        <v>1E-3</v>
      </c>
      <c r="BB425" s="1">
        <v>0</v>
      </c>
      <c r="BC425" s="1">
        <v>0</v>
      </c>
      <c r="BD425" s="1">
        <v>1E-3</v>
      </c>
      <c r="BE425" s="1">
        <v>0</v>
      </c>
      <c r="BF425" s="1">
        <v>1E-3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1E-3</v>
      </c>
      <c r="BM425" s="1">
        <v>0</v>
      </c>
      <c r="BN425" s="1">
        <v>0</v>
      </c>
      <c r="BO425" s="1">
        <v>0</v>
      </c>
      <c r="BP425" s="1">
        <v>0</v>
      </c>
      <c r="BQ425" s="1">
        <v>1E-3</v>
      </c>
      <c r="BR425" s="1">
        <v>0</v>
      </c>
      <c r="BS425" s="1">
        <v>2E-3</v>
      </c>
      <c r="BT425" s="1">
        <v>0</v>
      </c>
      <c r="BU425" s="1">
        <v>0</v>
      </c>
      <c r="BV425" s="1">
        <v>0</v>
      </c>
      <c r="BW425" s="1">
        <v>0</v>
      </c>
      <c r="BX425" s="1">
        <v>0.52200000000000002</v>
      </c>
      <c r="BY425" s="1">
        <v>1E-3</v>
      </c>
      <c r="BZ425" s="1">
        <v>2E-3</v>
      </c>
      <c r="CA425" s="1">
        <v>1E-3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1E-3</v>
      </c>
      <c r="CH425" s="1">
        <v>0</v>
      </c>
      <c r="CI425" s="1">
        <v>0</v>
      </c>
      <c r="CJ425" s="1">
        <v>1E-3</v>
      </c>
      <c r="CK425" s="1">
        <v>0.443</v>
      </c>
      <c r="CL425" s="1">
        <v>1E-3</v>
      </c>
      <c r="CM425" s="1">
        <v>42.412369169999998</v>
      </c>
      <c r="CN425" s="83">
        <v>-13.337446</v>
      </c>
    </row>
    <row r="426" spans="1:92" s="3" customFormat="1" x14ac:dyDescent="0.25">
      <c r="A426" s="72">
        <v>454</v>
      </c>
      <c r="B426" s="81" t="s">
        <v>1600</v>
      </c>
      <c r="C426" s="1" t="s">
        <v>83</v>
      </c>
      <c r="D426" s="1" t="s">
        <v>73</v>
      </c>
      <c r="E426" s="1" t="s">
        <v>99</v>
      </c>
      <c r="F426" s="1" t="s">
        <v>128</v>
      </c>
      <c r="G426" s="1" t="s">
        <v>306</v>
      </c>
      <c r="H426" s="1" t="s">
        <v>570</v>
      </c>
      <c r="I426" s="1"/>
      <c r="J426" s="9" t="s">
        <v>544</v>
      </c>
      <c r="K426" s="10">
        <v>0.48442000000000002</v>
      </c>
      <c r="L426" s="1" t="s">
        <v>76</v>
      </c>
      <c r="M426" s="1" t="s">
        <v>506</v>
      </c>
      <c r="N426" s="1" t="s">
        <v>645</v>
      </c>
      <c r="O426" s="1" t="s">
        <v>55</v>
      </c>
      <c r="P426" s="82">
        <v>1</v>
      </c>
      <c r="Q426" s="1" t="s">
        <v>76</v>
      </c>
      <c r="R426" s="81" t="s">
        <v>87</v>
      </c>
      <c r="S426" s="1">
        <v>3</v>
      </c>
      <c r="T426" s="1" t="s">
        <v>78</v>
      </c>
      <c r="U426" s="1" t="s">
        <v>658</v>
      </c>
      <c r="V426" s="1" t="s">
        <v>654</v>
      </c>
      <c r="W426" s="1">
        <v>14</v>
      </c>
      <c r="X426" s="1" t="s">
        <v>76</v>
      </c>
      <c r="Y426" s="1" t="s">
        <v>645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1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37.405773660000001</v>
      </c>
      <c r="CN426" s="83">
        <v>12.47294383</v>
      </c>
    </row>
    <row r="427" spans="1:92" s="3" customFormat="1" x14ac:dyDescent="0.25">
      <c r="A427" s="72">
        <v>455</v>
      </c>
      <c r="B427" s="81" t="s">
        <v>1681</v>
      </c>
      <c r="C427" s="1" t="s">
        <v>83</v>
      </c>
      <c r="D427" s="1" t="s">
        <v>73</v>
      </c>
      <c r="E427" s="1" t="s">
        <v>74</v>
      </c>
      <c r="F427" s="1" t="s">
        <v>128</v>
      </c>
      <c r="G427" s="1" t="s">
        <v>303</v>
      </c>
      <c r="H427" s="1" t="s">
        <v>570</v>
      </c>
      <c r="I427" s="1"/>
      <c r="J427" s="9" t="s">
        <v>544</v>
      </c>
      <c r="K427" s="10">
        <v>0.51878333333333404</v>
      </c>
      <c r="L427" s="1" t="s">
        <v>641</v>
      </c>
      <c r="M427" s="1" t="s">
        <v>76</v>
      </c>
      <c r="N427" s="1" t="s">
        <v>649</v>
      </c>
      <c r="O427" s="1" t="s">
        <v>55</v>
      </c>
      <c r="P427" s="82">
        <v>0.48699999999999999</v>
      </c>
      <c r="Q427" s="1" t="s">
        <v>76</v>
      </c>
      <c r="R427" s="81" t="s">
        <v>87</v>
      </c>
      <c r="S427" s="1">
        <v>3</v>
      </c>
      <c r="T427" s="1" t="s">
        <v>78</v>
      </c>
      <c r="U427" s="1" t="s">
        <v>658</v>
      </c>
      <c r="V427" s="1" t="s">
        <v>654</v>
      </c>
      <c r="W427" s="1">
        <v>13</v>
      </c>
      <c r="X427" s="1" t="s">
        <v>76</v>
      </c>
      <c r="Y427" s="1" t="s">
        <v>649</v>
      </c>
      <c r="Z427" s="1">
        <v>1E-3</v>
      </c>
      <c r="AA427" s="1">
        <v>4.0000000000000001E-3</v>
      </c>
      <c r="AB427" s="1">
        <v>2E-3</v>
      </c>
      <c r="AC427" s="1">
        <v>0.01</v>
      </c>
      <c r="AD427" s="1">
        <v>2E-3</v>
      </c>
      <c r="AE427" s="1">
        <v>4.0000000000000001E-3</v>
      </c>
      <c r="AF427" s="1">
        <v>2E-3</v>
      </c>
      <c r="AG427" s="1">
        <v>0</v>
      </c>
      <c r="AH427" s="1">
        <v>6.0000000000000001E-3</v>
      </c>
      <c r="AI427" s="1">
        <v>1E-3</v>
      </c>
      <c r="AJ427" s="1">
        <v>2E-3</v>
      </c>
      <c r="AK427" s="1">
        <v>0.01</v>
      </c>
      <c r="AL427" s="1">
        <v>1E-3</v>
      </c>
      <c r="AM427" s="1">
        <v>1E-3</v>
      </c>
      <c r="AN427" s="1">
        <v>2E-3</v>
      </c>
      <c r="AO427" s="1">
        <v>4.0000000000000001E-3</v>
      </c>
      <c r="AP427" s="1">
        <v>2E-3</v>
      </c>
      <c r="AQ427" s="1">
        <v>1E-3</v>
      </c>
      <c r="AR427" s="1">
        <v>1E-3</v>
      </c>
      <c r="AS427" s="1">
        <v>8.0000000000000002E-3</v>
      </c>
      <c r="AT427" s="1">
        <v>5.0000000000000001E-3</v>
      </c>
      <c r="AU427" s="1">
        <v>2E-3</v>
      </c>
      <c r="AV427" s="1">
        <v>1E-3</v>
      </c>
      <c r="AW427" s="1">
        <v>3.0000000000000001E-3</v>
      </c>
      <c r="AX427" s="1">
        <v>3.1E-2</v>
      </c>
      <c r="AY427" s="1">
        <v>3.0000000000000001E-3</v>
      </c>
      <c r="AZ427" s="1">
        <v>3.0000000000000001E-3</v>
      </c>
      <c r="BA427" s="1">
        <v>7.0000000000000001E-3</v>
      </c>
      <c r="BB427" s="1">
        <v>1.4E-2</v>
      </c>
      <c r="BC427" s="1">
        <v>3.0000000000000001E-3</v>
      </c>
      <c r="BD427" s="1">
        <v>8.0000000000000002E-3</v>
      </c>
      <c r="BE427" s="1">
        <v>1E-3</v>
      </c>
      <c r="BF427" s="1">
        <v>1E-3</v>
      </c>
      <c r="BG427" s="1">
        <v>3.0000000000000001E-3</v>
      </c>
      <c r="BH427" s="1">
        <v>2E-3</v>
      </c>
      <c r="BI427" s="1">
        <v>1E-3</v>
      </c>
      <c r="BJ427" s="1">
        <v>1E-3</v>
      </c>
      <c r="BK427" s="1">
        <v>1E-3</v>
      </c>
      <c r="BL427" s="1">
        <v>5.0000000000000001E-3</v>
      </c>
      <c r="BM427" s="1">
        <v>3.0000000000000001E-3</v>
      </c>
      <c r="BN427" s="1">
        <v>3.0000000000000001E-3</v>
      </c>
      <c r="BO427" s="1">
        <v>2E-3</v>
      </c>
      <c r="BP427" s="1">
        <v>1E-3</v>
      </c>
      <c r="BQ427" s="1">
        <v>6.0000000000000001E-3</v>
      </c>
      <c r="BR427" s="1">
        <v>2E-3</v>
      </c>
      <c r="BS427" s="1">
        <v>1E-3</v>
      </c>
      <c r="BT427" s="1">
        <v>1E-3</v>
      </c>
      <c r="BU427" s="1">
        <v>1E-3</v>
      </c>
      <c r="BV427" s="1">
        <v>0.153</v>
      </c>
      <c r="BW427" s="1">
        <v>3.0000000000000001E-3</v>
      </c>
      <c r="BX427" s="1">
        <v>0.48699999999999999</v>
      </c>
      <c r="BY427" s="1">
        <v>5.0000000000000001E-3</v>
      </c>
      <c r="BZ427" s="1">
        <v>3.0000000000000001E-3</v>
      </c>
      <c r="CA427" s="1">
        <v>2E-3</v>
      </c>
      <c r="CB427" s="1">
        <v>1E-3</v>
      </c>
      <c r="CC427" s="1">
        <v>2E-3</v>
      </c>
      <c r="CD427" s="1">
        <v>0</v>
      </c>
      <c r="CE427" s="1">
        <v>2E-3</v>
      </c>
      <c r="CF427" s="1">
        <v>2E-3</v>
      </c>
      <c r="CG427" s="1">
        <v>4.0000000000000001E-3</v>
      </c>
      <c r="CH427" s="1">
        <v>5.0000000000000001E-3</v>
      </c>
      <c r="CI427" s="1">
        <v>4.0000000000000001E-3</v>
      </c>
      <c r="CJ427" s="1">
        <v>5.0000000000000001E-3</v>
      </c>
      <c r="CK427" s="1">
        <v>0.14099999999999999</v>
      </c>
      <c r="CL427" s="1">
        <v>3.0000000000000001E-3</v>
      </c>
      <c r="CM427" s="1">
        <v>20.04883383</v>
      </c>
      <c r="CN427" s="83">
        <v>24.155239269999999</v>
      </c>
    </row>
    <row r="428" spans="1:92" s="3" customFormat="1" x14ac:dyDescent="0.25">
      <c r="A428" s="72">
        <v>456</v>
      </c>
      <c r="B428" s="81" t="s">
        <v>1430</v>
      </c>
      <c r="C428" s="1" t="s">
        <v>83</v>
      </c>
      <c r="D428" s="1" t="s">
        <v>73</v>
      </c>
      <c r="E428" s="1" t="s">
        <v>99</v>
      </c>
      <c r="F428" s="1" t="s">
        <v>128</v>
      </c>
      <c r="G428" s="1" t="s">
        <v>168</v>
      </c>
      <c r="H428" s="1" t="s">
        <v>534</v>
      </c>
      <c r="I428" s="1"/>
      <c r="J428" s="9" t="s">
        <v>506</v>
      </c>
      <c r="K428" s="10">
        <v>0.48167866666666698</v>
      </c>
      <c r="L428" s="1" t="s">
        <v>641</v>
      </c>
      <c r="M428" s="1" t="s">
        <v>76</v>
      </c>
      <c r="N428" s="1" t="s">
        <v>644</v>
      </c>
      <c r="O428" s="1" t="s">
        <v>68</v>
      </c>
      <c r="P428" s="82">
        <v>0.60699999999999998</v>
      </c>
      <c r="Q428" s="1" t="s">
        <v>76</v>
      </c>
      <c r="R428" s="81" t="s">
        <v>169</v>
      </c>
      <c r="S428" s="1">
        <v>3</v>
      </c>
      <c r="T428" s="1" t="s">
        <v>120</v>
      </c>
      <c r="U428" s="1" t="s">
        <v>658</v>
      </c>
      <c r="V428" s="1" t="s">
        <v>655</v>
      </c>
      <c r="W428" s="1">
        <v>68</v>
      </c>
      <c r="X428" s="1" t="s">
        <v>170</v>
      </c>
      <c r="Y428" s="1" t="s">
        <v>644</v>
      </c>
      <c r="Z428" s="1">
        <v>1E-3</v>
      </c>
      <c r="AA428" s="1">
        <v>4.0000000000000001E-3</v>
      </c>
      <c r="AB428" s="1">
        <v>1E-3</v>
      </c>
      <c r="AC428" s="1">
        <v>2E-3</v>
      </c>
      <c r="AD428" s="1">
        <v>1E-3</v>
      </c>
      <c r="AE428" s="1">
        <v>1E-3</v>
      </c>
      <c r="AF428" s="1">
        <v>1E-3</v>
      </c>
      <c r="AG428" s="1">
        <v>0</v>
      </c>
      <c r="AH428" s="1">
        <v>3.0000000000000001E-3</v>
      </c>
      <c r="AI428" s="1">
        <v>1E-3</v>
      </c>
      <c r="AJ428" s="1">
        <v>1E-3</v>
      </c>
      <c r="AK428" s="1">
        <v>1E-3</v>
      </c>
      <c r="AL428" s="1">
        <v>2E-3</v>
      </c>
      <c r="AM428" s="1">
        <v>0</v>
      </c>
      <c r="AN428" s="1">
        <v>1E-3</v>
      </c>
      <c r="AO428" s="1">
        <v>1E-3</v>
      </c>
      <c r="AP428" s="1">
        <v>1E-3</v>
      </c>
      <c r="AQ428" s="1">
        <v>1E-3</v>
      </c>
      <c r="AR428" s="1">
        <v>1E-3</v>
      </c>
      <c r="AS428" s="1">
        <v>2E-3</v>
      </c>
      <c r="AT428" s="1">
        <v>2E-3</v>
      </c>
      <c r="AU428" s="1">
        <v>2E-3</v>
      </c>
      <c r="AV428" s="1">
        <v>1E-3</v>
      </c>
      <c r="AW428" s="1">
        <v>1E-3</v>
      </c>
      <c r="AX428" s="1">
        <v>0.30199999999999999</v>
      </c>
      <c r="AY428" s="1">
        <v>2E-3</v>
      </c>
      <c r="AZ428" s="1">
        <v>1E-3</v>
      </c>
      <c r="BA428" s="1">
        <v>3.0000000000000001E-3</v>
      </c>
      <c r="BB428" s="1">
        <v>1E-3</v>
      </c>
      <c r="BC428" s="1">
        <v>1E-3</v>
      </c>
      <c r="BD428" s="1">
        <v>3.0000000000000001E-3</v>
      </c>
      <c r="BE428" s="1">
        <v>1E-3</v>
      </c>
      <c r="BF428" s="1">
        <v>1E-3</v>
      </c>
      <c r="BG428" s="1">
        <v>2E-3</v>
      </c>
      <c r="BH428" s="1">
        <v>1E-3</v>
      </c>
      <c r="BI428" s="1">
        <v>0</v>
      </c>
      <c r="BJ428" s="1">
        <v>0</v>
      </c>
      <c r="BK428" s="1">
        <v>0</v>
      </c>
      <c r="BL428" s="1">
        <v>4.0000000000000001E-3</v>
      </c>
      <c r="BM428" s="1">
        <v>2E-3</v>
      </c>
      <c r="BN428" s="1">
        <v>1E-3</v>
      </c>
      <c r="BO428" s="1">
        <v>0</v>
      </c>
      <c r="BP428" s="1">
        <v>0</v>
      </c>
      <c r="BQ428" s="1">
        <v>2E-3</v>
      </c>
      <c r="BR428" s="1">
        <v>1E-3</v>
      </c>
      <c r="BS428" s="1">
        <v>1E-3</v>
      </c>
      <c r="BT428" s="1">
        <v>1E-3</v>
      </c>
      <c r="BU428" s="1">
        <v>1E-3</v>
      </c>
      <c r="BV428" s="1">
        <v>0</v>
      </c>
      <c r="BW428" s="1">
        <v>1E-3</v>
      </c>
      <c r="BX428" s="1">
        <v>4.0000000000000001E-3</v>
      </c>
      <c r="BY428" s="1">
        <v>4.0000000000000001E-3</v>
      </c>
      <c r="BZ428" s="1">
        <v>3.0000000000000001E-3</v>
      </c>
      <c r="CA428" s="1">
        <v>3.0000000000000001E-3</v>
      </c>
      <c r="CB428" s="1">
        <v>0</v>
      </c>
      <c r="CC428" s="1">
        <v>1E-3</v>
      </c>
      <c r="CD428" s="1">
        <v>0</v>
      </c>
      <c r="CE428" s="1">
        <v>2E-3</v>
      </c>
      <c r="CF428" s="1">
        <v>1E-3</v>
      </c>
      <c r="CG428" s="1">
        <v>2E-3</v>
      </c>
      <c r="CH428" s="1">
        <v>2E-3</v>
      </c>
      <c r="CI428" s="1">
        <v>2E-3</v>
      </c>
      <c r="CJ428" s="1">
        <v>3.0000000000000001E-3</v>
      </c>
      <c r="CK428" s="1">
        <v>0.60699999999999998</v>
      </c>
      <c r="CL428" s="1">
        <v>2E-3</v>
      </c>
      <c r="CM428" s="1">
        <v>44.021499050000003</v>
      </c>
      <c r="CN428" s="83">
        <v>-32.594588010000002</v>
      </c>
    </row>
    <row r="429" spans="1:92" s="3" customFormat="1" x14ac:dyDescent="0.25">
      <c r="A429" s="72">
        <v>457</v>
      </c>
      <c r="B429" s="81" t="s">
        <v>1438</v>
      </c>
      <c r="C429" s="1" t="s">
        <v>83</v>
      </c>
      <c r="D429" s="1" t="s">
        <v>73</v>
      </c>
      <c r="E429" s="1" t="s">
        <v>99</v>
      </c>
      <c r="F429" s="1" t="s">
        <v>128</v>
      </c>
      <c r="G429" s="1" t="s">
        <v>250</v>
      </c>
      <c r="H429" s="1" t="s">
        <v>570</v>
      </c>
      <c r="I429" s="1"/>
      <c r="J429" s="9" t="s">
        <v>544</v>
      </c>
      <c r="K429" s="10">
        <v>0.397979999999999</v>
      </c>
      <c r="L429" s="1" t="s">
        <v>641</v>
      </c>
      <c r="M429" s="1" t="s">
        <v>76</v>
      </c>
      <c r="N429" s="1" t="s">
        <v>644</v>
      </c>
      <c r="O429" s="1" t="s">
        <v>68</v>
      </c>
      <c r="P429" s="82">
        <v>0.74299999999999999</v>
      </c>
      <c r="Q429" s="1" t="s">
        <v>76</v>
      </c>
      <c r="R429" s="81" t="s">
        <v>87</v>
      </c>
      <c r="S429" s="1">
        <v>3</v>
      </c>
      <c r="T429" s="1" t="s">
        <v>78</v>
      </c>
      <c r="U429" s="1" t="s">
        <v>658</v>
      </c>
      <c r="V429" s="1" t="s">
        <v>655</v>
      </c>
      <c r="W429" s="1">
        <v>51</v>
      </c>
      <c r="X429" s="1" t="s">
        <v>76</v>
      </c>
      <c r="Y429" s="1" t="s">
        <v>644</v>
      </c>
      <c r="Z429" s="1">
        <v>4.0000000000000001E-3</v>
      </c>
      <c r="AA429" s="1">
        <v>8.9999999999999993E-3</v>
      </c>
      <c r="AB429" s="1">
        <v>1E-3</v>
      </c>
      <c r="AC429" s="1">
        <v>3.0000000000000001E-3</v>
      </c>
      <c r="AD429" s="1">
        <v>1E-3</v>
      </c>
      <c r="AE429" s="1">
        <v>1E-3</v>
      </c>
      <c r="AF429" s="1">
        <v>1E-3</v>
      </c>
      <c r="AG429" s="1">
        <v>0</v>
      </c>
      <c r="AH429" s="1">
        <v>3.0000000000000001E-3</v>
      </c>
      <c r="AI429" s="1">
        <v>1E-3</v>
      </c>
      <c r="AJ429" s="1">
        <v>1E-3</v>
      </c>
      <c r="AK429" s="1">
        <v>1E-3</v>
      </c>
      <c r="AL429" s="1">
        <v>7.0000000000000001E-3</v>
      </c>
      <c r="AM429" s="1">
        <v>1E-3</v>
      </c>
      <c r="AN429" s="1">
        <v>1E-3</v>
      </c>
      <c r="AO429" s="1">
        <v>1E-3</v>
      </c>
      <c r="AP429" s="1">
        <v>0</v>
      </c>
      <c r="AQ429" s="1">
        <v>0</v>
      </c>
      <c r="AR429" s="1">
        <v>1E-3</v>
      </c>
      <c r="AS429" s="1">
        <v>1E-3</v>
      </c>
      <c r="AT429" s="1">
        <v>1E-3</v>
      </c>
      <c r="AU429" s="1">
        <v>1E-3</v>
      </c>
      <c r="AV429" s="1">
        <v>2E-3</v>
      </c>
      <c r="AW429" s="1">
        <v>1E-3</v>
      </c>
      <c r="AX429" s="1">
        <v>2.3E-2</v>
      </c>
      <c r="AY429" s="1">
        <v>1E-3</v>
      </c>
      <c r="AZ429" s="1">
        <v>1E-3</v>
      </c>
      <c r="BA429" s="1">
        <v>2E-3</v>
      </c>
      <c r="BB429" s="1">
        <v>1E-3</v>
      </c>
      <c r="BC429" s="1">
        <v>1E-3</v>
      </c>
      <c r="BD429" s="1">
        <v>2E-3</v>
      </c>
      <c r="BE429" s="1">
        <v>0</v>
      </c>
      <c r="BF429" s="1">
        <v>1E-3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4.0000000000000001E-3</v>
      </c>
      <c r="BM429" s="1">
        <v>1E-3</v>
      </c>
      <c r="BN429" s="1">
        <v>1E-3</v>
      </c>
      <c r="BO429" s="1">
        <v>0</v>
      </c>
      <c r="BP429" s="1">
        <v>0</v>
      </c>
      <c r="BQ429" s="1">
        <v>2E-3</v>
      </c>
      <c r="BR429" s="1">
        <v>1E-3</v>
      </c>
      <c r="BS429" s="1">
        <v>2E-3</v>
      </c>
      <c r="BT429" s="1">
        <v>0</v>
      </c>
      <c r="BU429" s="1">
        <v>1E-3</v>
      </c>
      <c r="BV429" s="1">
        <v>0</v>
      </c>
      <c r="BW429" s="1">
        <v>1E-3</v>
      </c>
      <c r="BX429" s="1">
        <v>0.15</v>
      </c>
      <c r="BY429" s="1">
        <v>2E-3</v>
      </c>
      <c r="BZ429" s="1">
        <v>4.0000000000000001E-3</v>
      </c>
      <c r="CA429" s="1">
        <v>1E-3</v>
      </c>
      <c r="CB429" s="1">
        <v>0</v>
      </c>
      <c r="CC429" s="1">
        <v>1E-3</v>
      </c>
      <c r="CD429" s="1">
        <v>0</v>
      </c>
      <c r="CE429" s="1">
        <v>1E-3</v>
      </c>
      <c r="CF429" s="1">
        <v>1E-3</v>
      </c>
      <c r="CG429" s="1">
        <v>2E-3</v>
      </c>
      <c r="CH429" s="1">
        <v>1E-3</v>
      </c>
      <c r="CI429" s="1">
        <v>1E-3</v>
      </c>
      <c r="CJ429" s="1">
        <v>1E-3</v>
      </c>
      <c r="CK429" s="1">
        <v>0.74299999999999999</v>
      </c>
      <c r="CL429" s="1">
        <v>4.0000000000000001E-3</v>
      </c>
      <c r="CM429" s="1">
        <v>19.476238689999999</v>
      </c>
      <c r="CN429" s="83">
        <v>-21.569987170000001</v>
      </c>
    </row>
    <row r="430" spans="1:92" s="3" customFormat="1" x14ac:dyDescent="0.25">
      <c r="A430" s="72">
        <v>458</v>
      </c>
      <c r="B430" s="81" t="s">
        <v>1455</v>
      </c>
      <c r="C430" s="1" t="s">
        <v>83</v>
      </c>
      <c r="D430" s="1" t="s">
        <v>73</v>
      </c>
      <c r="E430" s="1" t="s">
        <v>99</v>
      </c>
      <c r="F430" s="1" t="s">
        <v>128</v>
      </c>
      <c r="G430" s="1" t="s">
        <v>307</v>
      </c>
      <c r="H430" s="1" t="s">
        <v>570</v>
      </c>
      <c r="I430" s="1"/>
      <c r="J430" s="9" t="s">
        <v>544</v>
      </c>
      <c r="K430" s="10">
        <v>0.50522016666666703</v>
      </c>
      <c r="L430" s="1" t="s">
        <v>76</v>
      </c>
      <c r="M430" s="1" t="s">
        <v>506</v>
      </c>
      <c r="N430" s="1" t="s">
        <v>645</v>
      </c>
      <c r="O430" s="1" t="s">
        <v>55</v>
      </c>
      <c r="P430" s="82">
        <v>0.999</v>
      </c>
      <c r="Q430" s="1" t="s">
        <v>76</v>
      </c>
      <c r="R430" s="81" t="s">
        <v>87</v>
      </c>
      <c r="S430" s="1">
        <v>3</v>
      </c>
      <c r="T430" s="1" t="s">
        <v>78</v>
      </c>
      <c r="U430" s="1" t="s">
        <v>658</v>
      </c>
      <c r="V430" s="1" t="s">
        <v>655</v>
      </c>
      <c r="W430" s="1">
        <v>38</v>
      </c>
      <c r="X430" s="1" t="s">
        <v>76</v>
      </c>
      <c r="Y430" s="1" t="s">
        <v>645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0.999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20.35417502</v>
      </c>
      <c r="CN430" s="83">
        <v>41.174115659999998</v>
      </c>
    </row>
    <row r="431" spans="1:92" s="3" customFormat="1" x14ac:dyDescent="0.25">
      <c r="A431" s="72">
        <v>459</v>
      </c>
      <c r="B431" s="81" t="s">
        <v>1496</v>
      </c>
      <c r="C431" s="1" t="s">
        <v>83</v>
      </c>
      <c r="D431" s="1" t="s">
        <v>73</v>
      </c>
      <c r="E431" s="1" t="s">
        <v>74</v>
      </c>
      <c r="F431" s="1" t="s">
        <v>128</v>
      </c>
      <c r="G431" s="1" t="s">
        <v>175</v>
      </c>
      <c r="H431" s="1" t="s">
        <v>535</v>
      </c>
      <c r="I431" s="1"/>
      <c r="J431" s="9" t="s">
        <v>506</v>
      </c>
      <c r="K431" s="10">
        <v>0.55374400000000001</v>
      </c>
      <c r="L431" s="1" t="s">
        <v>614</v>
      </c>
      <c r="M431" s="1" t="s">
        <v>506</v>
      </c>
      <c r="N431" s="1" t="s">
        <v>647</v>
      </c>
      <c r="O431" s="1" t="s">
        <v>55</v>
      </c>
      <c r="P431" s="82">
        <v>0.99299999999999999</v>
      </c>
      <c r="Q431" s="1" t="s">
        <v>76</v>
      </c>
      <c r="R431" s="81" t="s">
        <v>87</v>
      </c>
      <c r="S431" s="1">
        <v>1</v>
      </c>
      <c r="T431" s="1" t="s">
        <v>78</v>
      </c>
      <c r="U431" s="1" t="s">
        <v>658</v>
      </c>
      <c r="V431" s="1" t="s">
        <v>654</v>
      </c>
      <c r="W431" s="1">
        <v>31</v>
      </c>
      <c r="X431" s="1" t="s">
        <v>167</v>
      </c>
      <c r="Y431" s="1" t="s">
        <v>647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1E-3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0.99299999999999999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1E-3</v>
      </c>
      <c r="CL431" s="1">
        <v>0</v>
      </c>
      <c r="CM431" s="1">
        <v>39.66426757</v>
      </c>
      <c r="CN431" s="83">
        <v>39.159159989999999</v>
      </c>
    </row>
    <row r="432" spans="1:92" s="3" customFormat="1" x14ac:dyDescent="0.25">
      <c r="A432" s="72">
        <v>460</v>
      </c>
      <c r="B432" s="81" t="s">
        <v>1510</v>
      </c>
      <c r="C432" s="1" t="s">
        <v>83</v>
      </c>
      <c r="D432" s="1" t="s">
        <v>73</v>
      </c>
      <c r="E432" s="1" t="s">
        <v>99</v>
      </c>
      <c r="F432" s="1" t="s">
        <v>128</v>
      </c>
      <c r="G432" s="1" t="s">
        <v>303</v>
      </c>
      <c r="H432" s="1" t="s">
        <v>570</v>
      </c>
      <c r="I432" s="1"/>
      <c r="J432" s="9" t="s">
        <v>544</v>
      </c>
      <c r="K432" s="10">
        <v>0.456190500000001</v>
      </c>
      <c r="L432" s="1" t="s">
        <v>76</v>
      </c>
      <c r="M432" s="1" t="s">
        <v>506</v>
      </c>
      <c r="N432" s="1" t="s">
        <v>645</v>
      </c>
      <c r="O432" s="1" t="s">
        <v>55</v>
      </c>
      <c r="P432" s="82">
        <v>0.93700000000000006</v>
      </c>
      <c r="Q432" s="1" t="s">
        <v>76</v>
      </c>
      <c r="R432" s="81" t="s">
        <v>308</v>
      </c>
      <c r="S432" s="1">
        <v>3</v>
      </c>
      <c r="T432" s="1" t="s">
        <v>78</v>
      </c>
      <c r="U432" s="1" t="s">
        <v>658</v>
      </c>
      <c r="V432" s="1" t="s">
        <v>655</v>
      </c>
      <c r="W432" s="1">
        <v>56</v>
      </c>
      <c r="X432" s="1" t="s">
        <v>76</v>
      </c>
      <c r="Y432" s="1" t="s">
        <v>645</v>
      </c>
      <c r="Z432" s="1">
        <v>0</v>
      </c>
      <c r="AA432" s="1">
        <v>0</v>
      </c>
      <c r="AB432" s="1">
        <v>0</v>
      </c>
      <c r="AC432" s="1">
        <v>2E-3</v>
      </c>
      <c r="AD432" s="1">
        <v>1E-3</v>
      </c>
      <c r="AE432" s="1">
        <v>1E-3</v>
      </c>
      <c r="AF432" s="1">
        <v>0</v>
      </c>
      <c r="AG432" s="1">
        <v>0</v>
      </c>
      <c r="AH432" s="1">
        <v>2E-3</v>
      </c>
      <c r="AI432" s="1">
        <v>0</v>
      </c>
      <c r="AJ432" s="1">
        <v>5.0000000000000001E-3</v>
      </c>
      <c r="AK432" s="1">
        <v>1E-3</v>
      </c>
      <c r="AL432" s="1">
        <v>0</v>
      </c>
      <c r="AM432" s="1">
        <v>0</v>
      </c>
      <c r="AN432" s="1">
        <v>1E-3</v>
      </c>
      <c r="AO432" s="1">
        <v>0</v>
      </c>
      <c r="AP432" s="1">
        <v>0</v>
      </c>
      <c r="AQ432" s="1">
        <v>0</v>
      </c>
      <c r="AR432" s="1">
        <v>1E-3</v>
      </c>
      <c r="AS432" s="1">
        <v>1E-3</v>
      </c>
      <c r="AT432" s="1">
        <v>1E-3</v>
      </c>
      <c r="AU432" s="1">
        <v>1E-3</v>
      </c>
      <c r="AV432" s="1">
        <v>0</v>
      </c>
      <c r="AW432" s="1">
        <v>1E-3</v>
      </c>
      <c r="AX432" s="1">
        <v>1E-3</v>
      </c>
      <c r="AY432" s="1">
        <v>1E-3</v>
      </c>
      <c r="AZ432" s="1">
        <v>1E-3</v>
      </c>
      <c r="BA432" s="1">
        <v>1E-3</v>
      </c>
      <c r="BB432" s="1">
        <v>1E-3</v>
      </c>
      <c r="BC432" s="1">
        <v>0</v>
      </c>
      <c r="BD432" s="1">
        <v>2E-3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1E-3</v>
      </c>
      <c r="BM432" s="1">
        <v>0</v>
      </c>
      <c r="BN432" s="1">
        <v>1E-3</v>
      </c>
      <c r="BO432" s="1">
        <v>2E-3</v>
      </c>
      <c r="BP432" s="1">
        <v>0</v>
      </c>
      <c r="BQ432" s="1">
        <v>1E-3</v>
      </c>
      <c r="BR432" s="1">
        <v>0</v>
      </c>
      <c r="BS432" s="1">
        <v>1E-3</v>
      </c>
      <c r="BT432" s="1">
        <v>0</v>
      </c>
      <c r="BU432" s="1">
        <v>0</v>
      </c>
      <c r="BV432" s="1">
        <v>1E-3</v>
      </c>
      <c r="BW432" s="1">
        <v>0</v>
      </c>
      <c r="BX432" s="1">
        <v>0.93700000000000006</v>
      </c>
      <c r="BY432" s="1">
        <v>1E-3</v>
      </c>
      <c r="BZ432" s="1">
        <v>1E-3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4.0000000000000001E-3</v>
      </c>
      <c r="CH432" s="1">
        <v>1E-3</v>
      </c>
      <c r="CI432" s="1">
        <v>0</v>
      </c>
      <c r="CJ432" s="1">
        <v>1E-3</v>
      </c>
      <c r="CK432" s="1">
        <v>1.7000000000000001E-2</v>
      </c>
      <c r="CL432" s="1">
        <v>1E-3</v>
      </c>
      <c r="CM432" s="1">
        <v>55.394271869999997</v>
      </c>
      <c r="CN432" s="83">
        <v>0.26528773</v>
      </c>
    </row>
    <row r="433" spans="1:92" s="3" customFormat="1" x14ac:dyDescent="0.25">
      <c r="A433" s="72">
        <v>461</v>
      </c>
      <c r="B433" s="81" t="s">
        <v>1526</v>
      </c>
      <c r="C433" s="1" t="s">
        <v>83</v>
      </c>
      <c r="D433" s="1" t="s">
        <v>73</v>
      </c>
      <c r="E433" s="1" t="s">
        <v>74</v>
      </c>
      <c r="F433" s="1" t="s">
        <v>128</v>
      </c>
      <c r="G433" s="1" t="s">
        <v>166</v>
      </c>
      <c r="H433" s="1" t="s">
        <v>535</v>
      </c>
      <c r="I433" s="1"/>
      <c r="J433" s="9" t="s">
        <v>506</v>
      </c>
      <c r="K433" s="10">
        <v>0.42331483333333397</v>
      </c>
      <c r="L433" s="1" t="s">
        <v>641</v>
      </c>
      <c r="M433" s="1" t="s">
        <v>76</v>
      </c>
      <c r="N433" s="1" t="s">
        <v>644</v>
      </c>
      <c r="O433" s="1" t="s">
        <v>55</v>
      </c>
      <c r="P433" s="82">
        <v>0.64</v>
      </c>
      <c r="Q433" s="1" t="s">
        <v>76</v>
      </c>
      <c r="R433" s="81" t="s">
        <v>87</v>
      </c>
      <c r="S433" s="1">
        <v>1</v>
      </c>
      <c r="T433" s="1" t="s">
        <v>78</v>
      </c>
      <c r="U433" s="1" t="s">
        <v>658</v>
      </c>
      <c r="V433" s="1" t="s">
        <v>655</v>
      </c>
      <c r="W433" s="1">
        <v>25</v>
      </c>
      <c r="X433" s="1" t="s">
        <v>167</v>
      </c>
      <c r="Y433" s="1" t="s">
        <v>644</v>
      </c>
      <c r="Z433" s="1">
        <v>1E-3</v>
      </c>
      <c r="AA433" s="1">
        <v>2E-3</v>
      </c>
      <c r="AB433" s="1">
        <v>2E-3</v>
      </c>
      <c r="AC433" s="1">
        <v>5.0000000000000001E-3</v>
      </c>
      <c r="AD433" s="1">
        <v>2E-3</v>
      </c>
      <c r="AE433" s="1">
        <v>5.0000000000000001E-3</v>
      </c>
      <c r="AF433" s="1">
        <v>2E-3</v>
      </c>
      <c r="AG433" s="1">
        <v>0</v>
      </c>
      <c r="AH433" s="1">
        <v>6.0000000000000001E-3</v>
      </c>
      <c r="AI433" s="1">
        <v>1E-3</v>
      </c>
      <c r="AJ433" s="1">
        <v>2.9000000000000001E-2</v>
      </c>
      <c r="AK433" s="1">
        <v>5.0000000000000001E-3</v>
      </c>
      <c r="AL433" s="1">
        <v>0</v>
      </c>
      <c r="AM433" s="1">
        <v>1E-3</v>
      </c>
      <c r="AN433" s="1">
        <v>8.0000000000000002E-3</v>
      </c>
      <c r="AO433" s="1">
        <v>1E-3</v>
      </c>
      <c r="AP433" s="1">
        <v>1E-3</v>
      </c>
      <c r="AQ433" s="1">
        <v>1E-3</v>
      </c>
      <c r="AR433" s="1">
        <v>4.0000000000000001E-3</v>
      </c>
      <c r="AS433" s="1">
        <v>5.0000000000000001E-3</v>
      </c>
      <c r="AT433" s="1">
        <v>2E-3</v>
      </c>
      <c r="AU433" s="1">
        <v>4.0000000000000001E-3</v>
      </c>
      <c r="AV433" s="1">
        <v>1E-3</v>
      </c>
      <c r="AW433" s="1">
        <v>2E-3</v>
      </c>
      <c r="AX433" s="1">
        <v>2E-3</v>
      </c>
      <c r="AY433" s="1">
        <v>2E-3</v>
      </c>
      <c r="AZ433" s="1">
        <v>3.0000000000000001E-3</v>
      </c>
      <c r="BA433" s="1">
        <v>5.0000000000000001E-3</v>
      </c>
      <c r="BB433" s="1">
        <v>5.8000000000000003E-2</v>
      </c>
      <c r="BC433" s="1">
        <v>1E-3</v>
      </c>
      <c r="BD433" s="1">
        <v>7.0000000000000001E-3</v>
      </c>
      <c r="BE433" s="1">
        <v>1E-3</v>
      </c>
      <c r="BF433" s="1">
        <v>1E-3</v>
      </c>
      <c r="BG433" s="1">
        <v>1E-3</v>
      </c>
      <c r="BH433" s="1">
        <v>1E-3</v>
      </c>
      <c r="BI433" s="1">
        <v>1E-3</v>
      </c>
      <c r="BJ433" s="1">
        <v>1E-3</v>
      </c>
      <c r="BK433" s="1">
        <v>1E-3</v>
      </c>
      <c r="BL433" s="1">
        <v>3.0000000000000001E-3</v>
      </c>
      <c r="BM433" s="1">
        <v>1E-3</v>
      </c>
      <c r="BN433" s="1">
        <v>2E-3</v>
      </c>
      <c r="BO433" s="1">
        <v>4.2999999999999997E-2</v>
      </c>
      <c r="BP433" s="1">
        <v>1E-3</v>
      </c>
      <c r="BQ433" s="1">
        <v>3.0000000000000001E-3</v>
      </c>
      <c r="BR433" s="1">
        <v>2E-3</v>
      </c>
      <c r="BS433" s="1">
        <v>4.0000000000000001E-3</v>
      </c>
      <c r="BT433" s="1">
        <v>1E-3</v>
      </c>
      <c r="BU433" s="1">
        <v>1E-3</v>
      </c>
      <c r="BV433" s="1">
        <v>8.9999999999999993E-3</v>
      </c>
      <c r="BW433" s="1">
        <v>2E-3</v>
      </c>
      <c r="BX433" s="1">
        <v>0.64</v>
      </c>
      <c r="BY433" s="1">
        <v>3.0000000000000001E-3</v>
      </c>
      <c r="BZ433" s="1">
        <v>4.0000000000000001E-3</v>
      </c>
      <c r="CA433" s="1">
        <v>2E-3</v>
      </c>
      <c r="CB433" s="1">
        <v>1E-3</v>
      </c>
      <c r="CC433" s="1">
        <v>2E-3</v>
      </c>
      <c r="CD433" s="1">
        <v>0</v>
      </c>
      <c r="CE433" s="1">
        <v>1E-3</v>
      </c>
      <c r="CF433" s="1">
        <v>1E-3</v>
      </c>
      <c r="CG433" s="1">
        <v>2E-3</v>
      </c>
      <c r="CH433" s="1">
        <v>3.0000000000000001E-3</v>
      </c>
      <c r="CI433" s="1">
        <v>2E-3</v>
      </c>
      <c r="CJ433" s="1">
        <v>3.0000000000000001E-3</v>
      </c>
      <c r="CK433" s="1">
        <v>8.2000000000000003E-2</v>
      </c>
      <c r="CL433" s="1">
        <v>7.0000000000000001E-3</v>
      </c>
      <c r="CM433" s="1">
        <v>4.9433727660000004</v>
      </c>
      <c r="CN433" s="83">
        <v>21.67252925</v>
      </c>
    </row>
    <row r="434" spans="1:92" s="3" customFormat="1" x14ac:dyDescent="0.25">
      <c r="A434" s="72">
        <v>462</v>
      </c>
      <c r="B434" s="81" t="s">
        <v>1531</v>
      </c>
      <c r="C434" s="1" t="s">
        <v>83</v>
      </c>
      <c r="D434" s="1" t="s">
        <v>73</v>
      </c>
      <c r="E434" s="1" t="s">
        <v>99</v>
      </c>
      <c r="F434" s="1" t="s">
        <v>128</v>
      </c>
      <c r="G434" s="1" t="s">
        <v>309</v>
      </c>
      <c r="H434" s="1" t="s">
        <v>570</v>
      </c>
      <c r="I434" s="1"/>
      <c r="J434" s="9" t="s">
        <v>544</v>
      </c>
      <c r="K434" s="10">
        <v>0.482825333333333</v>
      </c>
      <c r="L434" s="1" t="s">
        <v>76</v>
      </c>
      <c r="M434" s="1" t="s">
        <v>506</v>
      </c>
      <c r="N434" s="1" t="s">
        <v>645</v>
      </c>
      <c r="O434" s="1" t="s">
        <v>55</v>
      </c>
      <c r="P434" s="82">
        <v>0.997</v>
      </c>
      <c r="Q434" s="1" t="s">
        <v>76</v>
      </c>
      <c r="R434" s="81" t="s">
        <v>87</v>
      </c>
      <c r="S434" s="1">
        <v>3</v>
      </c>
      <c r="T434" s="1" t="s">
        <v>78</v>
      </c>
      <c r="U434" s="1" t="s">
        <v>658</v>
      </c>
      <c r="V434" s="1" t="s">
        <v>655</v>
      </c>
      <c r="W434" s="1">
        <v>22</v>
      </c>
      <c r="X434" s="1" t="s">
        <v>76</v>
      </c>
      <c r="Y434" s="1" t="s">
        <v>645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0.997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1E-3</v>
      </c>
      <c r="CL434" s="1">
        <v>0</v>
      </c>
      <c r="CM434" s="1">
        <v>71.970992260000003</v>
      </c>
      <c r="CN434" s="83">
        <v>22.19194826</v>
      </c>
    </row>
    <row r="435" spans="1:92" s="3" customFormat="1" x14ac:dyDescent="0.25">
      <c r="A435" s="72">
        <v>463</v>
      </c>
      <c r="B435" s="81" t="s">
        <v>1351</v>
      </c>
      <c r="C435" s="1" t="s">
        <v>83</v>
      </c>
      <c r="D435" s="1" t="s">
        <v>73</v>
      </c>
      <c r="E435" s="1" t="s">
        <v>74</v>
      </c>
      <c r="F435" s="1" t="s">
        <v>128</v>
      </c>
      <c r="G435" s="1" t="s">
        <v>175</v>
      </c>
      <c r="H435" s="1" t="s">
        <v>535</v>
      </c>
      <c r="I435" s="1"/>
      <c r="J435" s="9" t="s">
        <v>506</v>
      </c>
      <c r="K435" s="10">
        <v>0.59183483333333198</v>
      </c>
      <c r="L435" s="1" t="s">
        <v>641</v>
      </c>
      <c r="M435" s="1" t="s">
        <v>76</v>
      </c>
      <c r="N435" s="1" t="s">
        <v>644</v>
      </c>
      <c r="O435" s="1" t="s">
        <v>43</v>
      </c>
      <c r="P435" s="82">
        <v>0.28999999999999998</v>
      </c>
      <c r="Q435" s="1" t="s">
        <v>76</v>
      </c>
      <c r="R435" s="81" t="s">
        <v>87</v>
      </c>
      <c r="S435" s="1">
        <v>3</v>
      </c>
      <c r="T435" s="1" t="s">
        <v>78</v>
      </c>
      <c r="U435" s="1" t="s">
        <v>658</v>
      </c>
      <c r="V435" s="1" t="s">
        <v>654</v>
      </c>
      <c r="W435" s="1">
        <v>44</v>
      </c>
      <c r="X435" s="1" t="s">
        <v>167</v>
      </c>
      <c r="Y435" s="1" t="s">
        <v>644</v>
      </c>
      <c r="Z435" s="1">
        <v>2E-3</v>
      </c>
      <c r="AA435" s="1">
        <v>0.01</v>
      </c>
      <c r="AB435" s="1">
        <v>5.0000000000000001E-3</v>
      </c>
      <c r="AC435" s="1">
        <v>1.6E-2</v>
      </c>
      <c r="AD435" s="1">
        <v>5.0000000000000001E-3</v>
      </c>
      <c r="AE435" s="1">
        <v>3.0000000000000001E-3</v>
      </c>
      <c r="AF435" s="1">
        <v>5.0000000000000001E-3</v>
      </c>
      <c r="AG435" s="1">
        <v>2E-3</v>
      </c>
      <c r="AH435" s="1">
        <v>1.6E-2</v>
      </c>
      <c r="AI435" s="1">
        <v>3.0000000000000001E-3</v>
      </c>
      <c r="AJ435" s="1">
        <v>3.0000000000000001E-3</v>
      </c>
      <c r="AK435" s="1">
        <v>8.9999999999999993E-3</v>
      </c>
      <c r="AL435" s="1">
        <v>3.7999999999999999E-2</v>
      </c>
      <c r="AM435" s="1">
        <v>6.0000000000000001E-3</v>
      </c>
      <c r="AN435" s="1">
        <v>4.0000000000000001E-3</v>
      </c>
      <c r="AO435" s="1">
        <v>7.0000000000000001E-3</v>
      </c>
      <c r="AP435" s="1">
        <v>5.0000000000000001E-3</v>
      </c>
      <c r="AQ435" s="1">
        <v>6.0000000000000001E-3</v>
      </c>
      <c r="AR435" s="1">
        <v>2E-3</v>
      </c>
      <c r="AS435" s="1">
        <v>1.2E-2</v>
      </c>
      <c r="AT435" s="1">
        <v>0.01</v>
      </c>
      <c r="AU435" s="1">
        <v>7.0000000000000001E-3</v>
      </c>
      <c r="AV435" s="1">
        <v>4.0000000000000001E-3</v>
      </c>
      <c r="AW435" s="1">
        <v>1.4999999999999999E-2</v>
      </c>
      <c r="AX435" s="1">
        <v>6.7000000000000004E-2</v>
      </c>
      <c r="AY435" s="1">
        <v>8.5999999999999993E-2</v>
      </c>
      <c r="AZ435" s="1">
        <v>0.01</v>
      </c>
      <c r="BA435" s="1">
        <v>2.1999999999999999E-2</v>
      </c>
      <c r="BB435" s="1">
        <v>4.0000000000000001E-3</v>
      </c>
      <c r="BC435" s="1">
        <v>4.0000000000000001E-3</v>
      </c>
      <c r="BD435" s="1">
        <v>1.7999999999999999E-2</v>
      </c>
      <c r="BE435" s="1">
        <v>3.0000000000000001E-3</v>
      </c>
      <c r="BF435" s="1">
        <v>2E-3</v>
      </c>
      <c r="BG435" s="1">
        <v>8.0000000000000002E-3</v>
      </c>
      <c r="BH435" s="1">
        <v>4.0000000000000001E-3</v>
      </c>
      <c r="BI435" s="1">
        <v>3.0000000000000001E-3</v>
      </c>
      <c r="BJ435" s="1">
        <v>2E-3</v>
      </c>
      <c r="BK435" s="1">
        <v>3.0000000000000001E-3</v>
      </c>
      <c r="BL435" s="1">
        <v>0.28999999999999998</v>
      </c>
      <c r="BM435" s="1">
        <v>0.01</v>
      </c>
      <c r="BN435" s="1">
        <v>7.0000000000000001E-3</v>
      </c>
      <c r="BO435" s="1">
        <v>2E-3</v>
      </c>
      <c r="BP435" s="1">
        <v>1E-3</v>
      </c>
      <c r="BQ435" s="1">
        <v>3.6999999999999998E-2</v>
      </c>
      <c r="BR435" s="1">
        <v>8.0000000000000002E-3</v>
      </c>
      <c r="BS435" s="1">
        <v>3.0000000000000001E-3</v>
      </c>
      <c r="BT435" s="1">
        <v>3.0000000000000001E-3</v>
      </c>
      <c r="BU435" s="1">
        <v>3.0000000000000001E-3</v>
      </c>
      <c r="BV435" s="1">
        <v>3.0000000000000001E-3</v>
      </c>
      <c r="BW435" s="1">
        <v>1.2999999999999999E-2</v>
      </c>
      <c r="BX435" s="1">
        <v>1.2999999999999999E-2</v>
      </c>
      <c r="BY435" s="1">
        <v>2.4E-2</v>
      </c>
      <c r="BZ435" s="1">
        <v>2.4E-2</v>
      </c>
      <c r="CA435" s="1">
        <v>7.0000000000000001E-3</v>
      </c>
      <c r="CB435" s="1">
        <v>1E-3</v>
      </c>
      <c r="CC435" s="1">
        <v>4.0000000000000001E-3</v>
      </c>
      <c r="CD435" s="1">
        <v>3.0000000000000001E-3</v>
      </c>
      <c r="CE435" s="1">
        <v>7.0000000000000001E-3</v>
      </c>
      <c r="CF435" s="1">
        <v>5.0000000000000001E-3</v>
      </c>
      <c r="CG435" s="1">
        <v>1.2E-2</v>
      </c>
      <c r="CH435" s="1">
        <v>0.01</v>
      </c>
      <c r="CI435" s="1">
        <v>8.0000000000000002E-3</v>
      </c>
      <c r="CJ435" s="1">
        <v>1.4999999999999999E-2</v>
      </c>
      <c r="CK435" s="1">
        <v>4.1000000000000002E-2</v>
      </c>
      <c r="CL435" s="1">
        <v>1.6E-2</v>
      </c>
      <c r="CM435" s="1">
        <v>-15.813356799999999</v>
      </c>
      <c r="CN435" s="83">
        <v>63.523117030000002</v>
      </c>
    </row>
    <row r="436" spans="1:92" s="3" customFormat="1" x14ac:dyDescent="0.25">
      <c r="A436" s="72">
        <v>464</v>
      </c>
      <c r="B436" s="81" t="s">
        <v>1359</v>
      </c>
      <c r="C436" s="1" t="s">
        <v>83</v>
      </c>
      <c r="D436" s="1" t="s">
        <v>73</v>
      </c>
      <c r="E436" s="1" t="s">
        <v>74</v>
      </c>
      <c r="F436" s="1" t="s">
        <v>128</v>
      </c>
      <c r="G436" s="1" t="s">
        <v>175</v>
      </c>
      <c r="H436" s="1" t="s">
        <v>535</v>
      </c>
      <c r="I436" s="1"/>
      <c r="J436" s="9" t="s">
        <v>506</v>
      </c>
      <c r="K436" s="10">
        <v>0.45102433333333403</v>
      </c>
      <c r="L436" s="1" t="s">
        <v>641</v>
      </c>
      <c r="M436" s="1" t="s">
        <v>76</v>
      </c>
      <c r="N436" s="1" t="s">
        <v>644</v>
      </c>
      <c r="O436" s="1" t="s">
        <v>68</v>
      </c>
      <c r="P436" s="82">
        <v>0.23300000000000001</v>
      </c>
      <c r="Q436" s="1" t="s">
        <v>76</v>
      </c>
      <c r="R436" s="81" t="s">
        <v>87</v>
      </c>
      <c r="S436" s="1">
        <v>1</v>
      </c>
      <c r="T436" s="1" t="s">
        <v>78</v>
      </c>
      <c r="U436" s="1" t="s">
        <v>658</v>
      </c>
      <c r="V436" s="1" t="s">
        <v>655</v>
      </c>
      <c r="W436" s="1">
        <v>26</v>
      </c>
      <c r="X436" s="1" t="s">
        <v>167</v>
      </c>
      <c r="Y436" s="1" t="s">
        <v>644</v>
      </c>
      <c r="Z436" s="1">
        <v>6.0000000000000001E-3</v>
      </c>
      <c r="AA436" s="1">
        <v>6.0000000000000001E-3</v>
      </c>
      <c r="AB436" s="1">
        <v>5.0000000000000001E-3</v>
      </c>
      <c r="AC436" s="1">
        <v>8.0000000000000002E-3</v>
      </c>
      <c r="AD436" s="1">
        <v>6.0000000000000001E-3</v>
      </c>
      <c r="AE436" s="1">
        <v>0.01</v>
      </c>
      <c r="AF436" s="1">
        <v>6.0000000000000001E-3</v>
      </c>
      <c r="AG436" s="1">
        <v>1E-3</v>
      </c>
      <c r="AH436" s="1">
        <v>1.4999999999999999E-2</v>
      </c>
      <c r="AI436" s="1">
        <v>2E-3</v>
      </c>
      <c r="AJ436" s="1">
        <v>3.4000000000000002E-2</v>
      </c>
      <c r="AK436" s="1">
        <v>3.2000000000000001E-2</v>
      </c>
      <c r="AL436" s="1">
        <v>1E-3</v>
      </c>
      <c r="AM436" s="1">
        <v>6.0000000000000001E-3</v>
      </c>
      <c r="AN436" s="1">
        <v>2.1000000000000001E-2</v>
      </c>
      <c r="AO436" s="1">
        <v>4.0000000000000001E-3</v>
      </c>
      <c r="AP436" s="1">
        <v>3.0000000000000001E-3</v>
      </c>
      <c r="AQ436" s="1">
        <v>3.0000000000000001E-3</v>
      </c>
      <c r="AR436" s="1">
        <v>2.4E-2</v>
      </c>
      <c r="AS436" s="1">
        <v>1.2E-2</v>
      </c>
      <c r="AT436" s="1">
        <v>6.0000000000000001E-3</v>
      </c>
      <c r="AU436" s="1">
        <v>1.6E-2</v>
      </c>
      <c r="AV436" s="1">
        <v>4.0000000000000001E-3</v>
      </c>
      <c r="AW436" s="1">
        <v>6.0000000000000001E-3</v>
      </c>
      <c r="AX436" s="1">
        <v>8.9999999999999993E-3</v>
      </c>
      <c r="AY436" s="1">
        <v>8.0000000000000002E-3</v>
      </c>
      <c r="AZ436" s="1">
        <v>1.4E-2</v>
      </c>
      <c r="BA436" s="1">
        <v>1.4999999999999999E-2</v>
      </c>
      <c r="BB436" s="1">
        <v>4.8000000000000001E-2</v>
      </c>
      <c r="BC436" s="1">
        <v>3.0000000000000001E-3</v>
      </c>
      <c r="BD436" s="1">
        <v>0.02</v>
      </c>
      <c r="BE436" s="1">
        <v>3.0000000000000001E-3</v>
      </c>
      <c r="BF436" s="1">
        <v>3.0000000000000001E-3</v>
      </c>
      <c r="BG436" s="1">
        <v>2E-3</v>
      </c>
      <c r="BH436" s="1">
        <v>2E-3</v>
      </c>
      <c r="BI436" s="1">
        <v>3.0000000000000001E-3</v>
      </c>
      <c r="BJ436" s="1">
        <v>4.0000000000000001E-3</v>
      </c>
      <c r="BK436" s="1">
        <v>3.0000000000000001E-3</v>
      </c>
      <c r="BL436" s="1">
        <v>1.0999999999999999E-2</v>
      </c>
      <c r="BM436" s="1">
        <v>3.0000000000000001E-3</v>
      </c>
      <c r="BN436" s="1">
        <v>5.0000000000000001E-3</v>
      </c>
      <c r="BO436" s="1">
        <v>8.5999999999999993E-2</v>
      </c>
      <c r="BP436" s="1">
        <v>5.0000000000000001E-3</v>
      </c>
      <c r="BQ436" s="1">
        <v>8.0000000000000002E-3</v>
      </c>
      <c r="BR436" s="1">
        <v>4.0000000000000001E-3</v>
      </c>
      <c r="BS436" s="1">
        <v>2.1000000000000001E-2</v>
      </c>
      <c r="BT436" s="1">
        <v>2E-3</v>
      </c>
      <c r="BU436" s="1">
        <v>6.0000000000000001E-3</v>
      </c>
      <c r="BV436" s="1">
        <v>1.4E-2</v>
      </c>
      <c r="BW436" s="1">
        <v>6.0000000000000001E-3</v>
      </c>
      <c r="BX436" s="1">
        <v>5.8999999999999997E-2</v>
      </c>
      <c r="BY436" s="1">
        <v>8.9999999999999993E-3</v>
      </c>
      <c r="BZ436" s="1">
        <v>1.2E-2</v>
      </c>
      <c r="CA436" s="1">
        <v>6.0000000000000001E-3</v>
      </c>
      <c r="CB436" s="1">
        <v>3.0000000000000001E-3</v>
      </c>
      <c r="CC436" s="1">
        <v>6.0000000000000001E-3</v>
      </c>
      <c r="CD436" s="1">
        <v>0</v>
      </c>
      <c r="CE436" s="1">
        <v>4.0000000000000001E-3</v>
      </c>
      <c r="CF436" s="1">
        <v>3.0000000000000001E-3</v>
      </c>
      <c r="CG436" s="1">
        <v>7.0000000000000001E-3</v>
      </c>
      <c r="CH436" s="1">
        <v>7.0000000000000001E-3</v>
      </c>
      <c r="CI436" s="1">
        <v>5.0000000000000001E-3</v>
      </c>
      <c r="CJ436" s="1">
        <v>8.0000000000000002E-3</v>
      </c>
      <c r="CK436" s="1">
        <v>0.23300000000000001</v>
      </c>
      <c r="CL436" s="1">
        <v>9.1999999999999998E-2</v>
      </c>
      <c r="CM436" s="1">
        <v>-2.8270316229999999</v>
      </c>
      <c r="CN436" s="83">
        <v>21.888021859999998</v>
      </c>
    </row>
    <row r="437" spans="1:92" s="3" customFormat="1" x14ac:dyDescent="0.25">
      <c r="A437" s="72">
        <v>465</v>
      </c>
      <c r="B437" s="81" t="s">
        <v>1383</v>
      </c>
      <c r="C437" s="1" t="s">
        <v>83</v>
      </c>
      <c r="D437" s="1" t="s">
        <v>73</v>
      </c>
      <c r="E437" s="1" t="s">
        <v>74</v>
      </c>
      <c r="F437" s="1" t="s">
        <v>128</v>
      </c>
      <c r="G437" s="1" t="s">
        <v>310</v>
      </c>
      <c r="H437" s="1" t="s">
        <v>570</v>
      </c>
      <c r="I437" s="1"/>
      <c r="J437" s="9" t="s">
        <v>544</v>
      </c>
      <c r="K437" s="10">
        <v>0.36115249999999999</v>
      </c>
      <c r="L437" s="1" t="s">
        <v>641</v>
      </c>
      <c r="M437" s="1" t="s">
        <v>76</v>
      </c>
      <c r="N437" s="1" t="s">
        <v>649</v>
      </c>
      <c r="O437" s="1" t="s">
        <v>55</v>
      </c>
      <c r="P437" s="82">
        <v>0.88800000000000001</v>
      </c>
      <c r="Q437" s="1" t="s">
        <v>76</v>
      </c>
      <c r="R437" s="81" t="s">
        <v>311</v>
      </c>
      <c r="S437" s="1">
        <v>3</v>
      </c>
      <c r="T437" s="1" t="s">
        <v>78</v>
      </c>
      <c r="U437" s="1" t="s">
        <v>658</v>
      </c>
      <c r="V437" s="1" t="s">
        <v>655</v>
      </c>
      <c r="W437" s="1">
        <v>61</v>
      </c>
      <c r="X437" s="1" t="s">
        <v>76</v>
      </c>
      <c r="Y437" s="1" t="s">
        <v>645</v>
      </c>
      <c r="Z437" s="1">
        <v>1E-3</v>
      </c>
      <c r="AA437" s="1">
        <v>1E-3</v>
      </c>
      <c r="AB437" s="1">
        <v>0</v>
      </c>
      <c r="AC437" s="1">
        <v>1E-3</v>
      </c>
      <c r="AD437" s="1">
        <v>8.0000000000000002E-3</v>
      </c>
      <c r="AE437" s="1">
        <v>1E-3</v>
      </c>
      <c r="AF437" s="1">
        <v>0</v>
      </c>
      <c r="AG437" s="1">
        <v>0</v>
      </c>
      <c r="AH437" s="1">
        <v>2E-3</v>
      </c>
      <c r="AI437" s="1">
        <v>0</v>
      </c>
      <c r="AJ437" s="1">
        <v>1E-3</v>
      </c>
      <c r="AK437" s="1">
        <v>1E-3</v>
      </c>
      <c r="AL437" s="1">
        <v>0</v>
      </c>
      <c r="AM437" s="1">
        <v>0</v>
      </c>
      <c r="AN437" s="1">
        <v>1E-3</v>
      </c>
      <c r="AO437" s="1">
        <v>0</v>
      </c>
      <c r="AP437" s="1">
        <v>0</v>
      </c>
      <c r="AQ437" s="1">
        <v>0</v>
      </c>
      <c r="AR437" s="1">
        <v>1E-3</v>
      </c>
      <c r="AS437" s="1">
        <v>1E-3</v>
      </c>
      <c r="AT437" s="1">
        <v>1E-3</v>
      </c>
      <c r="AU437" s="1">
        <v>1E-3</v>
      </c>
      <c r="AV437" s="1">
        <v>0</v>
      </c>
      <c r="AW437" s="1">
        <v>1E-3</v>
      </c>
      <c r="AX437" s="1">
        <v>1.0999999999999999E-2</v>
      </c>
      <c r="AY437" s="1">
        <v>1E-3</v>
      </c>
      <c r="AZ437" s="1">
        <v>1E-3</v>
      </c>
      <c r="BA437" s="1">
        <v>1E-3</v>
      </c>
      <c r="BB437" s="1">
        <v>0</v>
      </c>
      <c r="BC437" s="1">
        <v>0</v>
      </c>
      <c r="BD437" s="1">
        <v>2E-3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1E-3</v>
      </c>
      <c r="BM437" s="1">
        <v>0</v>
      </c>
      <c r="BN437" s="1">
        <v>1E-3</v>
      </c>
      <c r="BO437" s="1">
        <v>0</v>
      </c>
      <c r="BP437" s="1">
        <v>0</v>
      </c>
      <c r="BQ437" s="1">
        <v>1E-3</v>
      </c>
      <c r="BR437" s="1">
        <v>0</v>
      </c>
      <c r="BS437" s="1">
        <v>1E-3</v>
      </c>
      <c r="BT437" s="1">
        <v>0</v>
      </c>
      <c r="BU437" s="1">
        <v>0</v>
      </c>
      <c r="BV437" s="1">
        <v>0</v>
      </c>
      <c r="BW437" s="1">
        <v>0</v>
      </c>
      <c r="BX437" s="1">
        <v>0.88800000000000001</v>
      </c>
      <c r="BY437" s="1">
        <v>2E-3</v>
      </c>
      <c r="BZ437" s="1">
        <v>1E-3</v>
      </c>
      <c r="CA437" s="1">
        <v>1E-3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1E-3</v>
      </c>
      <c r="CH437" s="1">
        <v>1E-3</v>
      </c>
      <c r="CI437" s="1">
        <v>1E-3</v>
      </c>
      <c r="CJ437" s="1">
        <v>1E-3</v>
      </c>
      <c r="CK437" s="1">
        <v>5.7000000000000002E-2</v>
      </c>
      <c r="CL437" s="1">
        <v>2E-3</v>
      </c>
      <c r="CM437" s="1">
        <v>18.64272411</v>
      </c>
      <c r="CN437" s="83">
        <v>2.7310725589999998</v>
      </c>
    </row>
    <row r="438" spans="1:92" s="3" customFormat="1" x14ac:dyDescent="0.25">
      <c r="A438" s="72">
        <v>466</v>
      </c>
      <c r="B438" s="81" t="s">
        <v>1424</v>
      </c>
      <c r="C438" s="1" t="s">
        <v>83</v>
      </c>
      <c r="D438" s="1" t="s">
        <v>73</v>
      </c>
      <c r="E438" s="1" t="s">
        <v>74</v>
      </c>
      <c r="F438" s="1" t="s">
        <v>128</v>
      </c>
      <c r="G438" s="1" t="s">
        <v>312</v>
      </c>
      <c r="H438" s="1" t="s">
        <v>570</v>
      </c>
      <c r="I438" s="1"/>
      <c r="J438" s="9" t="s">
        <v>544</v>
      </c>
      <c r="K438" s="10">
        <v>0.41919583333333299</v>
      </c>
      <c r="L438" s="1" t="s">
        <v>76</v>
      </c>
      <c r="M438" s="1" t="s">
        <v>506</v>
      </c>
      <c r="N438" s="1" t="s">
        <v>645</v>
      </c>
      <c r="O438" s="1" t="s">
        <v>55</v>
      </c>
      <c r="P438" s="82">
        <v>0.999</v>
      </c>
      <c r="Q438" s="1" t="s">
        <v>76</v>
      </c>
      <c r="R438" s="81" t="s">
        <v>87</v>
      </c>
      <c r="S438" s="1">
        <v>3</v>
      </c>
      <c r="T438" s="1" t="s">
        <v>78</v>
      </c>
      <c r="U438" s="1" t="s">
        <v>658</v>
      </c>
      <c r="V438" s="1" t="s">
        <v>654</v>
      </c>
      <c r="W438" s="1">
        <v>16</v>
      </c>
      <c r="X438" s="1" t="s">
        <v>76</v>
      </c>
      <c r="Y438" s="1" t="s">
        <v>645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0.999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40.55192984</v>
      </c>
      <c r="CN438" s="83">
        <v>-13.380574960000001</v>
      </c>
    </row>
    <row r="439" spans="1:92" s="3" customFormat="1" x14ac:dyDescent="0.25">
      <c r="A439" s="72">
        <v>467</v>
      </c>
      <c r="B439" s="81" t="s">
        <v>1470</v>
      </c>
      <c r="C439" s="1" t="s">
        <v>83</v>
      </c>
      <c r="D439" s="1" t="s">
        <v>73</v>
      </c>
      <c r="E439" s="1" t="s">
        <v>99</v>
      </c>
      <c r="F439" s="1" t="s">
        <v>267</v>
      </c>
      <c r="G439" s="1" t="s">
        <v>80</v>
      </c>
      <c r="H439" s="1" t="s">
        <v>13</v>
      </c>
      <c r="I439" s="1"/>
      <c r="J439" s="9" t="s">
        <v>544</v>
      </c>
      <c r="K439" s="10">
        <v>0.47200633333333297</v>
      </c>
      <c r="L439" s="1" t="s">
        <v>76</v>
      </c>
      <c r="M439" s="1" t="s">
        <v>506</v>
      </c>
      <c r="N439" s="1" t="s">
        <v>645</v>
      </c>
      <c r="O439" s="1" t="s">
        <v>13</v>
      </c>
      <c r="P439" s="82">
        <v>0.99399999999999999</v>
      </c>
      <c r="Q439" s="1" t="s">
        <v>76</v>
      </c>
      <c r="R439" s="81" t="s">
        <v>100</v>
      </c>
      <c r="S439" s="1" t="s">
        <v>76</v>
      </c>
      <c r="T439" s="1" t="s">
        <v>78</v>
      </c>
      <c r="U439" s="1" t="s">
        <v>658</v>
      </c>
      <c r="V439" s="1" t="s">
        <v>655</v>
      </c>
      <c r="W439" s="1">
        <v>68</v>
      </c>
      <c r="X439" s="1" t="s">
        <v>271</v>
      </c>
      <c r="Y439" s="1" t="s">
        <v>645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0.99399999999999999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1E-3</v>
      </c>
      <c r="CL439" s="1">
        <v>0</v>
      </c>
      <c r="CM439" s="1">
        <v>-9.5620846329999996</v>
      </c>
      <c r="CN439" s="83">
        <v>-132.93155780000001</v>
      </c>
    </row>
    <row r="440" spans="1:92" s="3" customFormat="1" x14ac:dyDescent="0.25">
      <c r="A440" s="72">
        <v>468</v>
      </c>
      <c r="B440" s="81" t="s">
        <v>1497</v>
      </c>
      <c r="C440" s="1" t="s">
        <v>83</v>
      </c>
      <c r="D440" s="1" t="s">
        <v>73</v>
      </c>
      <c r="E440" s="1" t="s">
        <v>99</v>
      </c>
      <c r="F440" s="1" t="s">
        <v>267</v>
      </c>
      <c r="G440" s="1" t="s">
        <v>80</v>
      </c>
      <c r="H440" s="1" t="s">
        <v>13</v>
      </c>
      <c r="I440" s="1"/>
      <c r="J440" s="9" t="s">
        <v>544</v>
      </c>
      <c r="K440" s="10">
        <v>0.28984716666666699</v>
      </c>
      <c r="L440" s="1" t="s">
        <v>76</v>
      </c>
      <c r="M440" s="1" t="s">
        <v>506</v>
      </c>
      <c r="N440" s="1" t="s">
        <v>645</v>
      </c>
      <c r="O440" s="1" t="s">
        <v>13</v>
      </c>
      <c r="P440" s="82">
        <v>0.97099999999999997</v>
      </c>
      <c r="Q440" s="1" t="s">
        <v>76</v>
      </c>
      <c r="R440" s="81" t="s">
        <v>100</v>
      </c>
      <c r="S440" s="1">
        <v>2</v>
      </c>
      <c r="T440" s="1" t="s">
        <v>78</v>
      </c>
      <c r="U440" s="1" t="s">
        <v>658</v>
      </c>
      <c r="V440" s="1" t="s">
        <v>655</v>
      </c>
      <c r="W440" s="1">
        <v>43</v>
      </c>
      <c r="X440" s="1" t="s">
        <v>313</v>
      </c>
      <c r="Y440" s="1" t="s">
        <v>645</v>
      </c>
      <c r="Z440" s="1">
        <v>6.0000000000000001E-3</v>
      </c>
      <c r="AA440" s="1">
        <v>0</v>
      </c>
      <c r="AB440" s="1">
        <v>0</v>
      </c>
      <c r="AC440" s="1">
        <v>4.0000000000000001E-3</v>
      </c>
      <c r="AD440" s="1">
        <v>0</v>
      </c>
      <c r="AE440" s="1">
        <v>0</v>
      </c>
      <c r="AF440" s="1">
        <v>0</v>
      </c>
      <c r="AG440" s="1">
        <v>0</v>
      </c>
      <c r="AH440" s="1">
        <v>0.97099999999999997</v>
      </c>
      <c r="AI440" s="1">
        <v>1E-3</v>
      </c>
      <c r="AJ440" s="1">
        <v>0</v>
      </c>
      <c r="AK440" s="1">
        <v>0</v>
      </c>
      <c r="AL440" s="1">
        <v>0</v>
      </c>
      <c r="AM440" s="1">
        <v>0</v>
      </c>
      <c r="AN440" s="1">
        <v>1E-3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1E-3</v>
      </c>
      <c r="BB440" s="1">
        <v>0</v>
      </c>
      <c r="BC440" s="1">
        <v>0</v>
      </c>
      <c r="BD440" s="1">
        <v>1E-3</v>
      </c>
      <c r="BE440" s="1">
        <v>0</v>
      </c>
      <c r="BF440" s="1">
        <v>1E-3</v>
      </c>
      <c r="BG440" s="1">
        <v>0</v>
      </c>
      <c r="BH440" s="1">
        <v>1E-3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1E-3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1E-3</v>
      </c>
      <c r="BY440" s="1">
        <v>1E-3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1E-3</v>
      </c>
      <c r="CH440" s="1">
        <v>0</v>
      </c>
      <c r="CI440" s="1">
        <v>0</v>
      </c>
      <c r="CJ440" s="1">
        <v>1E-3</v>
      </c>
      <c r="CK440" s="1">
        <v>1E-3</v>
      </c>
      <c r="CL440" s="1">
        <v>0</v>
      </c>
      <c r="CM440" s="1">
        <v>-25.65022351</v>
      </c>
      <c r="CN440" s="83">
        <v>-108.073108</v>
      </c>
    </row>
    <row r="441" spans="1:92" s="3" customFormat="1" x14ac:dyDescent="0.25">
      <c r="A441" s="72">
        <v>469</v>
      </c>
      <c r="B441" s="81" t="s">
        <v>1500</v>
      </c>
      <c r="C441" s="1" t="s">
        <v>83</v>
      </c>
      <c r="D441" s="1" t="s">
        <v>73</v>
      </c>
      <c r="E441" s="1" t="s">
        <v>99</v>
      </c>
      <c r="F441" s="1" t="s">
        <v>267</v>
      </c>
      <c r="G441" s="1" t="s">
        <v>80</v>
      </c>
      <c r="H441" s="1" t="s">
        <v>13</v>
      </c>
      <c r="I441" s="1"/>
      <c r="J441" s="9" t="s">
        <v>544</v>
      </c>
      <c r="K441" s="10">
        <v>0.30832383333333302</v>
      </c>
      <c r="L441" s="1" t="s">
        <v>76</v>
      </c>
      <c r="M441" s="1" t="s">
        <v>506</v>
      </c>
      <c r="N441" s="1" t="s">
        <v>645</v>
      </c>
      <c r="O441" s="1" t="s">
        <v>13</v>
      </c>
      <c r="P441" s="82">
        <v>0.96</v>
      </c>
      <c r="Q441" s="1" t="s">
        <v>76</v>
      </c>
      <c r="R441" s="81" t="s">
        <v>100</v>
      </c>
      <c r="S441" s="1">
        <v>2</v>
      </c>
      <c r="T441" s="1" t="s">
        <v>78</v>
      </c>
      <c r="U441" s="1" t="s">
        <v>658</v>
      </c>
      <c r="V441" s="1" t="s">
        <v>655</v>
      </c>
      <c r="W441" s="1">
        <v>63</v>
      </c>
      <c r="X441" s="1" t="s">
        <v>434</v>
      </c>
      <c r="Y441" s="1" t="s">
        <v>645</v>
      </c>
      <c r="Z441" s="1">
        <v>0</v>
      </c>
      <c r="AA441" s="1">
        <v>0</v>
      </c>
      <c r="AB441" s="1">
        <v>0</v>
      </c>
      <c r="AC441" s="1">
        <v>2E-3</v>
      </c>
      <c r="AD441" s="1">
        <v>0</v>
      </c>
      <c r="AE441" s="1">
        <v>0</v>
      </c>
      <c r="AF441" s="1">
        <v>0</v>
      </c>
      <c r="AG441" s="1">
        <v>0</v>
      </c>
      <c r="AH441" s="1">
        <v>0.96</v>
      </c>
      <c r="AI441" s="1">
        <v>8.0000000000000002E-3</v>
      </c>
      <c r="AJ441" s="1">
        <v>0</v>
      </c>
      <c r="AK441" s="1">
        <v>1E-3</v>
      </c>
      <c r="AL441" s="1">
        <v>0</v>
      </c>
      <c r="AM441" s="1">
        <v>0</v>
      </c>
      <c r="AN441" s="1">
        <v>3.0000000000000001E-3</v>
      </c>
      <c r="AO441" s="1">
        <v>0</v>
      </c>
      <c r="AP441" s="1">
        <v>0</v>
      </c>
      <c r="AQ441" s="1">
        <v>0</v>
      </c>
      <c r="AR441" s="1">
        <v>0</v>
      </c>
      <c r="AS441" s="1">
        <v>1E-3</v>
      </c>
      <c r="AT441" s="1">
        <v>0</v>
      </c>
      <c r="AU441" s="1">
        <v>0</v>
      </c>
      <c r="AV441" s="1">
        <v>0</v>
      </c>
      <c r="AW441" s="1">
        <v>0</v>
      </c>
      <c r="AX441" s="1">
        <v>2E-3</v>
      </c>
      <c r="AY441" s="1">
        <v>0</v>
      </c>
      <c r="AZ441" s="1">
        <v>0</v>
      </c>
      <c r="BA441" s="1">
        <v>1E-3</v>
      </c>
      <c r="BB441" s="1">
        <v>0</v>
      </c>
      <c r="BC441" s="1">
        <v>0</v>
      </c>
      <c r="BD441" s="1">
        <v>2E-3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1E-3</v>
      </c>
      <c r="BM441" s="1">
        <v>1E-3</v>
      </c>
      <c r="BN441" s="1">
        <v>0</v>
      </c>
      <c r="BO441" s="1">
        <v>0</v>
      </c>
      <c r="BP441" s="1">
        <v>0</v>
      </c>
      <c r="BQ441" s="1">
        <v>0</v>
      </c>
      <c r="BR441" s="1">
        <v>1E-3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1E-3</v>
      </c>
      <c r="BY441" s="1">
        <v>1E-3</v>
      </c>
      <c r="BZ441" s="1">
        <v>1E-3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2E-3</v>
      </c>
      <c r="CH441" s="1">
        <v>0</v>
      </c>
      <c r="CI441" s="1">
        <v>0</v>
      </c>
      <c r="CJ441" s="1">
        <v>1E-3</v>
      </c>
      <c r="CK441" s="1">
        <v>1E-3</v>
      </c>
      <c r="CL441" s="1">
        <v>1E-3</v>
      </c>
      <c r="CM441" s="1">
        <v>-20.035997590000001</v>
      </c>
      <c r="CN441" s="83">
        <v>-113.8953861</v>
      </c>
    </row>
    <row r="442" spans="1:92" s="3" customFormat="1" x14ac:dyDescent="0.25">
      <c r="A442" s="72">
        <v>470</v>
      </c>
      <c r="B442" s="81" t="s">
        <v>1466</v>
      </c>
      <c r="C442" s="1" t="s">
        <v>83</v>
      </c>
      <c r="D442" s="1" t="s">
        <v>73</v>
      </c>
      <c r="E442" s="1" t="s">
        <v>99</v>
      </c>
      <c r="F442" s="1" t="s">
        <v>267</v>
      </c>
      <c r="G442" s="1" t="s">
        <v>80</v>
      </c>
      <c r="H442" s="1" t="s">
        <v>13</v>
      </c>
      <c r="I442" s="1"/>
      <c r="J442" s="9" t="s">
        <v>544</v>
      </c>
      <c r="K442" s="10">
        <v>0.41547133333333403</v>
      </c>
      <c r="L442" s="1" t="s">
        <v>76</v>
      </c>
      <c r="M442" s="1" t="s">
        <v>506</v>
      </c>
      <c r="N442" s="1" t="s">
        <v>645</v>
      </c>
      <c r="O442" s="1" t="s">
        <v>13</v>
      </c>
      <c r="P442" s="82">
        <v>1</v>
      </c>
      <c r="Q442" s="1" t="s">
        <v>76</v>
      </c>
      <c r="R442" s="81" t="s">
        <v>100</v>
      </c>
      <c r="S442" s="1" t="s">
        <v>76</v>
      </c>
      <c r="T442" s="1" t="s">
        <v>78</v>
      </c>
      <c r="U442" s="1" t="s">
        <v>658</v>
      </c>
      <c r="V442" s="1" t="s">
        <v>655</v>
      </c>
      <c r="W442" s="1">
        <v>57</v>
      </c>
      <c r="X442" s="1" t="s">
        <v>271</v>
      </c>
      <c r="Y442" s="1" t="s">
        <v>645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-14.4666777</v>
      </c>
      <c r="CN442" s="83">
        <v>-128.5896702</v>
      </c>
    </row>
    <row r="443" spans="1:92" s="3" customFormat="1" x14ac:dyDescent="0.25">
      <c r="A443" s="72">
        <v>471</v>
      </c>
      <c r="B443" s="81" t="s">
        <v>1462</v>
      </c>
      <c r="C443" s="1" t="s">
        <v>83</v>
      </c>
      <c r="D443" s="1" t="s">
        <v>73</v>
      </c>
      <c r="E443" s="1" t="s">
        <v>99</v>
      </c>
      <c r="F443" s="1" t="s">
        <v>267</v>
      </c>
      <c r="G443" s="1" t="s">
        <v>80</v>
      </c>
      <c r="H443" s="1" t="s">
        <v>13</v>
      </c>
      <c r="I443" s="1"/>
      <c r="J443" s="9" t="s">
        <v>544</v>
      </c>
      <c r="K443" s="10">
        <v>0.51138666666666599</v>
      </c>
      <c r="L443" s="1" t="s">
        <v>641</v>
      </c>
      <c r="M443" s="1" t="s">
        <v>76</v>
      </c>
      <c r="N443" s="1" t="s">
        <v>649</v>
      </c>
      <c r="O443" s="1" t="s">
        <v>13</v>
      </c>
      <c r="P443" s="82">
        <v>0.85899999999999999</v>
      </c>
      <c r="Q443" s="1" t="s">
        <v>76</v>
      </c>
      <c r="R443" s="81" t="s">
        <v>95</v>
      </c>
      <c r="S443" s="1" t="s">
        <v>76</v>
      </c>
      <c r="T443" s="1" t="s">
        <v>78</v>
      </c>
      <c r="U443" s="1" t="s">
        <v>658</v>
      </c>
      <c r="V443" s="1" t="s">
        <v>655</v>
      </c>
      <c r="W443" s="1">
        <v>48</v>
      </c>
      <c r="X443" s="1" t="s">
        <v>271</v>
      </c>
      <c r="Y443" s="1" t="s">
        <v>645</v>
      </c>
      <c r="Z443" s="1">
        <v>0</v>
      </c>
      <c r="AA443" s="1">
        <v>1E-3</v>
      </c>
      <c r="AB443" s="1">
        <v>1E-3</v>
      </c>
      <c r="AC443" s="1">
        <v>8.0000000000000002E-3</v>
      </c>
      <c r="AD443" s="1">
        <v>1E-3</v>
      </c>
      <c r="AE443" s="1">
        <v>1E-3</v>
      </c>
      <c r="AF443" s="1">
        <v>1E-3</v>
      </c>
      <c r="AG443" s="1">
        <v>0</v>
      </c>
      <c r="AH443" s="1">
        <v>0.85899999999999999</v>
      </c>
      <c r="AI443" s="1">
        <v>0</v>
      </c>
      <c r="AJ443" s="1">
        <v>0</v>
      </c>
      <c r="AK443" s="1">
        <v>6.0000000000000001E-3</v>
      </c>
      <c r="AL443" s="1">
        <v>0</v>
      </c>
      <c r="AM443" s="1">
        <v>1E-3</v>
      </c>
      <c r="AN443" s="1">
        <v>1E-3</v>
      </c>
      <c r="AO443" s="1">
        <v>2E-3</v>
      </c>
      <c r="AP443" s="1">
        <v>1E-3</v>
      </c>
      <c r="AQ443" s="1">
        <v>1E-3</v>
      </c>
      <c r="AR443" s="1">
        <v>0</v>
      </c>
      <c r="AS443" s="1">
        <v>6.0000000000000001E-3</v>
      </c>
      <c r="AT443" s="1">
        <v>4.0000000000000001E-3</v>
      </c>
      <c r="AU443" s="1">
        <v>1E-3</v>
      </c>
      <c r="AV443" s="1">
        <v>1E-3</v>
      </c>
      <c r="AW443" s="1">
        <v>3.0000000000000001E-3</v>
      </c>
      <c r="AX443" s="1">
        <v>1E-3</v>
      </c>
      <c r="AY443" s="1">
        <v>2E-3</v>
      </c>
      <c r="AZ443" s="1">
        <v>2E-3</v>
      </c>
      <c r="BA443" s="1">
        <v>5.0000000000000001E-3</v>
      </c>
      <c r="BB443" s="1">
        <v>1E-3</v>
      </c>
      <c r="BC443" s="1">
        <v>1E-3</v>
      </c>
      <c r="BD443" s="1">
        <v>7.0000000000000001E-3</v>
      </c>
      <c r="BE443" s="1">
        <v>1E-3</v>
      </c>
      <c r="BF443" s="1">
        <v>0</v>
      </c>
      <c r="BG443" s="1">
        <v>3.0000000000000001E-3</v>
      </c>
      <c r="BH443" s="1">
        <v>1E-3</v>
      </c>
      <c r="BI443" s="1">
        <v>1E-3</v>
      </c>
      <c r="BJ443" s="1">
        <v>0</v>
      </c>
      <c r="BK443" s="1">
        <v>1E-3</v>
      </c>
      <c r="BL443" s="1">
        <v>3.0000000000000001E-3</v>
      </c>
      <c r="BM443" s="1">
        <v>1E-3</v>
      </c>
      <c r="BN443" s="1">
        <v>3.0000000000000001E-3</v>
      </c>
      <c r="BO443" s="1">
        <v>0</v>
      </c>
      <c r="BP443" s="1">
        <v>0</v>
      </c>
      <c r="BQ443" s="1">
        <v>3.0000000000000001E-3</v>
      </c>
      <c r="BR443" s="1">
        <v>1E-3</v>
      </c>
      <c r="BS443" s="1">
        <v>1E-3</v>
      </c>
      <c r="BT443" s="1">
        <v>1E-3</v>
      </c>
      <c r="BU443" s="1">
        <v>0</v>
      </c>
      <c r="BV443" s="1">
        <v>1E-3</v>
      </c>
      <c r="BW443" s="1">
        <v>1E-3</v>
      </c>
      <c r="BX443" s="1">
        <v>4.0000000000000001E-3</v>
      </c>
      <c r="BY443" s="1">
        <v>7.0000000000000001E-3</v>
      </c>
      <c r="BZ443" s="1">
        <v>2E-3</v>
      </c>
      <c r="CA443" s="1">
        <v>2E-3</v>
      </c>
      <c r="CB443" s="1">
        <v>0</v>
      </c>
      <c r="CC443" s="1">
        <v>2E-3</v>
      </c>
      <c r="CD443" s="1">
        <v>0</v>
      </c>
      <c r="CE443" s="1">
        <v>1E-3</v>
      </c>
      <c r="CF443" s="1">
        <v>2E-3</v>
      </c>
      <c r="CG443" s="1">
        <v>7.0000000000000001E-3</v>
      </c>
      <c r="CH443" s="1">
        <v>3.0000000000000001E-3</v>
      </c>
      <c r="CI443" s="1">
        <v>3.0000000000000001E-3</v>
      </c>
      <c r="CJ443" s="1">
        <v>8.9999999999999993E-3</v>
      </c>
      <c r="CK443" s="1">
        <v>1.4E-2</v>
      </c>
      <c r="CL443" s="1">
        <v>4.0000000000000001E-3</v>
      </c>
      <c r="CM443" s="1">
        <v>0.72655026199999995</v>
      </c>
      <c r="CN443" s="83">
        <v>-130.2455578</v>
      </c>
    </row>
    <row r="444" spans="1:92" s="3" customFormat="1" x14ac:dyDescent="0.25">
      <c r="A444" s="72">
        <v>472</v>
      </c>
      <c r="B444" s="81" t="s">
        <v>1513</v>
      </c>
      <c r="C444" s="1" t="s">
        <v>83</v>
      </c>
      <c r="D444" s="1" t="s">
        <v>73</v>
      </c>
      <c r="E444" s="1" t="s">
        <v>74</v>
      </c>
      <c r="F444" s="1" t="s">
        <v>267</v>
      </c>
      <c r="G444" s="1" t="s">
        <v>80</v>
      </c>
      <c r="H444" s="1" t="s">
        <v>13</v>
      </c>
      <c r="I444" s="1"/>
      <c r="J444" s="9" t="s">
        <v>544</v>
      </c>
      <c r="K444" s="10">
        <v>0.298456</v>
      </c>
      <c r="L444" s="1" t="s">
        <v>76</v>
      </c>
      <c r="M444" s="1" t="s">
        <v>506</v>
      </c>
      <c r="N444" s="1" t="s">
        <v>645</v>
      </c>
      <c r="O444" s="1" t="s">
        <v>13</v>
      </c>
      <c r="P444" s="82">
        <v>0.997</v>
      </c>
      <c r="Q444" s="1" t="s">
        <v>76</v>
      </c>
      <c r="R444" s="81" t="s">
        <v>95</v>
      </c>
      <c r="S444" s="1" t="s">
        <v>76</v>
      </c>
      <c r="T444" s="1" t="s">
        <v>78</v>
      </c>
      <c r="U444" s="1" t="s">
        <v>660</v>
      </c>
      <c r="V444" s="1" t="s">
        <v>655</v>
      </c>
      <c r="W444" s="1">
        <v>65</v>
      </c>
      <c r="X444" s="1" t="s">
        <v>268</v>
      </c>
      <c r="Y444" s="1" t="s">
        <v>645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0.997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-23.067103159999998</v>
      </c>
      <c r="CN444" s="83">
        <v>-109.5780812</v>
      </c>
    </row>
    <row r="445" spans="1:92" s="3" customFormat="1" x14ac:dyDescent="0.25">
      <c r="A445" s="72">
        <v>473</v>
      </c>
      <c r="B445" s="81" t="s">
        <v>1477</v>
      </c>
      <c r="C445" s="1" t="s">
        <v>83</v>
      </c>
      <c r="D445" s="1" t="s">
        <v>73</v>
      </c>
      <c r="E445" s="1" t="s">
        <v>99</v>
      </c>
      <c r="F445" s="1" t="s">
        <v>267</v>
      </c>
      <c r="G445" s="1" t="s">
        <v>80</v>
      </c>
      <c r="H445" s="1" t="s">
        <v>13</v>
      </c>
      <c r="I445" s="1"/>
      <c r="J445" s="9" t="s">
        <v>544</v>
      </c>
      <c r="K445" s="10">
        <v>0.34020683333333301</v>
      </c>
      <c r="L445" s="1" t="s">
        <v>76</v>
      </c>
      <c r="M445" s="1" t="s">
        <v>506</v>
      </c>
      <c r="N445" s="1" t="s">
        <v>645</v>
      </c>
      <c r="O445" s="1" t="s">
        <v>13</v>
      </c>
      <c r="P445" s="82">
        <v>1</v>
      </c>
      <c r="Q445" s="1" t="s">
        <v>76</v>
      </c>
      <c r="R445" s="81" t="s">
        <v>100</v>
      </c>
      <c r="S445" s="1" t="s">
        <v>76</v>
      </c>
      <c r="T445" s="1" t="s">
        <v>78</v>
      </c>
      <c r="U445" s="1" t="s">
        <v>658</v>
      </c>
      <c r="V445" s="1" t="s">
        <v>655</v>
      </c>
      <c r="W445" s="1">
        <v>28</v>
      </c>
      <c r="X445" s="1" t="s">
        <v>315</v>
      </c>
      <c r="Y445" s="1" t="s">
        <v>645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-29.16499473</v>
      </c>
      <c r="CN445" s="83">
        <v>-111.2959687</v>
      </c>
    </row>
    <row r="446" spans="1:92" s="3" customFormat="1" x14ac:dyDescent="0.25">
      <c r="A446" s="72">
        <v>474</v>
      </c>
      <c r="B446" s="81" t="s">
        <v>1451</v>
      </c>
      <c r="C446" s="1" t="s">
        <v>83</v>
      </c>
      <c r="D446" s="1" t="s">
        <v>73</v>
      </c>
      <c r="E446" s="1" t="s">
        <v>74</v>
      </c>
      <c r="F446" s="1" t="s">
        <v>267</v>
      </c>
      <c r="G446" s="1" t="s">
        <v>80</v>
      </c>
      <c r="H446" s="1" t="s">
        <v>13</v>
      </c>
      <c r="I446" s="1"/>
      <c r="J446" s="9" t="s">
        <v>544</v>
      </c>
      <c r="K446" s="10">
        <v>0.56878900000000099</v>
      </c>
      <c r="L446" s="1" t="s">
        <v>76</v>
      </c>
      <c r="M446" s="1" t="s">
        <v>506</v>
      </c>
      <c r="N446" s="1" t="s">
        <v>645</v>
      </c>
      <c r="O446" s="1" t="s">
        <v>13</v>
      </c>
      <c r="P446" s="82">
        <v>0.97799999999999998</v>
      </c>
      <c r="Q446" s="1" t="s">
        <v>76</v>
      </c>
      <c r="R446" s="81" t="s">
        <v>100</v>
      </c>
      <c r="S446" s="1" t="s">
        <v>76</v>
      </c>
      <c r="T446" s="1" t="s">
        <v>78</v>
      </c>
      <c r="U446" s="1" t="s">
        <v>659</v>
      </c>
      <c r="V446" s="1" t="s">
        <v>655</v>
      </c>
      <c r="W446" s="1">
        <v>72</v>
      </c>
      <c r="X446" s="1" t="s">
        <v>434</v>
      </c>
      <c r="Y446" s="1" t="s">
        <v>645</v>
      </c>
      <c r="Z446" s="1">
        <v>0</v>
      </c>
      <c r="AA446" s="1">
        <v>0</v>
      </c>
      <c r="AB446" s="1">
        <v>0</v>
      </c>
      <c r="AC446" s="1">
        <v>1E-3</v>
      </c>
      <c r="AD446" s="1">
        <v>0</v>
      </c>
      <c r="AE446" s="1">
        <v>0</v>
      </c>
      <c r="AF446" s="1">
        <v>0</v>
      </c>
      <c r="AG446" s="1">
        <v>0</v>
      </c>
      <c r="AH446" s="1">
        <v>0.97799999999999998</v>
      </c>
      <c r="AI446" s="1">
        <v>0</v>
      </c>
      <c r="AJ446" s="1">
        <v>0</v>
      </c>
      <c r="AK446" s="1">
        <v>1E-3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1E-3</v>
      </c>
      <c r="AT446" s="1">
        <v>1E-3</v>
      </c>
      <c r="AU446" s="1">
        <v>0</v>
      </c>
      <c r="AV446" s="1">
        <v>0</v>
      </c>
      <c r="AW446" s="1">
        <v>1E-3</v>
      </c>
      <c r="AX446" s="1">
        <v>0</v>
      </c>
      <c r="AY446" s="1">
        <v>0</v>
      </c>
      <c r="AZ446" s="1">
        <v>0</v>
      </c>
      <c r="BA446" s="1">
        <v>1E-3</v>
      </c>
      <c r="BB446" s="1">
        <v>0</v>
      </c>
      <c r="BC446" s="1">
        <v>0</v>
      </c>
      <c r="BD446" s="1">
        <v>1E-3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1E-3</v>
      </c>
      <c r="BM446" s="1">
        <v>0</v>
      </c>
      <c r="BN446" s="1">
        <v>0</v>
      </c>
      <c r="BO446" s="1">
        <v>0</v>
      </c>
      <c r="BP446" s="1">
        <v>0</v>
      </c>
      <c r="BQ446" s="1">
        <v>1E-3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1E-3</v>
      </c>
      <c r="BY446" s="1">
        <v>1E-3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1E-3</v>
      </c>
      <c r="CI446" s="1">
        <v>1E-3</v>
      </c>
      <c r="CJ446" s="1">
        <v>1E-3</v>
      </c>
      <c r="CK446" s="1">
        <v>2E-3</v>
      </c>
      <c r="CL446" s="1">
        <v>1E-3</v>
      </c>
      <c r="CM446" s="1">
        <v>-28.39946046</v>
      </c>
      <c r="CN446" s="83">
        <v>-134.06072180000001</v>
      </c>
    </row>
    <row r="447" spans="1:92" s="3" customFormat="1" x14ac:dyDescent="0.25">
      <c r="A447" s="72">
        <v>475</v>
      </c>
      <c r="B447" s="81" t="s">
        <v>1427</v>
      </c>
      <c r="C447" s="1" t="s">
        <v>83</v>
      </c>
      <c r="D447" s="1" t="s">
        <v>73</v>
      </c>
      <c r="E447" s="1" t="s">
        <v>74</v>
      </c>
      <c r="F447" s="1" t="s">
        <v>294</v>
      </c>
      <c r="G447" s="1" t="s">
        <v>76</v>
      </c>
      <c r="H447" s="1" t="s">
        <v>294</v>
      </c>
      <c r="I447" s="1"/>
      <c r="J447" s="9" t="s">
        <v>506</v>
      </c>
      <c r="K447" s="10">
        <v>0.282365166666667</v>
      </c>
      <c r="L447" s="1" t="s">
        <v>627</v>
      </c>
      <c r="M447" s="1" t="s">
        <v>506</v>
      </c>
      <c r="N447" s="1" t="s">
        <v>648</v>
      </c>
      <c r="O447" s="1" t="s">
        <v>37</v>
      </c>
      <c r="P447" s="82">
        <v>0.98599999999999999</v>
      </c>
      <c r="Q447" s="1" t="s">
        <v>76</v>
      </c>
      <c r="R447" s="81" t="s">
        <v>87</v>
      </c>
      <c r="S447" s="1">
        <v>3</v>
      </c>
      <c r="T447" s="1" t="s">
        <v>78</v>
      </c>
      <c r="U447" s="1" t="s">
        <v>658</v>
      </c>
      <c r="V447" s="1" t="s">
        <v>655</v>
      </c>
      <c r="W447" s="1">
        <v>36</v>
      </c>
      <c r="X447" s="1" t="s">
        <v>76</v>
      </c>
      <c r="Y447" s="1" t="s">
        <v>648</v>
      </c>
      <c r="Z447" s="1">
        <v>1E-3</v>
      </c>
      <c r="AA447" s="1">
        <v>0</v>
      </c>
      <c r="AB447" s="1">
        <v>0</v>
      </c>
      <c r="AC447" s="1">
        <v>1E-3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7.0000000000000001E-3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0.98599999999999999</v>
      </c>
      <c r="BG447" s="1">
        <v>0</v>
      </c>
      <c r="BH447" s="1">
        <v>1E-3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1E-3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-1.191032198</v>
      </c>
      <c r="CN447" s="83">
        <v>-45.0760997</v>
      </c>
    </row>
    <row r="448" spans="1:92" s="3" customFormat="1" x14ac:dyDescent="0.25">
      <c r="A448" s="72">
        <v>476</v>
      </c>
      <c r="B448" s="81" t="s">
        <v>1485</v>
      </c>
      <c r="C448" s="1" t="s">
        <v>83</v>
      </c>
      <c r="D448" s="1" t="s">
        <v>73</v>
      </c>
      <c r="E448" s="1" t="s">
        <v>74</v>
      </c>
      <c r="F448" s="1" t="s">
        <v>128</v>
      </c>
      <c r="G448" s="1" t="s">
        <v>188</v>
      </c>
      <c r="H448" s="1" t="s">
        <v>570</v>
      </c>
      <c r="I448" s="1"/>
      <c r="J448" s="9" t="s">
        <v>544</v>
      </c>
      <c r="K448" s="10">
        <v>0.61638949999999904</v>
      </c>
      <c r="L448" s="1" t="s">
        <v>76</v>
      </c>
      <c r="M448" s="1" t="s">
        <v>506</v>
      </c>
      <c r="N448" s="1" t="s">
        <v>645</v>
      </c>
      <c r="O448" s="1" t="s">
        <v>55</v>
      </c>
      <c r="P448" s="82">
        <v>0.997</v>
      </c>
      <c r="Q448" s="1" t="s">
        <v>76</v>
      </c>
      <c r="R448" s="81" t="s">
        <v>316</v>
      </c>
      <c r="S448" s="1">
        <v>3</v>
      </c>
      <c r="T448" s="1" t="s">
        <v>78</v>
      </c>
      <c r="U448" s="1" t="s">
        <v>658</v>
      </c>
      <c r="V448" s="1" t="s">
        <v>655</v>
      </c>
      <c r="W448" s="1">
        <v>68</v>
      </c>
      <c r="X448" s="1" t="s">
        <v>76</v>
      </c>
      <c r="Y448" s="1" t="s">
        <v>645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2E-3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0.997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32.28248937</v>
      </c>
      <c r="CN448" s="83">
        <v>43.187144609999997</v>
      </c>
    </row>
    <row r="449" spans="1:92" s="3" customFormat="1" x14ac:dyDescent="0.25">
      <c r="A449" s="72">
        <v>477</v>
      </c>
      <c r="B449" s="81" t="s">
        <v>1537</v>
      </c>
      <c r="C449" s="1" t="s">
        <v>83</v>
      </c>
      <c r="D449" s="1" t="s">
        <v>73</v>
      </c>
      <c r="E449" s="1" t="s">
        <v>74</v>
      </c>
      <c r="F449" s="1" t="s">
        <v>128</v>
      </c>
      <c r="G449" s="1" t="s">
        <v>186</v>
      </c>
      <c r="H449" s="1" t="s">
        <v>570</v>
      </c>
      <c r="I449" s="1"/>
      <c r="J449" s="9" t="s">
        <v>544</v>
      </c>
      <c r="K449" s="10">
        <v>0.572210833333333</v>
      </c>
      <c r="L449" s="1" t="s">
        <v>76</v>
      </c>
      <c r="M449" s="1" t="s">
        <v>506</v>
      </c>
      <c r="N449" s="1" t="s">
        <v>645</v>
      </c>
      <c r="O449" s="1" t="s">
        <v>55</v>
      </c>
      <c r="P449" s="82">
        <v>0.999</v>
      </c>
      <c r="Q449" s="1" t="s">
        <v>76</v>
      </c>
      <c r="R449" s="81" t="s">
        <v>183</v>
      </c>
      <c r="S449" s="1">
        <v>3</v>
      </c>
      <c r="T449" s="1" t="s">
        <v>78</v>
      </c>
      <c r="U449" s="1" t="s">
        <v>658</v>
      </c>
      <c r="V449" s="1" t="s">
        <v>655</v>
      </c>
      <c r="W449" s="1">
        <v>68</v>
      </c>
      <c r="X449" s="1" t="s">
        <v>76</v>
      </c>
      <c r="Y449" s="1" t="s">
        <v>645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0.999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43.320236289999997</v>
      </c>
      <c r="CN449" s="83">
        <v>34.480349599999997</v>
      </c>
    </row>
    <row r="450" spans="1:92" s="3" customFormat="1" x14ac:dyDescent="0.25">
      <c r="A450" s="72">
        <v>478</v>
      </c>
      <c r="B450" s="81" t="s">
        <v>1538</v>
      </c>
      <c r="C450" s="1" t="s">
        <v>83</v>
      </c>
      <c r="D450" s="1" t="s">
        <v>73</v>
      </c>
      <c r="E450" s="1" t="s">
        <v>99</v>
      </c>
      <c r="F450" s="1" t="s">
        <v>128</v>
      </c>
      <c r="G450" s="1" t="s">
        <v>303</v>
      </c>
      <c r="H450" s="1" t="s">
        <v>570</v>
      </c>
      <c r="I450" s="1"/>
      <c r="J450" s="9" t="s">
        <v>544</v>
      </c>
      <c r="K450" s="10">
        <v>0.57743</v>
      </c>
      <c r="L450" s="1" t="s">
        <v>76</v>
      </c>
      <c r="M450" s="1" t="s">
        <v>506</v>
      </c>
      <c r="N450" s="1" t="s">
        <v>645</v>
      </c>
      <c r="O450" s="1" t="s">
        <v>55</v>
      </c>
      <c r="P450" s="82">
        <v>0.996</v>
      </c>
      <c r="Q450" s="1" t="s">
        <v>76</v>
      </c>
      <c r="R450" s="81" t="s">
        <v>87</v>
      </c>
      <c r="S450" s="1">
        <v>3</v>
      </c>
      <c r="T450" s="1" t="s">
        <v>78</v>
      </c>
      <c r="U450" s="1" t="s">
        <v>658</v>
      </c>
      <c r="V450" s="1" t="s">
        <v>654</v>
      </c>
      <c r="W450" s="1">
        <v>20</v>
      </c>
      <c r="X450" s="1" t="s">
        <v>76</v>
      </c>
      <c r="Y450" s="1" t="s">
        <v>645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0.996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65.591602409999993</v>
      </c>
      <c r="CN450" s="83">
        <v>-4.0180791200000003</v>
      </c>
    </row>
    <row r="451" spans="1:92" s="3" customFormat="1" x14ac:dyDescent="0.25">
      <c r="A451" s="72">
        <v>479</v>
      </c>
      <c r="B451" s="81" t="s">
        <v>1542</v>
      </c>
      <c r="C451" s="1" t="s">
        <v>83</v>
      </c>
      <c r="D451" s="1" t="s">
        <v>73</v>
      </c>
      <c r="E451" s="1" t="s">
        <v>99</v>
      </c>
      <c r="F451" s="1" t="s">
        <v>128</v>
      </c>
      <c r="G451" s="1" t="s">
        <v>168</v>
      </c>
      <c r="H451" s="1" t="s">
        <v>534</v>
      </c>
      <c r="I451" s="1"/>
      <c r="J451" s="9" t="s">
        <v>506</v>
      </c>
      <c r="K451" s="10">
        <v>0.63310483333333301</v>
      </c>
      <c r="L451" s="1" t="s">
        <v>641</v>
      </c>
      <c r="M451" s="1" t="s">
        <v>76</v>
      </c>
      <c r="N451" s="1" t="s">
        <v>644</v>
      </c>
      <c r="O451" s="1" t="s">
        <v>55</v>
      </c>
      <c r="P451" s="82">
        <v>0.39100000000000001</v>
      </c>
      <c r="Q451" s="1" t="s">
        <v>76</v>
      </c>
      <c r="R451" s="81" t="s">
        <v>169</v>
      </c>
      <c r="S451" s="1">
        <v>3</v>
      </c>
      <c r="T451" s="1" t="s">
        <v>120</v>
      </c>
      <c r="U451" s="1" t="s">
        <v>658</v>
      </c>
      <c r="V451" s="1" t="s">
        <v>655</v>
      </c>
      <c r="W451" s="1">
        <v>37</v>
      </c>
      <c r="X451" s="1" t="s">
        <v>76</v>
      </c>
      <c r="Y451" s="1" t="s">
        <v>644</v>
      </c>
      <c r="Z451" s="1">
        <v>1E-3</v>
      </c>
      <c r="AA451" s="1">
        <v>4.0000000000000001E-3</v>
      </c>
      <c r="AB451" s="1">
        <v>4.0000000000000001E-3</v>
      </c>
      <c r="AC451" s="1">
        <v>0.03</v>
      </c>
      <c r="AD451" s="1">
        <v>3.0000000000000001E-3</v>
      </c>
      <c r="AE451" s="1">
        <v>4.0000000000000001E-3</v>
      </c>
      <c r="AF451" s="1">
        <v>4.0000000000000001E-3</v>
      </c>
      <c r="AG451" s="1">
        <v>1E-3</v>
      </c>
      <c r="AH451" s="1">
        <v>0.01</v>
      </c>
      <c r="AI451" s="1">
        <v>1E-3</v>
      </c>
      <c r="AJ451" s="1">
        <v>2E-3</v>
      </c>
      <c r="AK451" s="1">
        <v>1.7999999999999999E-2</v>
      </c>
      <c r="AL451" s="1">
        <v>2E-3</v>
      </c>
      <c r="AM451" s="1">
        <v>2E-3</v>
      </c>
      <c r="AN451" s="1">
        <v>3.0000000000000001E-3</v>
      </c>
      <c r="AO451" s="1">
        <v>4.1000000000000002E-2</v>
      </c>
      <c r="AP451" s="1">
        <v>3.0000000000000001E-3</v>
      </c>
      <c r="AQ451" s="1">
        <v>2E-3</v>
      </c>
      <c r="AR451" s="1">
        <v>2E-3</v>
      </c>
      <c r="AS451" s="1">
        <v>1.6E-2</v>
      </c>
      <c r="AT451" s="1">
        <v>1.4999999999999999E-2</v>
      </c>
      <c r="AU451" s="1">
        <v>4.0000000000000001E-3</v>
      </c>
      <c r="AV451" s="1">
        <v>2E-3</v>
      </c>
      <c r="AW451" s="1">
        <v>8.9999999999999993E-3</v>
      </c>
      <c r="AX451" s="1">
        <v>3.0000000000000001E-3</v>
      </c>
      <c r="AY451" s="1">
        <v>8.0000000000000002E-3</v>
      </c>
      <c r="AZ451" s="1">
        <v>8.0000000000000002E-3</v>
      </c>
      <c r="BA451" s="1">
        <v>7.0000000000000007E-2</v>
      </c>
      <c r="BB451" s="1">
        <v>5.0000000000000001E-3</v>
      </c>
      <c r="BC451" s="1">
        <v>2E-3</v>
      </c>
      <c r="BD451" s="1">
        <v>2.1999999999999999E-2</v>
      </c>
      <c r="BE451" s="1">
        <v>4.0000000000000001E-3</v>
      </c>
      <c r="BF451" s="1">
        <v>1E-3</v>
      </c>
      <c r="BG451" s="1">
        <v>4.0000000000000001E-3</v>
      </c>
      <c r="BH451" s="1">
        <v>2E-3</v>
      </c>
      <c r="BI451" s="1">
        <v>3.0000000000000001E-3</v>
      </c>
      <c r="BJ451" s="1">
        <v>1E-3</v>
      </c>
      <c r="BK451" s="1">
        <v>2E-3</v>
      </c>
      <c r="BL451" s="1">
        <v>0.01</v>
      </c>
      <c r="BM451" s="1">
        <v>4.0000000000000001E-3</v>
      </c>
      <c r="BN451" s="1">
        <v>8.9999999999999993E-3</v>
      </c>
      <c r="BO451" s="1">
        <v>2E-3</v>
      </c>
      <c r="BP451" s="1">
        <v>1E-3</v>
      </c>
      <c r="BQ451" s="1">
        <v>4.3999999999999997E-2</v>
      </c>
      <c r="BR451" s="1">
        <v>4.0000000000000001E-3</v>
      </c>
      <c r="BS451" s="1">
        <v>2E-3</v>
      </c>
      <c r="BT451" s="1">
        <v>2E-3</v>
      </c>
      <c r="BU451" s="1">
        <v>2E-3</v>
      </c>
      <c r="BV451" s="1">
        <v>4.0000000000000001E-3</v>
      </c>
      <c r="BW451" s="1">
        <v>7.0000000000000001E-3</v>
      </c>
      <c r="BX451" s="1">
        <v>0.39100000000000001</v>
      </c>
      <c r="BY451" s="1">
        <v>1.0999999999999999E-2</v>
      </c>
      <c r="BZ451" s="1">
        <v>0.01</v>
      </c>
      <c r="CA451" s="1">
        <v>7.0000000000000001E-3</v>
      </c>
      <c r="CB451" s="1">
        <v>4.0000000000000001E-3</v>
      </c>
      <c r="CC451" s="1">
        <v>1.9E-2</v>
      </c>
      <c r="CD451" s="1">
        <v>1E-3</v>
      </c>
      <c r="CE451" s="1">
        <v>4.0000000000000001E-3</v>
      </c>
      <c r="CF451" s="1">
        <v>3.0000000000000001E-3</v>
      </c>
      <c r="CG451" s="1">
        <v>1.4999999999999999E-2</v>
      </c>
      <c r="CH451" s="1">
        <v>1.4E-2</v>
      </c>
      <c r="CI451" s="1">
        <v>6.0000000000000001E-3</v>
      </c>
      <c r="CJ451" s="1">
        <v>6.2E-2</v>
      </c>
      <c r="CK451" s="1">
        <v>2.7E-2</v>
      </c>
      <c r="CL451" s="1">
        <v>1.4E-2</v>
      </c>
      <c r="CM451" s="1">
        <v>-59.126810229999997</v>
      </c>
      <c r="CN451" s="83">
        <v>34.461157790000001</v>
      </c>
    </row>
    <row r="452" spans="1:92" s="3" customFormat="1" x14ac:dyDescent="0.25">
      <c r="A452" s="72">
        <v>480</v>
      </c>
      <c r="B452" s="81" t="s">
        <v>1547</v>
      </c>
      <c r="C452" s="1" t="s">
        <v>83</v>
      </c>
      <c r="D452" s="1" t="s">
        <v>73</v>
      </c>
      <c r="E452" s="1" t="s">
        <v>74</v>
      </c>
      <c r="F452" s="1" t="s">
        <v>128</v>
      </c>
      <c r="G452" s="1" t="s">
        <v>307</v>
      </c>
      <c r="H452" s="1" t="s">
        <v>570</v>
      </c>
      <c r="I452" s="1"/>
      <c r="J452" s="9" t="s">
        <v>544</v>
      </c>
      <c r="K452" s="10">
        <v>0.54895000000000005</v>
      </c>
      <c r="L452" s="1" t="s">
        <v>76</v>
      </c>
      <c r="M452" s="1" t="s">
        <v>506</v>
      </c>
      <c r="N452" s="1" t="s">
        <v>645</v>
      </c>
      <c r="O452" s="1" t="s">
        <v>55</v>
      </c>
      <c r="P452" s="82">
        <v>0.999</v>
      </c>
      <c r="Q452" s="1" t="s">
        <v>76</v>
      </c>
      <c r="R452" s="81" t="s">
        <v>87</v>
      </c>
      <c r="S452" s="1">
        <v>3</v>
      </c>
      <c r="T452" s="1" t="s">
        <v>78</v>
      </c>
      <c r="U452" s="1" t="s">
        <v>659</v>
      </c>
      <c r="V452" s="1" t="s">
        <v>655</v>
      </c>
      <c r="W452" s="1">
        <v>14</v>
      </c>
      <c r="X452" s="1" t="s">
        <v>76</v>
      </c>
      <c r="Y452" s="1" t="s">
        <v>645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0.999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24.78236776</v>
      </c>
      <c r="CN452" s="83">
        <v>29.492577780000001</v>
      </c>
    </row>
    <row r="453" spans="1:92" s="3" customFormat="1" x14ac:dyDescent="0.25">
      <c r="A453" s="72">
        <v>481</v>
      </c>
      <c r="B453" s="81" t="s">
        <v>1489</v>
      </c>
      <c r="C453" s="1" t="s">
        <v>83</v>
      </c>
      <c r="D453" s="1" t="s">
        <v>73</v>
      </c>
      <c r="E453" s="1" t="s">
        <v>99</v>
      </c>
      <c r="F453" s="1" t="s">
        <v>667</v>
      </c>
      <c r="G453" s="1" t="s">
        <v>76</v>
      </c>
      <c r="H453" s="1" t="s">
        <v>317</v>
      </c>
      <c r="I453" s="1"/>
      <c r="J453" s="9" t="s">
        <v>506</v>
      </c>
      <c r="K453" s="10">
        <v>0.28617716666666698</v>
      </c>
      <c r="L453" s="1" t="s">
        <v>631</v>
      </c>
      <c r="M453" s="1" t="s">
        <v>506</v>
      </c>
      <c r="N453" s="1" t="s">
        <v>647</v>
      </c>
      <c r="O453" s="1" t="s">
        <v>37</v>
      </c>
      <c r="P453" s="82">
        <v>0.999</v>
      </c>
      <c r="Q453" s="1" t="s">
        <v>76</v>
      </c>
      <c r="R453" s="81" t="s">
        <v>169</v>
      </c>
      <c r="S453" s="1">
        <v>2</v>
      </c>
      <c r="T453" s="1" t="s">
        <v>120</v>
      </c>
      <c r="U453" s="1" t="s">
        <v>658</v>
      </c>
      <c r="V453" s="1" t="s">
        <v>655</v>
      </c>
      <c r="W453" s="1">
        <v>51</v>
      </c>
      <c r="X453" s="1" t="s">
        <v>76</v>
      </c>
      <c r="Y453" s="1" t="s">
        <v>647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1E-3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0.999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-22.25903838</v>
      </c>
      <c r="CN453" s="83">
        <v>-55.379812399999999</v>
      </c>
    </row>
    <row r="454" spans="1:92" s="3" customFormat="1" x14ac:dyDescent="0.25">
      <c r="A454" s="72">
        <v>482</v>
      </c>
      <c r="B454" s="81" t="s">
        <v>1560</v>
      </c>
      <c r="C454" s="1" t="s">
        <v>83</v>
      </c>
      <c r="D454" s="1" t="s">
        <v>73</v>
      </c>
      <c r="E454" s="1" t="s">
        <v>99</v>
      </c>
      <c r="F454" s="1" t="s">
        <v>128</v>
      </c>
      <c r="G454" s="1" t="s">
        <v>1705</v>
      </c>
      <c r="H454" s="1" t="s">
        <v>570</v>
      </c>
      <c r="I454" s="1"/>
      <c r="J454" s="9" t="s">
        <v>544</v>
      </c>
      <c r="K454" s="10">
        <v>0.45874399999999999</v>
      </c>
      <c r="L454" s="1" t="s">
        <v>76</v>
      </c>
      <c r="M454" s="1" t="s">
        <v>506</v>
      </c>
      <c r="N454" s="1" t="s">
        <v>645</v>
      </c>
      <c r="O454" s="1" t="s">
        <v>55</v>
      </c>
      <c r="P454" s="82">
        <v>0.97099999999999997</v>
      </c>
      <c r="Q454" s="1" t="s">
        <v>76</v>
      </c>
      <c r="R454" s="81" t="s">
        <v>293</v>
      </c>
      <c r="S454" s="1">
        <v>3</v>
      </c>
      <c r="T454" s="1" t="s">
        <v>78</v>
      </c>
      <c r="U454" s="1" t="s">
        <v>660</v>
      </c>
      <c r="V454" s="1" t="s">
        <v>655</v>
      </c>
      <c r="W454" s="1">
        <v>10</v>
      </c>
      <c r="X454" s="1" t="s">
        <v>76</v>
      </c>
      <c r="Y454" s="1" t="s">
        <v>645</v>
      </c>
      <c r="Z454" s="1">
        <v>0</v>
      </c>
      <c r="AA454" s="1">
        <v>0</v>
      </c>
      <c r="AB454" s="1">
        <v>0</v>
      </c>
      <c r="AC454" s="1">
        <v>2E-3</v>
      </c>
      <c r="AD454" s="1">
        <v>2E-3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1E-3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1E-3</v>
      </c>
      <c r="BA454" s="1">
        <v>1E-3</v>
      </c>
      <c r="BB454" s="1">
        <v>0</v>
      </c>
      <c r="BC454" s="1">
        <v>0</v>
      </c>
      <c r="BD454" s="1">
        <v>1E-3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1E-3</v>
      </c>
      <c r="BO454" s="1">
        <v>0</v>
      </c>
      <c r="BP454" s="1">
        <v>0</v>
      </c>
      <c r="BQ454" s="1">
        <v>1E-3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0.97099999999999997</v>
      </c>
      <c r="BY454" s="1">
        <v>1E-3</v>
      </c>
      <c r="BZ454" s="1">
        <v>1E-3</v>
      </c>
      <c r="CA454" s="1">
        <v>0</v>
      </c>
      <c r="CB454" s="1">
        <v>1E-3</v>
      </c>
      <c r="CC454" s="1">
        <v>1E-3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1E-3</v>
      </c>
      <c r="CK454" s="1">
        <v>8.0000000000000002E-3</v>
      </c>
      <c r="CL454" s="1">
        <v>1E-3</v>
      </c>
      <c r="CM454" s="1">
        <v>72.699725979999997</v>
      </c>
      <c r="CN454" s="83">
        <v>21.020042409999999</v>
      </c>
    </row>
    <row r="455" spans="1:92" s="3" customFormat="1" x14ac:dyDescent="0.25">
      <c r="A455" s="72">
        <v>483</v>
      </c>
      <c r="B455" s="81" t="s">
        <v>1563</v>
      </c>
      <c r="C455" s="1" t="s">
        <v>83</v>
      </c>
      <c r="D455" s="1" t="s">
        <v>73</v>
      </c>
      <c r="E455" s="1" t="s">
        <v>74</v>
      </c>
      <c r="F455" s="1" t="s">
        <v>128</v>
      </c>
      <c r="G455" s="1" t="s">
        <v>318</v>
      </c>
      <c r="H455" s="1" t="s">
        <v>570</v>
      </c>
      <c r="I455" s="1"/>
      <c r="J455" s="9" t="s">
        <v>544</v>
      </c>
      <c r="K455" s="10">
        <v>0.404671</v>
      </c>
      <c r="L455" s="1" t="s">
        <v>76</v>
      </c>
      <c r="M455" s="1" t="s">
        <v>506</v>
      </c>
      <c r="N455" s="1" t="s">
        <v>645</v>
      </c>
      <c r="O455" s="1" t="s">
        <v>55</v>
      </c>
      <c r="P455" s="82">
        <v>0.96299999999999997</v>
      </c>
      <c r="Q455" s="1" t="s">
        <v>76</v>
      </c>
      <c r="R455" s="81" t="s">
        <v>293</v>
      </c>
      <c r="S455" s="1">
        <v>3</v>
      </c>
      <c r="T455" s="1" t="s">
        <v>78</v>
      </c>
      <c r="U455" s="1" t="s">
        <v>658</v>
      </c>
      <c r="V455" s="1" t="s">
        <v>655</v>
      </c>
      <c r="W455" s="1">
        <v>74</v>
      </c>
      <c r="X455" s="1" t="s">
        <v>76</v>
      </c>
      <c r="Y455" s="1" t="s">
        <v>645</v>
      </c>
      <c r="Z455" s="1">
        <v>0</v>
      </c>
      <c r="AA455" s="1">
        <v>0</v>
      </c>
      <c r="AB455" s="1">
        <v>0</v>
      </c>
      <c r="AC455" s="1">
        <v>1E-3</v>
      </c>
      <c r="AD455" s="1">
        <v>0</v>
      </c>
      <c r="AE455" s="1">
        <v>1E-3</v>
      </c>
      <c r="AF455" s="1">
        <v>0</v>
      </c>
      <c r="AG455" s="1">
        <v>0</v>
      </c>
      <c r="AH455" s="1">
        <v>1E-3</v>
      </c>
      <c r="AI455" s="1">
        <v>0</v>
      </c>
      <c r="AJ455" s="1">
        <v>1E-3</v>
      </c>
      <c r="AK455" s="1">
        <v>1E-3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1E-3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1E-3</v>
      </c>
      <c r="BB455" s="1">
        <v>1.2E-2</v>
      </c>
      <c r="BC455" s="1">
        <v>0</v>
      </c>
      <c r="BD455" s="1">
        <v>1E-3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1E-3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7.0000000000000001E-3</v>
      </c>
      <c r="BW455" s="1">
        <v>0</v>
      </c>
      <c r="BX455" s="1">
        <v>0.96299999999999997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3.0000000000000001E-3</v>
      </c>
      <c r="CL455" s="1">
        <v>0</v>
      </c>
      <c r="CM455" s="1">
        <v>-7.9928826820000003</v>
      </c>
      <c r="CN455" s="83">
        <v>-6.0692602830000002</v>
      </c>
    </row>
    <row r="456" spans="1:92" s="3" customFormat="1" x14ac:dyDescent="0.25">
      <c r="A456" s="72">
        <v>484</v>
      </c>
      <c r="B456" s="81" t="s">
        <v>1587</v>
      </c>
      <c r="C456" s="1" t="s">
        <v>83</v>
      </c>
      <c r="D456" s="1" t="s">
        <v>73</v>
      </c>
      <c r="E456" s="1" t="s">
        <v>74</v>
      </c>
      <c r="F456" s="1" t="s">
        <v>128</v>
      </c>
      <c r="G456" s="1" t="s">
        <v>318</v>
      </c>
      <c r="H456" s="1" t="s">
        <v>570</v>
      </c>
      <c r="I456" s="1"/>
      <c r="J456" s="9" t="s">
        <v>544</v>
      </c>
      <c r="K456" s="10">
        <v>0.41069066666666798</v>
      </c>
      <c r="L456" s="1" t="s">
        <v>76</v>
      </c>
      <c r="M456" s="1" t="s">
        <v>506</v>
      </c>
      <c r="N456" s="1" t="s">
        <v>645</v>
      </c>
      <c r="O456" s="1" t="s">
        <v>55</v>
      </c>
      <c r="P456" s="82">
        <v>1</v>
      </c>
      <c r="Q456" s="1" t="s">
        <v>76</v>
      </c>
      <c r="R456" s="81" t="s">
        <v>87</v>
      </c>
      <c r="S456" s="1">
        <v>3</v>
      </c>
      <c r="T456" s="1" t="s">
        <v>78</v>
      </c>
      <c r="U456" s="1" t="s">
        <v>658</v>
      </c>
      <c r="V456" s="1" t="s">
        <v>655</v>
      </c>
      <c r="W456" s="1">
        <v>9</v>
      </c>
      <c r="X456" s="1" t="s">
        <v>76</v>
      </c>
      <c r="Y456" s="1" t="s">
        <v>645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1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29.23551363</v>
      </c>
      <c r="CN456" s="83">
        <v>6.5724064750000002</v>
      </c>
    </row>
    <row r="457" spans="1:92" s="3" customFormat="1" x14ac:dyDescent="0.25">
      <c r="A457" s="72">
        <v>485</v>
      </c>
      <c r="B457" s="81" t="s">
        <v>1590</v>
      </c>
      <c r="C457" s="1" t="s">
        <v>83</v>
      </c>
      <c r="D457" s="1" t="s">
        <v>73</v>
      </c>
      <c r="E457" s="1" t="s">
        <v>74</v>
      </c>
      <c r="F457" s="1" t="s">
        <v>128</v>
      </c>
      <c r="G457" s="1" t="s">
        <v>319</v>
      </c>
      <c r="H457" s="1" t="s">
        <v>570</v>
      </c>
      <c r="I457" s="1"/>
      <c r="J457" s="9" t="s">
        <v>544</v>
      </c>
      <c r="K457" s="10">
        <v>0.44357316666666602</v>
      </c>
      <c r="L457" s="1" t="s">
        <v>76</v>
      </c>
      <c r="M457" s="1" t="s">
        <v>506</v>
      </c>
      <c r="N457" s="1" t="s">
        <v>645</v>
      </c>
      <c r="O457" s="1" t="s">
        <v>55</v>
      </c>
      <c r="P457" s="82">
        <v>0.97799999999999998</v>
      </c>
      <c r="Q457" s="1" t="s">
        <v>76</v>
      </c>
      <c r="R457" s="81" t="s">
        <v>77</v>
      </c>
      <c r="S457" s="1">
        <v>3</v>
      </c>
      <c r="T457" s="1" t="s">
        <v>78</v>
      </c>
      <c r="U457" s="1" t="s">
        <v>658</v>
      </c>
      <c r="V457" s="1" t="s">
        <v>655</v>
      </c>
      <c r="W457" s="1">
        <v>12</v>
      </c>
      <c r="X457" s="1" t="s">
        <v>76</v>
      </c>
      <c r="Y457" s="1" t="s">
        <v>645</v>
      </c>
      <c r="Z457" s="1">
        <v>0</v>
      </c>
      <c r="AA457" s="1">
        <v>0</v>
      </c>
      <c r="AB457" s="1">
        <v>0</v>
      </c>
      <c r="AC457" s="1">
        <v>1E-3</v>
      </c>
      <c r="AD457" s="1">
        <v>0</v>
      </c>
      <c r="AE457" s="1">
        <v>0</v>
      </c>
      <c r="AF457" s="1">
        <v>0</v>
      </c>
      <c r="AG457" s="1">
        <v>0</v>
      </c>
      <c r="AH457" s="1">
        <v>1E-3</v>
      </c>
      <c r="AI457" s="1">
        <v>0</v>
      </c>
      <c r="AJ457" s="1">
        <v>1E-3</v>
      </c>
      <c r="AK457" s="1">
        <v>1E-3</v>
      </c>
      <c r="AL457" s="1">
        <v>0</v>
      </c>
      <c r="AM457" s="1">
        <v>0</v>
      </c>
      <c r="AN457" s="1">
        <v>1E-3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6.0000000000000001E-3</v>
      </c>
      <c r="BC457" s="1">
        <v>0</v>
      </c>
      <c r="BD457" s="1">
        <v>1E-3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1E-3</v>
      </c>
      <c r="BW457" s="1">
        <v>0</v>
      </c>
      <c r="BX457" s="1">
        <v>0.97799999999999998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1E-3</v>
      </c>
      <c r="CL457" s="1">
        <v>0</v>
      </c>
      <c r="CM457" s="1">
        <v>8.2698488399999999</v>
      </c>
      <c r="CN457" s="83">
        <v>20.80641718</v>
      </c>
    </row>
    <row r="458" spans="1:92" s="3" customFormat="1" x14ac:dyDescent="0.25">
      <c r="A458" s="72">
        <v>486</v>
      </c>
      <c r="B458" s="81" t="s">
        <v>1597</v>
      </c>
      <c r="C458" s="1" t="s">
        <v>83</v>
      </c>
      <c r="D458" s="1" t="s">
        <v>73</v>
      </c>
      <c r="E458" s="1" t="s">
        <v>74</v>
      </c>
      <c r="F458" s="1" t="s">
        <v>128</v>
      </c>
      <c r="G458" s="1" t="s">
        <v>176</v>
      </c>
      <c r="H458" s="1" t="s">
        <v>535</v>
      </c>
      <c r="I458" s="1"/>
      <c r="J458" s="9" t="s">
        <v>506</v>
      </c>
      <c r="K458" s="10">
        <v>0.50725700000000096</v>
      </c>
      <c r="L458" s="1" t="s">
        <v>618</v>
      </c>
      <c r="M458" s="1" t="s">
        <v>506</v>
      </c>
      <c r="N458" s="1" t="s">
        <v>648</v>
      </c>
      <c r="O458" s="1" t="s">
        <v>55</v>
      </c>
      <c r="P458" s="82">
        <v>0.99099999999999999</v>
      </c>
      <c r="Q458" s="1" t="s">
        <v>76</v>
      </c>
      <c r="R458" s="81" t="s">
        <v>77</v>
      </c>
      <c r="S458" s="1">
        <v>2</v>
      </c>
      <c r="T458" s="1" t="s">
        <v>78</v>
      </c>
      <c r="U458" s="1" t="s">
        <v>658</v>
      </c>
      <c r="V458" s="1" t="s">
        <v>655</v>
      </c>
      <c r="W458" s="1">
        <v>21</v>
      </c>
      <c r="X458" s="1" t="s">
        <v>76</v>
      </c>
      <c r="Y458" s="1" t="s">
        <v>648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2E-3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0.99099999999999999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7.87073044</v>
      </c>
      <c r="CN458" s="83">
        <v>23.30651198</v>
      </c>
    </row>
    <row r="459" spans="1:92" s="3" customFormat="1" x14ac:dyDescent="0.25">
      <c r="A459" s="72">
        <v>487</v>
      </c>
      <c r="B459" s="81" t="s">
        <v>1557</v>
      </c>
      <c r="C459" s="1" t="s">
        <v>83</v>
      </c>
      <c r="D459" s="1" t="s">
        <v>73</v>
      </c>
      <c r="E459" s="1" t="s">
        <v>99</v>
      </c>
      <c r="F459" s="1" t="s">
        <v>128</v>
      </c>
      <c r="G459" s="1" t="s">
        <v>168</v>
      </c>
      <c r="H459" s="1" t="s">
        <v>534</v>
      </c>
      <c r="I459" s="1"/>
      <c r="J459" s="9" t="s">
        <v>506</v>
      </c>
      <c r="K459" s="10">
        <v>0.47607533333333402</v>
      </c>
      <c r="L459" s="1" t="s">
        <v>641</v>
      </c>
      <c r="M459" s="1" t="s">
        <v>76</v>
      </c>
      <c r="N459" s="1" t="s">
        <v>644</v>
      </c>
      <c r="O459" s="1" t="s">
        <v>68</v>
      </c>
      <c r="P459" s="82">
        <v>0.88200000000000001</v>
      </c>
      <c r="Q459" s="1" t="s">
        <v>76</v>
      </c>
      <c r="R459" s="81" t="s">
        <v>169</v>
      </c>
      <c r="S459" s="1">
        <v>3</v>
      </c>
      <c r="T459" s="1" t="s">
        <v>120</v>
      </c>
      <c r="U459" s="1" t="s">
        <v>658</v>
      </c>
      <c r="V459" s="1" t="s">
        <v>655</v>
      </c>
      <c r="W459" s="1">
        <v>46</v>
      </c>
      <c r="X459" s="1" t="s">
        <v>76</v>
      </c>
      <c r="Y459" s="1" t="s">
        <v>644</v>
      </c>
      <c r="Z459" s="1">
        <v>2E-3</v>
      </c>
      <c r="AA459" s="1">
        <v>1E-3</v>
      </c>
      <c r="AB459" s="1">
        <v>1E-3</v>
      </c>
      <c r="AC459" s="1">
        <v>2E-3</v>
      </c>
      <c r="AD459" s="1">
        <v>1E-3</v>
      </c>
      <c r="AE459" s="1">
        <v>1E-3</v>
      </c>
      <c r="AF459" s="1">
        <v>1E-3</v>
      </c>
      <c r="AG459" s="1">
        <v>0</v>
      </c>
      <c r="AH459" s="1">
        <v>2E-3</v>
      </c>
      <c r="AI459" s="1">
        <v>0</v>
      </c>
      <c r="AJ459" s="1">
        <v>1E-3</v>
      </c>
      <c r="AK459" s="1">
        <v>1E-3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7.0000000000000001E-3</v>
      </c>
      <c r="AS459" s="1">
        <v>2E-3</v>
      </c>
      <c r="AT459" s="1">
        <v>1E-3</v>
      </c>
      <c r="AU459" s="1">
        <v>1.2999999999999999E-2</v>
      </c>
      <c r="AV459" s="1">
        <v>1E-3</v>
      </c>
      <c r="AW459" s="1">
        <v>1E-3</v>
      </c>
      <c r="AX459" s="1">
        <v>3.0000000000000001E-3</v>
      </c>
      <c r="AY459" s="1">
        <v>1E-3</v>
      </c>
      <c r="AZ459" s="1">
        <v>1E-3</v>
      </c>
      <c r="BA459" s="1">
        <v>2E-3</v>
      </c>
      <c r="BB459" s="1">
        <v>1E-3</v>
      </c>
      <c r="BC459" s="1">
        <v>0</v>
      </c>
      <c r="BD459" s="1">
        <v>2E-3</v>
      </c>
      <c r="BE459" s="1">
        <v>1E-3</v>
      </c>
      <c r="BF459" s="1">
        <v>1E-3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1E-3</v>
      </c>
      <c r="BM459" s="1">
        <v>0</v>
      </c>
      <c r="BN459" s="1">
        <v>1E-3</v>
      </c>
      <c r="BO459" s="1">
        <v>4.0000000000000001E-3</v>
      </c>
      <c r="BP459" s="1">
        <v>2E-3</v>
      </c>
      <c r="BQ459" s="1">
        <v>1E-3</v>
      </c>
      <c r="BR459" s="1">
        <v>1E-3</v>
      </c>
      <c r="BS459" s="1">
        <v>2.8000000000000001E-2</v>
      </c>
      <c r="BT459" s="1">
        <v>0</v>
      </c>
      <c r="BU459" s="1">
        <v>1E-3</v>
      </c>
      <c r="BV459" s="1">
        <v>1E-3</v>
      </c>
      <c r="BW459" s="1">
        <v>1E-3</v>
      </c>
      <c r="BX459" s="1">
        <v>1.2E-2</v>
      </c>
      <c r="BY459" s="1">
        <v>1E-3</v>
      </c>
      <c r="BZ459" s="1">
        <v>2E-3</v>
      </c>
      <c r="CA459" s="1">
        <v>1E-3</v>
      </c>
      <c r="CB459" s="1">
        <v>1E-3</v>
      </c>
      <c r="CC459" s="1">
        <v>1E-3</v>
      </c>
      <c r="CD459" s="1">
        <v>0</v>
      </c>
      <c r="CE459" s="1">
        <v>1E-3</v>
      </c>
      <c r="CF459" s="1">
        <v>1E-3</v>
      </c>
      <c r="CG459" s="1">
        <v>1E-3</v>
      </c>
      <c r="CH459" s="1">
        <v>1E-3</v>
      </c>
      <c r="CI459" s="1">
        <v>1E-3</v>
      </c>
      <c r="CJ459" s="1">
        <v>1E-3</v>
      </c>
      <c r="CK459" s="1">
        <v>0.88200000000000001</v>
      </c>
      <c r="CL459" s="1">
        <v>2E-3</v>
      </c>
      <c r="CM459" s="1">
        <v>55.958180849999998</v>
      </c>
      <c r="CN459" s="83">
        <v>-53.660642340000003</v>
      </c>
    </row>
    <row r="460" spans="1:92" s="3" customFormat="1" x14ac:dyDescent="0.25">
      <c r="A460" s="72">
        <v>488</v>
      </c>
      <c r="B460" s="81" t="s">
        <v>1678</v>
      </c>
      <c r="C460" s="1" t="s">
        <v>83</v>
      </c>
      <c r="D460" s="1" t="s">
        <v>73</v>
      </c>
      <c r="E460" s="1" t="s">
        <v>99</v>
      </c>
      <c r="F460" s="1" t="s">
        <v>128</v>
      </c>
      <c r="G460" s="1" t="s">
        <v>166</v>
      </c>
      <c r="H460" s="1" t="s">
        <v>535</v>
      </c>
      <c r="I460" s="1"/>
      <c r="J460" s="9" t="s">
        <v>506</v>
      </c>
      <c r="K460" s="10">
        <v>0.409018833333334</v>
      </c>
      <c r="L460" s="1" t="s">
        <v>641</v>
      </c>
      <c r="M460" s="1" t="s">
        <v>76</v>
      </c>
      <c r="N460" s="1" t="s">
        <v>644</v>
      </c>
      <c r="O460" s="1" t="s">
        <v>68</v>
      </c>
      <c r="P460" s="82">
        <v>0.59599999999999997</v>
      </c>
      <c r="Q460" s="1" t="s">
        <v>76</v>
      </c>
      <c r="R460" s="81" t="s">
        <v>87</v>
      </c>
      <c r="S460" s="1">
        <v>1</v>
      </c>
      <c r="T460" s="1" t="s">
        <v>78</v>
      </c>
      <c r="U460" s="1" t="s">
        <v>658</v>
      </c>
      <c r="V460" s="1" t="s">
        <v>655</v>
      </c>
      <c r="W460" s="1">
        <v>39</v>
      </c>
      <c r="X460" s="1" t="s">
        <v>167</v>
      </c>
      <c r="Y460" s="1" t="s">
        <v>644</v>
      </c>
      <c r="Z460" s="1">
        <v>6.0000000000000001E-3</v>
      </c>
      <c r="AA460" s="1">
        <v>3.0000000000000001E-3</v>
      </c>
      <c r="AB460" s="1">
        <v>2E-3</v>
      </c>
      <c r="AC460" s="1">
        <v>3.0000000000000001E-3</v>
      </c>
      <c r="AD460" s="1">
        <v>3.0000000000000001E-3</v>
      </c>
      <c r="AE460" s="1">
        <v>5.0000000000000001E-3</v>
      </c>
      <c r="AF460" s="1">
        <v>3.0000000000000001E-3</v>
      </c>
      <c r="AG460" s="1">
        <v>0</v>
      </c>
      <c r="AH460" s="1">
        <v>5.0000000000000001E-3</v>
      </c>
      <c r="AI460" s="1">
        <v>1E-3</v>
      </c>
      <c r="AJ460" s="1">
        <v>2.8000000000000001E-2</v>
      </c>
      <c r="AK460" s="1">
        <v>3.0000000000000001E-3</v>
      </c>
      <c r="AL460" s="1">
        <v>0</v>
      </c>
      <c r="AM460" s="1">
        <v>2E-3</v>
      </c>
      <c r="AN460" s="1">
        <v>7.0000000000000001E-3</v>
      </c>
      <c r="AO460" s="1">
        <v>1E-3</v>
      </c>
      <c r="AP460" s="1">
        <v>1E-3</v>
      </c>
      <c r="AQ460" s="1">
        <v>1E-3</v>
      </c>
      <c r="AR460" s="1">
        <v>3.1E-2</v>
      </c>
      <c r="AS460" s="1">
        <v>4.0000000000000001E-3</v>
      </c>
      <c r="AT460" s="1">
        <v>2E-3</v>
      </c>
      <c r="AU460" s="1">
        <v>0.01</v>
      </c>
      <c r="AV460" s="1">
        <v>2E-3</v>
      </c>
      <c r="AW460" s="1">
        <v>2E-3</v>
      </c>
      <c r="AX460" s="1">
        <v>8.0000000000000002E-3</v>
      </c>
      <c r="AY460" s="1">
        <v>3.0000000000000001E-3</v>
      </c>
      <c r="AZ460" s="1">
        <v>5.0000000000000001E-3</v>
      </c>
      <c r="BA460" s="1">
        <v>5.0000000000000001E-3</v>
      </c>
      <c r="BB460" s="1">
        <v>1.2E-2</v>
      </c>
      <c r="BC460" s="1">
        <v>1E-3</v>
      </c>
      <c r="BD460" s="1">
        <v>7.0000000000000001E-3</v>
      </c>
      <c r="BE460" s="1">
        <v>1E-3</v>
      </c>
      <c r="BF460" s="1">
        <v>2E-3</v>
      </c>
      <c r="BG460" s="1">
        <v>1E-3</v>
      </c>
      <c r="BH460" s="1">
        <v>1E-3</v>
      </c>
      <c r="BI460" s="1">
        <v>1E-3</v>
      </c>
      <c r="BJ460" s="1">
        <v>2E-3</v>
      </c>
      <c r="BK460" s="1">
        <v>1E-3</v>
      </c>
      <c r="BL460" s="1">
        <v>2E-3</v>
      </c>
      <c r="BM460" s="1">
        <v>1E-3</v>
      </c>
      <c r="BN460" s="1">
        <v>1E-3</v>
      </c>
      <c r="BO460" s="1">
        <v>5.0999999999999997E-2</v>
      </c>
      <c r="BP460" s="1">
        <v>4.0000000000000001E-3</v>
      </c>
      <c r="BQ460" s="1">
        <v>3.0000000000000001E-3</v>
      </c>
      <c r="BR460" s="1">
        <v>1E-3</v>
      </c>
      <c r="BS460" s="1">
        <v>0.04</v>
      </c>
      <c r="BT460" s="1">
        <v>1E-3</v>
      </c>
      <c r="BU460" s="1">
        <v>3.0000000000000001E-3</v>
      </c>
      <c r="BV460" s="1">
        <v>6.0000000000000001E-3</v>
      </c>
      <c r="BW460" s="1">
        <v>2E-3</v>
      </c>
      <c r="BX460" s="1">
        <v>5.0999999999999997E-2</v>
      </c>
      <c r="BY460" s="1">
        <v>3.0000000000000001E-3</v>
      </c>
      <c r="BZ460" s="1">
        <v>6.0000000000000001E-3</v>
      </c>
      <c r="CA460" s="1">
        <v>2E-3</v>
      </c>
      <c r="CB460" s="1">
        <v>1E-3</v>
      </c>
      <c r="CC460" s="1">
        <v>2E-3</v>
      </c>
      <c r="CD460" s="1">
        <v>0</v>
      </c>
      <c r="CE460" s="1">
        <v>2E-3</v>
      </c>
      <c r="CF460" s="1">
        <v>1E-3</v>
      </c>
      <c r="CG460" s="1">
        <v>2E-3</v>
      </c>
      <c r="CH460" s="1">
        <v>3.0000000000000001E-3</v>
      </c>
      <c r="CI460" s="1">
        <v>2E-3</v>
      </c>
      <c r="CJ460" s="1">
        <v>2E-3</v>
      </c>
      <c r="CK460" s="1">
        <v>0.59599999999999997</v>
      </c>
      <c r="CL460" s="1">
        <v>3.5000000000000003E-2</v>
      </c>
      <c r="CM460" s="1">
        <v>-1.696704035</v>
      </c>
      <c r="CN460" s="83">
        <v>20.76877601</v>
      </c>
    </row>
    <row r="461" spans="1:92" s="3" customFormat="1" x14ac:dyDescent="0.25">
      <c r="A461" s="72">
        <v>489</v>
      </c>
      <c r="B461" s="81" t="s">
        <v>1601</v>
      </c>
      <c r="C461" s="1" t="s">
        <v>83</v>
      </c>
      <c r="D461" s="1" t="s">
        <v>73</v>
      </c>
      <c r="E461" s="1" t="s">
        <v>99</v>
      </c>
      <c r="F461" s="1" t="s">
        <v>128</v>
      </c>
      <c r="G461" s="1" t="s">
        <v>303</v>
      </c>
      <c r="H461" s="1" t="s">
        <v>570</v>
      </c>
      <c r="I461" s="1"/>
      <c r="J461" s="9" t="s">
        <v>544</v>
      </c>
      <c r="K461" s="10">
        <v>0.52715516666666695</v>
      </c>
      <c r="L461" s="1" t="s">
        <v>76</v>
      </c>
      <c r="M461" s="1" t="s">
        <v>506</v>
      </c>
      <c r="N461" s="1" t="s">
        <v>645</v>
      </c>
      <c r="O461" s="1" t="s">
        <v>55</v>
      </c>
      <c r="P461" s="82">
        <v>0.98199999999999998</v>
      </c>
      <c r="Q461" s="1" t="s">
        <v>76</v>
      </c>
      <c r="R461" s="81" t="s">
        <v>87</v>
      </c>
      <c r="S461" s="1">
        <v>3</v>
      </c>
      <c r="T461" s="1" t="s">
        <v>78</v>
      </c>
      <c r="U461" s="1" t="s">
        <v>658</v>
      </c>
      <c r="V461" s="1" t="s">
        <v>655</v>
      </c>
      <c r="W461" s="1">
        <v>74</v>
      </c>
      <c r="X461" s="1" t="s">
        <v>170</v>
      </c>
      <c r="Y461" s="1" t="s">
        <v>645</v>
      </c>
      <c r="Z461" s="1">
        <v>0</v>
      </c>
      <c r="AA461" s="1">
        <v>0</v>
      </c>
      <c r="AB461" s="1">
        <v>0</v>
      </c>
      <c r="AC461" s="1">
        <v>1E-3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1E-3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1E-3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2E-3</v>
      </c>
      <c r="BC461" s="1">
        <v>0</v>
      </c>
      <c r="BD461" s="1">
        <v>1E-3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3.0000000000000001E-3</v>
      </c>
      <c r="BW461" s="1">
        <v>0</v>
      </c>
      <c r="BX461" s="1">
        <v>0.98199999999999998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1E-3</v>
      </c>
      <c r="CK461" s="1">
        <v>2E-3</v>
      </c>
      <c r="CL461" s="1">
        <v>0</v>
      </c>
      <c r="CM461" s="1">
        <v>68.394004129999999</v>
      </c>
      <c r="CN461" s="83">
        <v>25.397379839999999</v>
      </c>
    </row>
    <row r="462" spans="1:92" s="3" customFormat="1" x14ac:dyDescent="0.25">
      <c r="A462" s="72">
        <v>490</v>
      </c>
      <c r="B462" s="81" t="s">
        <v>1483</v>
      </c>
      <c r="C462" s="1" t="s">
        <v>83</v>
      </c>
      <c r="D462" s="1" t="s">
        <v>73</v>
      </c>
      <c r="E462" s="1" t="s">
        <v>74</v>
      </c>
      <c r="F462" s="1" t="s">
        <v>128</v>
      </c>
      <c r="G462" s="1" t="s">
        <v>303</v>
      </c>
      <c r="H462" s="1" t="s">
        <v>570</v>
      </c>
      <c r="I462" s="1"/>
      <c r="J462" s="9" t="s">
        <v>544</v>
      </c>
      <c r="K462" s="10">
        <v>0.34978716666666698</v>
      </c>
      <c r="L462" s="1" t="s">
        <v>76</v>
      </c>
      <c r="M462" s="1" t="s">
        <v>506</v>
      </c>
      <c r="N462" s="1" t="s">
        <v>645</v>
      </c>
      <c r="O462" s="1" t="s">
        <v>55</v>
      </c>
      <c r="P462" s="82">
        <v>0.99099999999999999</v>
      </c>
      <c r="Q462" s="1" t="s">
        <v>76</v>
      </c>
      <c r="R462" s="81" t="s">
        <v>243</v>
      </c>
      <c r="S462" s="1">
        <v>3</v>
      </c>
      <c r="T462" s="1" t="s">
        <v>78</v>
      </c>
      <c r="U462" s="1" t="s">
        <v>658</v>
      </c>
      <c r="V462" s="1" t="s">
        <v>655</v>
      </c>
      <c r="W462" s="1">
        <v>11</v>
      </c>
      <c r="X462" s="1" t="s">
        <v>76</v>
      </c>
      <c r="Y462" s="1" t="s">
        <v>645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0.99099999999999999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2E-3</v>
      </c>
      <c r="CL462" s="1">
        <v>0</v>
      </c>
      <c r="CM462" s="1">
        <v>18.469381909999999</v>
      </c>
      <c r="CN462" s="83">
        <v>7.8726303169999996</v>
      </c>
    </row>
    <row r="463" spans="1:92" s="3" customFormat="1" x14ac:dyDescent="0.25">
      <c r="A463" s="72">
        <v>491</v>
      </c>
      <c r="B463" s="81" t="s">
        <v>1417</v>
      </c>
      <c r="C463" s="1" t="s">
        <v>83</v>
      </c>
      <c r="D463" s="1" t="s">
        <v>73</v>
      </c>
      <c r="E463" s="1" t="s">
        <v>99</v>
      </c>
      <c r="F463" s="1" t="s">
        <v>128</v>
      </c>
      <c r="G463" s="1" t="s">
        <v>182</v>
      </c>
      <c r="H463" s="1" t="s">
        <v>570</v>
      </c>
      <c r="I463" s="1"/>
      <c r="J463" s="9" t="s">
        <v>544</v>
      </c>
      <c r="K463" s="10">
        <v>0.42548566666666698</v>
      </c>
      <c r="L463" s="1" t="s">
        <v>76</v>
      </c>
      <c r="M463" s="1" t="s">
        <v>506</v>
      </c>
      <c r="N463" s="1" t="s">
        <v>645</v>
      </c>
      <c r="O463" s="1" t="s">
        <v>55</v>
      </c>
      <c r="P463" s="82">
        <v>1</v>
      </c>
      <c r="Q463" s="1" t="s">
        <v>76</v>
      </c>
      <c r="R463" s="81" t="s">
        <v>87</v>
      </c>
      <c r="S463" s="1">
        <v>3</v>
      </c>
      <c r="T463" s="1" t="s">
        <v>78</v>
      </c>
      <c r="U463" s="1" t="s">
        <v>658</v>
      </c>
      <c r="V463" s="1" t="s">
        <v>655</v>
      </c>
      <c r="W463" s="1">
        <v>24</v>
      </c>
      <c r="X463" s="1" t="s">
        <v>76</v>
      </c>
      <c r="Y463" s="1" t="s">
        <v>645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1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63.016779999999997</v>
      </c>
      <c r="CN463" s="83">
        <v>17.750834869999998</v>
      </c>
    </row>
    <row r="464" spans="1:92" s="3" customFormat="1" x14ac:dyDescent="0.25">
      <c r="A464" s="72">
        <v>492</v>
      </c>
      <c r="B464" s="81" t="s">
        <v>1532</v>
      </c>
      <c r="C464" s="1" t="s">
        <v>83</v>
      </c>
      <c r="D464" s="1" t="s">
        <v>73</v>
      </c>
      <c r="E464" s="1" t="s">
        <v>74</v>
      </c>
      <c r="F464" s="1" t="s">
        <v>128</v>
      </c>
      <c r="G464" s="1" t="s">
        <v>303</v>
      </c>
      <c r="H464" s="1" t="s">
        <v>570</v>
      </c>
      <c r="I464" s="1"/>
      <c r="J464" s="9" t="s">
        <v>544</v>
      </c>
      <c r="K464" s="10">
        <v>0.45715866666666699</v>
      </c>
      <c r="L464" s="1" t="s">
        <v>76</v>
      </c>
      <c r="M464" s="1" t="s">
        <v>506</v>
      </c>
      <c r="N464" s="1" t="s">
        <v>645</v>
      </c>
      <c r="O464" s="1" t="s">
        <v>55</v>
      </c>
      <c r="P464" s="82">
        <v>0.997</v>
      </c>
      <c r="Q464" s="1" t="s">
        <v>76</v>
      </c>
      <c r="R464" s="81" t="s">
        <v>87</v>
      </c>
      <c r="S464" s="1">
        <v>3</v>
      </c>
      <c r="T464" s="1" t="s">
        <v>78</v>
      </c>
      <c r="U464" s="1" t="s">
        <v>658</v>
      </c>
      <c r="V464" s="1" t="s">
        <v>655</v>
      </c>
      <c r="W464" s="1">
        <v>12</v>
      </c>
      <c r="X464" s="1" t="s">
        <v>76</v>
      </c>
      <c r="Y464" s="1" t="s">
        <v>645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0.997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48.918806859999997</v>
      </c>
      <c r="CN464" s="83">
        <v>25.701512439999998</v>
      </c>
    </row>
    <row r="465" spans="1:92" s="3" customFormat="1" x14ac:dyDescent="0.25">
      <c r="A465" s="72">
        <v>493</v>
      </c>
      <c r="B465" s="81" t="s">
        <v>1514</v>
      </c>
      <c r="C465" s="1" t="s">
        <v>83</v>
      </c>
      <c r="D465" s="1" t="s">
        <v>73</v>
      </c>
      <c r="E465" s="1" t="s">
        <v>99</v>
      </c>
      <c r="F465" s="1" t="s">
        <v>128</v>
      </c>
      <c r="G465" s="1" t="s">
        <v>320</v>
      </c>
      <c r="H465" s="1" t="s">
        <v>570</v>
      </c>
      <c r="I465" s="1"/>
      <c r="J465" s="9" t="s">
        <v>544</v>
      </c>
      <c r="K465" s="10">
        <v>0.62779149999999995</v>
      </c>
      <c r="L465" s="1" t="s">
        <v>641</v>
      </c>
      <c r="M465" s="1" t="s">
        <v>76</v>
      </c>
      <c r="N465" s="1" t="s">
        <v>649</v>
      </c>
      <c r="O465" s="1" t="s">
        <v>55</v>
      </c>
      <c r="P465" s="82">
        <v>0.70499999999999996</v>
      </c>
      <c r="Q465" s="1" t="s">
        <v>76</v>
      </c>
      <c r="R465" s="81" t="s">
        <v>87</v>
      </c>
      <c r="S465" s="1">
        <v>3</v>
      </c>
      <c r="T465" s="1" t="s">
        <v>78</v>
      </c>
      <c r="U465" s="1" t="s">
        <v>659</v>
      </c>
      <c r="V465" s="1" t="s">
        <v>655</v>
      </c>
      <c r="W465" s="1">
        <v>31</v>
      </c>
      <c r="X465" s="1" t="s">
        <v>76</v>
      </c>
      <c r="Y465" s="1" t="s">
        <v>649</v>
      </c>
      <c r="Z465" s="1">
        <v>1E-3</v>
      </c>
      <c r="AA465" s="1">
        <v>3.0000000000000001E-3</v>
      </c>
      <c r="AB465" s="1">
        <v>1E-3</v>
      </c>
      <c r="AC465" s="1">
        <v>7.0000000000000001E-3</v>
      </c>
      <c r="AD465" s="1">
        <v>2E-3</v>
      </c>
      <c r="AE465" s="1">
        <v>1E-3</v>
      </c>
      <c r="AF465" s="1">
        <v>2E-3</v>
      </c>
      <c r="AG465" s="1">
        <v>0</v>
      </c>
      <c r="AH465" s="1">
        <v>4.0000000000000001E-3</v>
      </c>
      <c r="AI465" s="1">
        <v>1E-3</v>
      </c>
      <c r="AJ465" s="1">
        <v>1E-3</v>
      </c>
      <c r="AK465" s="1">
        <v>3.0000000000000001E-3</v>
      </c>
      <c r="AL465" s="1">
        <v>3.0000000000000001E-3</v>
      </c>
      <c r="AM465" s="1">
        <v>1E-3</v>
      </c>
      <c r="AN465" s="1">
        <v>1E-3</v>
      </c>
      <c r="AO465" s="1">
        <v>2E-3</v>
      </c>
      <c r="AP465" s="1">
        <v>1E-3</v>
      </c>
      <c r="AQ465" s="1">
        <v>1E-3</v>
      </c>
      <c r="AR465" s="1">
        <v>2E-3</v>
      </c>
      <c r="AS465" s="1">
        <v>5.0000000000000001E-3</v>
      </c>
      <c r="AT465" s="1">
        <v>3.0000000000000001E-3</v>
      </c>
      <c r="AU465" s="1">
        <v>2.5999999999999999E-2</v>
      </c>
      <c r="AV465" s="1">
        <v>1E-3</v>
      </c>
      <c r="AW465" s="1">
        <v>3.0000000000000001E-3</v>
      </c>
      <c r="AX465" s="1">
        <v>5.0000000000000001E-3</v>
      </c>
      <c r="AY465" s="1">
        <v>3.0000000000000001E-3</v>
      </c>
      <c r="AZ465" s="1">
        <v>3.0000000000000001E-3</v>
      </c>
      <c r="BA465" s="1">
        <v>5.0000000000000001E-3</v>
      </c>
      <c r="BB465" s="1">
        <v>2E-3</v>
      </c>
      <c r="BC465" s="1">
        <v>1E-3</v>
      </c>
      <c r="BD465" s="1">
        <v>5.0000000000000001E-3</v>
      </c>
      <c r="BE465" s="1">
        <v>1E-3</v>
      </c>
      <c r="BF465" s="1">
        <v>1E-3</v>
      </c>
      <c r="BG465" s="1">
        <v>2E-3</v>
      </c>
      <c r="BH465" s="1">
        <v>1E-3</v>
      </c>
      <c r="BI465" s="1">
        <v>1E-3</v>
      </c>
      <c r="BJ465" s="1">
        <v>1E-3</v>
      </c>
      <c r="BK465" s="1">
        <v>1E-3</v>
      </c>
      <c r="BL465" s="1">
        <v>8.0000000000000002E-3</v>
      </c>
      <c r="BM465" s="1">
        <v>2E-3</v>
      </c>
      <c r="BN465" s="1">
        <v>4.0000000000000001E-3</v>
      </c>
      <c r="BO465" s="1">
        <v>1E-3</v>
      </c>
      <c r="BP465" s="1">
        <v>1E-3</v>
      </c>
      <c r="BQ465" s="1">
        <v>1.2E-2</v>
      </c>
      <c r="BR465" s="1">
        <v>2E-3</v>
      </c>
      <c r="BS465" s="1">
        <v>7.0000000000000001E-3</v>
      </c>
      <c r="BT465" s="1">
        <v>1E-3</v>
      </c>
      <c r="BU465" s="1">
        <v>1E-3</v>
      </c>
      <c r="BV465" s="1">
        <v>1E-3</v>
      </c>
      <c r="BW465" s="1">
        <v>2E-3</v>
      </c>
      <c r="BX465" s="1">
        <v>0.70499999999999996</v>
      </c>
      <c r="BY465" s="1">
        <v>5.0000000000000001E-3</v>
      </c>
      <c r="BZ465" s="1">
        <v>8.9999999999999993E-3</v>
      </c>
      <c r="CA465" s="1">
        <v>3.0000000000000001E-3</v>
      </c>
      <c r="CB465" s="1">
        <v>1E-3</v>
      </c>
      <c r="CC465" s="1">
        <v>3.0000000000000001E-3</v>
      </c>
      <c r="CD465" s="1">
        <v>0</v>
      </c>
      <c r="CE465" s="1">
        <v>2E-3</v>
      </c>
      <c r="CF465" s="1">
        <v>1E-3</v>
      </c>
      <c r="CG465" s="1">
        <v>3.0000000000000001E-3</v>
      </c>
      <c r="CH465" s="1">
        <v>3.0000000000000001E-3</v>
      </c>
      <c r="CI465" s="1">
        <v>2E-3</v>
      </c>
      <c r="CJ465" s="1">
        <v>4.0000000000000001E-3</v>
      </c>
      <c r="CK465" s="1">
        <v>0.107</v>
      </c>
      <c r="CL465" s="1">
        <v>6.0000000000000001E-3</v>
      </c>
      <c r="CM465" s="1">
        <v>70.336925550000004</v>
      </c>
      <c r="CN465" s="83">
        <v>-7.4418266529999997</v>
      </c>
    </row>
    <row r="466" spans="1:92" s="3" customFormat="1" x14ac:dyDescent="0.25">
      <c r="A466" s="72">
        <v>494</v>
      </c>
      <c r="B466" s="81" t="s">
        <v>1594</v>
      </c>
      <c r="C466" s="1" t="s">
        <v>83</v>
      </c>
      <c r="D466" s="1" t="s">
        <v>73</v>
      </c>
      <c r="E466" s="1" t="s">
        <v>99</v>
      </c>
      <c r="F466" s="1" t="s">
        <v>128</v>
      </c>
      <c r="G466" s="1" t="s">
        <v>303</v>
      </c>
      <c r="H466" s="1" t="s">
        <v>570</v>
      </c>
      <c r="I466" s="1"/>
      <c r="J466" s="9" t="s">
        <v>544</v>
      </c>
      <c r="K466" s="10">
        <v>0.40029583333333302</v>
      </c>
      <c r="L466" s="1" t="s">
        <v>76</v>
      </c>
      <c r="M466" s="1" t="s">
        <v>506</v>
      </c>
      <c r="N466" s="1" t="s">
        <v>645</v>
      </c>
      <c r="O466" s="1" t="s">
        <v>55</v>
      </c>
      <c r="P466" s="82">
        <v>1</v>
      </c>
      <c r="Q466" s="1" t="s">
        <v>76</v>
      </c>
      <c r="R466" s="81" t="s">
        <v>217</v>
      </c>
      <c r="S466" s="1">
        <v>3</v>
      </c>
      <c r="T466" s="1" t="s">
        <v>78</v>
      </c>
      <c r="U466" s="1" t="s">
        <v>660</v>
      </c>
      <c r="V466" s="1" t="s">
        <v>655</v>
      </c>
      <c r="W466" s="1">
        <v>15</v>
      </c>
      <c r="X466" s="1" t="s">
        <v>76</v>
      </c>
      <c r="Y466" s="1" t="s">
        <v>645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1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31.029791700000001</v>
      </c>
      <c r="CN466" s="83">
        <v>6.984296713</v>
      </c>
    </row>
    <row r="467" spans="1:92" s="3" customFormat="1" x14ac:dyDescent="0.25">
      <c r="A467" s="72">
        <v>495</v>
      </c>
      <c r="B467" s="81" t="s">
        <v>1609</v>
      </c>
      <c r="C467" s="1" t="s">
        <v>83</v>
      </c>
      <c r="D467" s="1" t="s">
        <v>73</v>
      </c>
      <c r="E467" s="1" t="s">
        <v>99</v>
      </c>
      <c r="F467" s="1" t="s">
        <v>128</v>
      </c>
      <c r="G467" s="1" t="s">
        <v>321</v>
      </c>
      <c r="H467" s="1" t="s">
        <v>535</v>
      </c>
      <c r="I467" s="1"/>
      <c r="J467" s="9" t="s">
        <v>506</v>
      </c>
      <c r="K467" s="10">
        <v>0.46148900000000098</v>
      </c>
      <c r="L467" s="1" t="s">
        <v>641</v>
      </c>
      <c r="M467" s="1" t="s">
        <v>76</v>
      </c>
      <c r="N467" s="1" t="s">
        <v>644</v>
      </c>
      <c r="O467" s="1" t="s">
        <v>68</v>
      </c>
      <c r="P467" s="82">
        <v>0.14699999999999999</v>
      </c>
      <c r="Q467" s="1" t="s">
        <v>76</v>
      </c>
      <c r="R467" s="81" t="s">
        <v>243</v>
      </c>
      <c r="S467" s="1">
        <v>2</v>
      </c>
      <c r="T467" s="1" t="s">
        <v>78</v>
      </c>
      <c r="U467" s="1" t="s">
        <v>658</v>
      </c>
      <c r="V467" s="1" t="s">
        <v>655</v>
      </c>
      <c r="W467" s="1">
        <v>19</v>
      </c>
      <c r="X467" s="1" t="s">
        <v>76</v>
      </c>
      <c r="Y467" s="1" t="s">
        <v>644</v>
      </c>
      <c r="Z467" s="1">
        <v>2E-3</v>
      </c>
      <c r="AA467" s="1">
        <v>7.0000000000000001E-3</v>
      </c>
      <c r="AB467" s="1">
        <v>6.0000000000000001E-3</v>
      </c>
      <c r="AC467" s="1">
        <v>4.9000000000000002E-2</v>
      </c>
      <c r="AD467" s="1">
        <v>4.0000000000000001E-3</v>
      </c>
      <c r="AE467" s="1">
        <v>8.9999999999999993E-3</v>
      </c>
      <c r="AF467" s="1">
        <v>5.0000000000000001E-3</v>
      </c>
      <c r="AG467" s="1">
        <v>1E-3</v>
      </c>
      <c r="AH467" s="1">
        <v>2.1000000000000001E-2</v>
      </c>
      <c r="AI467" s="1">
        <v>2E-3</v>
      </c>
      <c r="AJ467" s="1">
        <v>2E-3</v>
      </c>
      <c r="AK467" s="1">
        <v>4.5999999999999999E-2</v>
      </c>
      <c r="AL467" s="1">
        <v>1E-3</v>
      </c>
      <c r="AM467" s="1">
        <v>3.0000000000000001E-3</v>
      </c>
      <c r="AN467" s="1">
        <v>3.0000000000000001E-3</v>
      </c>
      <c r="AO467" s="1">
        <v>5.3999999999999999E-2</v>
      </c>
      <c r="AP467" s="1">
        <v>6.0000000000000001E-3</v>
      </c>
      <c r="AQ467" s="1">
        <v>4.0000000000000001E-3</v>
      </c>
      <c r="AR467" s="1">
        <v>3.0000000000000001E-3</v>
      </c>
      <c r="AS467" s="1">
        <v>5.8000000000000003E-2</v>
      </c>
      <c r="AT467" s="1">
        <v>2.4E-2</v>
      </c>
      <c r="AU467" s="1">
        <v>6.0000000000000001E-3</v>
      </c>
      <c r="AV467" s="1">
        <v>3.0000000000000001E-3</v>
      </c>
      <c r="AW467" s="1">
        <v>1.2999999999999999E-2</v>
      </c>
      <c r="AX467" s="1">
        <v>4.0000000000000001E-3</v>
      </c>
      <c r="AY467" s="1">
        <v>8.0000000000000002E-3</v>
      </c>
      <c r="AZ467" s="1">
        <v>8.0000000000000002E-3</v>
      </c>
      <c r="BA467" s="1">
        <v>2.5999999999999999E-2</v>
      </c>
      <c r="BB467" s="1">
        <v>3.2000000000000001E-2</v>
      </c>
      <c r="BC467" s="1">
        <v>3.0000000000000001E-3</v>
      </c>
      <c r="BD467" s="1">
        <v>3.4000000000000002E-2</v>
      </c>
      <c r="BE467" s="1">
        <v>4.0000000000000001E-3</v>
      </c>
      <c r="BF467" s="1">
        <v>2E-3</v>
      </c>
      <c r="BG467" s="1">
        <v>8.0000000000000002E-3</v>
      </c>
      <c r="BH467" s="1">
        <v>8.0000000000000002E-3</v>
      </c>
      <c r="BI467" s="1">
        <v>7.0000000000000001E-3</v>
      </c>
      <c r="BJ467" s="1">
        <v>2E-3</v>
      </c>
      <c r="BK467" s="1">
        <v>3.0000000000000001E-3</v>
      </c>
      <c r="BL467" s="1">
        <v>1.0999999999999999E-2</v>
      </c>
      <c r="BM467" s="1">
        <v>6.0000000000000001E-3</v>
      </c>
      <c r="BN467" s="1">
        <v>1.2E-2</v>
      </c>
      <c r="BO467" s="1">
        <v>3.0000000000000001E-3</v>
      </c>
      <c r="BP467" s="1">
        <v>2E-3</v>
      </c>
      <c r="BQ467" s="1">
        <v>1.4E-2</v>
      </c>
      <c r="BR467" s="1">
        <v>6.0000000000000001E-3</v>
      </c>
      <c r="BS467" s="1">
        <v>3.0000000000000001E-3</v>
      </c>
      <c r="BT467" s="1">
        <v>3.0000000000000001E-3</v>
      </c>
      <c r="BU467" s="1">
        <v>2E-3</v>
      </c>
      <c r="BV467" s="1">
        <v>7.0000000000000007E-2</v>
      </c>
      <c r="BW467" s="1">
        <v>0.01</v>
      </c>
      <c r="BX467" s="1">
        <v>3.9E-2</v>
      </c>
      <c r="BY467" s="1">
        <v>1.7000000000000001E-2</v>
      </c>
      <c r="BZ467" s="1">
        <v>8.0000000000000002E-3</v>
      </c>
      <c r="CA467" s="1">
        <v>5.0000000000000001E-3</v>
      </c>
      <c r="CB467" s="1">
        <v>1E-3</v>
      </c>
      <c r="CC467" s="1">
        <v>6.0000000000000001E-3</v>
      </c>
      <c r="CD467" s="1">
        <v>1E-3</v>
      </c>
      <c r="CE467" s="1">
        <v>4.0000000000000001E-3</v>
      </c>
      <c r="CF467" s="1">
        <v>7.0000000000000001E-3</v>
      </c>
      <c r="CG467" s="1">
        <v>2.5000000000000001E-2</v>
      </c>
      <c r="CH467" s="1">
        <v>4.4999999999999998E-2</v>
      </c>
      <c r="CI467" s="1">
        <v>1.6E-2</v>
      </c>
      <c r="CJ467" s="1">
        <v>4.2000000000000003E-2</v>
      </c>
      <c r="CK467" s="1">
        <v>0.14699999999999999</v>
      </c>
      <c r="CL467" s="1">
        <v>1.6E-2</v>
      </c>
      <c r="CM467" s="1">
        <v>-6.9485682029999998</v>
      </c>
      <c r="CN467" s="83">
        <v>-5.0494308009999997</v>
      </c>
    </row>
    <row r="468" spans="1:92" s="3" customFormat="1" x14ac:dyDescent="0.25">
      <c r="A468" s="72">
        <v>496</v>
      </c>
      <c r="B468" s="81" t="s">
        <v>1625</v>
      </c>
      <c r="C468" s="1" t="s">
        <v>83</v>
      </c>
      <c r="D468" s="1" t="s">
        <v>73</v>
      </c>
      <c r="E468" s="1" t="s">
        <v>99</v>
      </c>
      <c r="F468" s="1" t="s">
        <v>128</v>
      </c>
      <c r="G468" s="1" t="s">
        <v>322</v>
      </c>
      <c r="H468" s="1" t="s">
        <v>535</v>
      </c>
      <c r="I468" s="1"/>
      <c r="J468" s="9" t="s">
        <v>506</v>
      </c>
      <c r="K468" s="10">
        <v>0.28791499999999998</v>
      </c>
      <c r="L468" s="1" t="s">
        <v>641</v>
      </c>
      <c r="M468" s="1" t="s">
        <v>76</v>
      </c>
      <c r="N468" s="1" t="s">
        <v>644</v>
      </c>
      <c r="O468" s="1" t="s">
        <v>5</v>
      </c>
      <c r="P468" s="82">
        <v>0.83199999999999996</v>
      </c>
      <c r="Q468" s="1" t="s">
        <v>76</v>
      </c>
      <c r="R468" s="81" t="s">
        <v>81</v>
      </c>
      <c r="S468" s="1">
        <v>1</v>
      </c>
      <c r="T468" s="1" t="s">
        <v>78</v>
      </c>
      <c r="U468" s="1" t="s">
        <v>658</v>
      </c>
      <c r="V468" s="1" t="s">
        <v>655</v>
      </c>
      <c r="W468" s="1">
        <v>35</v>
      </c>
      <c r="X468" s="1" t="s">
        <v>434</v>
      </c>
      <c r="Y468" s="1" t="s">
        <v>644</v>
      </c>
      <c r="Z468" s="1">
        <v>0.83199999999999996</v>
      </c>
      <c r="AA468" s="1">
        <v>0</v>
      </c>
      <c r="AB468" s="1">
        <v>0</v>
      </c>
      <c r="AC468" s="1">
        <v>3.0000000000000001E-3</v>
      </c>
      <c r="AD468" s="1">
        <v>1E-3</v>
      </c>
      <c r="AE468" s="1">
        <v>1E-3</v>
      </c>
      <c r="AF468" s="1">
        <v>0</v>
      </c>
      <c r="AG468" s="1">
        <v>0</v>
      </c>
      <c r="AH468" s="1">
        <v>1.4E-2</v>
      </c>
      <c r="AI468" s="1">
        <v>0</v>
      </c>
      <c r="AJ468" s="1">
        <v>1E-3</v>
      </c>
      <c r="AK468" s="1">
        <v>0</v>
      </c>
      <c r="AL468" s="1">
        <v>0</v>
      </c>
      <c r="AM468" s="1">
        <v>1E-3</v>
      </c>
      <c r="AN468" s="1">
        <v>4.9000000000000002E-2</v>
      </c>
      <c r="AO468" s="1">
        <v>0</v>
      </c>
      <c r="AP468" s="1">
        <v>0</v>
      </c>
      <c r="AQ468" s="1">
        <v>0</v>
      </c>
      <c r="AR468" s="1">
        <v>1E-3</v>
      </c>
      <c r="AS468" s="1">
        <v>1E-3</v>
      </c>
      <c r="AT468" s="1">
        <v>0</v>
      </c>
      <c r="AU468" s="1">
        <v>1E-3</v>
      </c>
      <c r="AV468" s="1">
        <v>1E-3</v>
      </c>
      <c r="AW468" s="1">
        <v>0</v>
      </c>
      <c r="AX468" s="1">
        <v>1E-3</v>
      </c>
      <c r="AY468" s="1">
        <v>1E-3</v>
      </c>
      <c r="AZ468" s="1">
        <v>1E-3</v>
      </c>
      <c r="BA468" s="1">
        <v>2E-3</v>
      </c>
      <c r="BB468" s="1">
        <v>0</v>
      </c>
      <c r="BC468" s="1">
        <v>0</v>
      </c>
      <c r="BD468" s="1">
        <v>3.0000000000000001E-3</v>
      </c>
      <c r="BE468" s="1">
        <v>0</v>
      </c>
      <c r="BF468" s="1">
        <v>4.0000000000000001E-3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1E-3</v>
      </c>
      <c r="BS468" s="1">
        <v>1E-3</v>
      </c>
      <c r="BT468" s="1">
        <v>0</v>
      </c>
      <c r="BU468" s="1">
        <v>2E-3</v>
      </c>
      <c r="BV468" s="1">
        <v>0</v>
      </c>
      <c r="BW468" s="1">
        <v>0</v>
      </c>
      <c r="BX468" s="1">
        <v>7.0000000000000001E-3</v>
      </c>
      <c r="BY468" s="1">
        <v>1E-3</v>
      </c>
      <c r="BZ468" s="1">
        <v>1E-3</v>
      </c>
      <c r="CA468" s="1">
        <v>1E-3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1E-3</v>
      </c>
      <c r="CH468" s="1">
        <v>1E-3</v>
      </c>
      <c r="CI468" s="1">
        <v>0</v>
      </c>
      <c r="CJ468" s="1">
        <v>1E-3</v>
      </c>
      <c r="CK468" s="1">
        <v>5.0999999999999997E-2</v>
      </c>
      <c r="CL468" s="1">
        <v>8.0000000000000002E-3</v>
      </c>
      <c r="CM468" s="1">
        <v>-0.49067227299999999</v>
      </c>
      <c r="CN468" s="83">
        <v>-28.068139349999999</v>
      </c>
    </row>
    <row r="469" spans="1:92" s="3" customFormat="1" x14ac:dyDescent="0.25">
      <c r="A469" s="72">
        <v>497</v>
      </c>
      <c r="B469" s="81" t="s">
        <v>1400</v>
      </c>
      <c r="C469" s="1" t="s">
        <v>83</v>
      </c>
      <c r="D469" s="1" t="s">
        <v>73</v>
      </c>
      <c r="E469" s="1" t="s">
        <v>99</v>
      </c>
      <c r="F469" s="1" t="s">
        <v>128</v>
      </c>
      <c r="G469" s="1" t="s">
        <v>250</v>
      </c>
      <c r="H469" s="1" t="s">
        <v>570</v>
      </c>
      <c r="I469" s="1"/>
      <c r="J469" s="9" t="s">
        <v>544</v>
      </c>
      <c r="K469" s="10">
        <v>0.61197716666666702</v>
      </c>
      <c r="L469" s="1" t="s">
        <v>641</v>
      </c>
      <c r="M469" s="1" t="s">
        <v>76</v>
      </c>
      <c r="N469" s="1" t="s">
        <v>649</v>
      </c>
      <c r="O469" s="1" t="s">
        <v>55</v>
      </c>
      <c r="P469" s="82">
        <v>0.249</v>
      </c>
      <c r="Q469" s="1" t="s">
        <v>76</v>
      </c>
      <c r="R469" s="81" t="s">
        <v>77</v>
      </c>
      <c r="S469" s="1">
        <v>3</v>
      </c>
      <c r="T469" s="1" t="s">
        <v>78</v>
      </c>
      <c r="U469" s="1" t="s">
        <v>658</v>
      </c>
      <c r="V469" s="1" t="s">
        <v>655</v>
      </c>
      <c r="W469" s="1">
        <v>48</v>
      </c>
      <c r="X469" s="1" t="s">
        <v>76</v>
      </c>
      <c r="Y469" s="1" t="s">
        <v>649</v>
      </c>
      <c r="Z469" s="1">
        <v>3.0000000000000001E-3</v>
      </c>
      <c r="AA469" s="1">
        <v>7.0000000000000001E-3</v>
      </c>
      <c r="AB469" s="1">
        <v>5.0000000000000001E-3</v>
      </c>
      <c r="AC469" s="1">
        <v>2.1999999999999999E-2</v>
      </c>
      <c r="AD469" s="1">
        <v>5.0000000000000001E-3</v>
      </c>
      <c r="AE469" s="1">
        <v>5.0000000000000001E-3</v>
      </c>
      <c r="AF469" s="1">
        <v>6.0000000000000001E-3</v>
      </c>
      <c r="AG469" s="1">
        <v>1E-3</v>
      </c>
      <c r="AH469" s="1">
        <v>1.2E-2</v>
      </c>
      <c r="AI469" s="1">
        <v>2E-3</v>
      </c>
      <c r="AJ469" s="1">
        <v>5.0000000000000001E-3</v>
      </c>
      <c r="AK469" s="1">
        <v>1.9E-2</v>
      </c>
      <c r="AL469" s="1">
        <v>2E-3</v>
      </c>
      <c r="AM469" s="1">
        <v>3.0000000000000001E-3</v>
      </c>
      <c r="AN469" s="1">
        <v>4.0000000000000001E-3</v>
      </c>
      <c r="AO469" s="1">
        <v>7.0000000000000001E-3</v>
      </c>
      <c r="AP469" s="1">
        <v>3.0000000000000001E-3</v>
      </c>
      <c r="AQ469" s="1">
        <v>3.0000000000000001E-3</v>
      </c>
      <c r="AR469" s="1">
        <v>7.0000000000000001E-3</v>
      </c>
      <c r="AS469" s="1">
        <v>2.1999999999999999E-2</v>
      </c>
      <c r="AT469" s="1">
        <v>0.01</v>
      </c>
      <c r="AU469" s="1">
        <v>0.12</v>
      </c>
      <c r="AV469" s="1">
        <v>3.0000000000000001E-3</v>
      </c>
      <c r="AW469" s="1">
        <v>7.0000000000000001E-3</v>
      </c>
      <c r="AX469" s="1">
        <v>6.0000000000000001E-3</v>
      </c>
      <c r="AY469" s="1">
        <v>0.01</v>
      </c>
      <c r="AZ469" s="1">
        <v>1.2E-2</v>
      </c>
      <c r="BA469" s="1">
        <v>1.6E-2</v>
      </c>
      <c r="BB469" s="1">
        <v>1.4E-2</v>
      </c>
      <c r="BC469" s="1">
        <v>3.0000000000000001E-3</v>
      </c>
      <c r="BD469" s="1">
        <v>2.3E-2</v>
      </c>
      <c r="BE469" s="1">
        <v>6.0000000000000001E-3</v>
      </c>
      <c r="BF469" s="1">
        <v>2E-3</v>
      </c>
      <c r="BG469" s="1">
        <v>4.0000000000000001E-3</v>
      </c>
      <c r="BH469" s="1">
        <v>3.0000000000000001E-3</v>
      </c>
      <c r="BI469" s="1">
        <v>3.0000000000000001E-3</v>
      </c>
      <c r="BJ469" s="1">
        <v>2E-3</v>
      </c>
      <c r="BK469" s="1">
        <v>4.0000000000000001E-3</v>
      </c>
      <c r="BL469" s="1">
        <v>2.1000000000000001E-2</v>
      </c>
      <c r="BM469" s="1">
        <v>4.0000000000000001E-3</v>
      </c>
      <c r="BN469" s="1">
        <v>8.9999999999999993E-3</v>
      </c>
      <c r="BO469" s="1">
        <v>8.0000000000000002E-3</v>
      </c>
      <c r="BP469" s="1">
        <v>2E-3</v>
      </c>
      <c r="BQ469" s="1">
        <v>2.8000000000000001E-2</v>
      </c>
      <c r="BR469" s="1">
        <v>5.0000000000000001E-3</v>
      </c>
      <c r="BS469" s="1">
        <v>1.7000000000000001E-2</v>
      </c>
      <c r="BT469" s="1">
        <v>3.0000000000000001E-3</v>
      </c>
      <c r="BU469" s="1">
        <v>3.0000000000000001E-3</v>
      </c>
      <c r="BV469" s="1">
        <v>8.0000000000000002E-3</v>
      </c>
      <c r="BW469" s="1">
        <v>7.0000000000000001E-3</v>
      </c>
      <c r="BX469" s="1">
        <v>0.249</v>
      </c>
      <c r="BY469" s="1">
        <v>1.2E-2</v>
      </c>
      <c r="BZ469" s="1">
        <v>1.4999999999999999E-2</v>
      </c>
      <c r="CA469" s="1">
        <v>8.9999999999999993E-3</v>
      </c>
      <c r="CB469" s="1">
        <v>5.0000000000000001E-3</v>
      </c>
      <c r="CC469" s="1">
        <v>1.4999999999999999E-2</v>
      </c>
      <c r="CD469" s="1">
        <v>1E-3</v>
      </c>
      <c r="CE469" s="1">
        <v>4.0000000000000001E-3</v>
      </c>
      <c r="CF469" s="1">
        <v>4.0000000000000001E-3</v>
      </c>
      <c r="CG469" s="1">
        <v>7.0000000000000001E-3</v>
      </c>
      <c r="CH469" s="1">
        <v>8.9999999999999993E-3</v>
      </c>
      <c r="CI469" s="1">
        <v>7.0000000000000001E-3</v>
      </c>
      <c r="CJ469" s="1">
        <v>1.2999999999999999E-2</v>
      </c>
      <c r="CK469" s="1">
        <v>0.13200000000000001</v>
      </c>
      <c r="CL469" s="1">
        <v>1.7000000000000001E-2</v>
      </c>
      <c r="CM469" s="1">
        <v>66.111648489999993</v>
      </c>
      <c r="CN469" s="83">
        <v>-6.2625097439999999</v>
      </c>
    </row>
    <row r="470" spans="1:92" s="3" customFormat="1" x14ac:dyDescent="0.25">
      <c r="A470" s="72">
        <v>498</v>
      </c>
      <c r="B470" s="81" t="s">
        <v>1416</v>
      </c>
      <c r="C470" s="1" t="s">
        <v>83</v>
      </c>
      <c r="D470" s="1" t="s">
        <v>73</v>
      </c>
      <c r="E470" s="1" t="s">
        <v>74</v>
      </c>
      <c r="F470" s="1" t="s">
        <v>128</v>
      </c>
      <c r="G470" s="1" t="s">
        <v>307</v>
      </c>
      <c r="H470" s="1" t="s">
        <v>570</v>
      </c>
      <c r="I470" s="1"/>
      <c r="J470" s="9" t="s">
        <v>544</v>
      </c>
      <c r="K470" s="10">
        <v>0.449056333333333</v>
      </c>
      <c r="L470" s="1" t="s">
        <v>641</v>
      </c>
      <c r="M470" s="1" t="s">
        <v>76</v>
      </c>
      <c r="N470" s="1" t="s">
        <v>649</v>
      </c>
      <c r="O470" s="1" t="s">
        <v>55</v>
      </c>
      <c r="P470" s="82">
        <v>0.69599999999999995</v>
      </c>
      <c r="Q470" s="1" t="s">
        <v>76</v>
      </c>
      <c r="R470" s="81" t="s">
        <v>323</v>
      </c>
      <c r="S470" s="1">
        <v>3</v>
      </c>
      <c r="T470" s="1" t="s">
        <v>78</v>
      </c>
      <c r="U470" s="1" t="s">
        <v>658</v>
      </c>
      <c r="V470" s="1" t="s">
        <v>655</v>
      </c>
      <c r="W470" s="1">
        <v>17</v>
      </c>
      <c r="X470" s="1" t="s">
        <v>76</v>
      </c>
      <c r="Y470" s="1" t="s">
        <v>649</v>
      </c>
      <c r="Z470" s="1">
        <v>2E-3</v>
      </c>
      <c r="AA470" s="1">
        <v>2E-3</v>
      </c>
      <c r="AB470" s="1">
        <v>2E-3</v>
      </c>
      <c r="AC470" s="1">
        <v>3.0000000000000001E-3</v>
      </c>
      <c r="AD470" s="1">
        <v>2E-3</v>
      </c>
      <c r="AE470" s="1">
        <v>4.0000000000000001E-3</v>
      </c>
      <c r="AF470" s="1">
        <v>2E-3</v>
      </c>
      <c r="AG470" s="1">
        <v>0</v>
      </c>
      <c r="AH470" s="1">
        <v>7.0000000000000001E-3</v>
      </c>
      <c r="AI470" s="1">
        <v>1E-3</v>
      </c>
      <c r="AJ470" s="1">
        <v>2.3E-2</v>
      </c>
      <c r="AK470" s="1">
        <v>7.0000000000000001E-3</v>
      </c>
      <c r="AL470" s="1">
        <v>0</v>
      </c>
      <c r="AM470" s="1">
        <v>2E-3</v>
      </c>
      <c r="AN470" s="1">
        <v>2.1999999999999999E-2</v>
      </c>
      <c r="AO470" s="1">
        <v>1E-3</v>
      </c>
      <c r="AP470" s="1">
        <v>1E-3</v>
      </c>
      <c r="AQ470" s="1">
        <v>1E-3</v>
      </c>
      <c r="AR470" s="1">
        <v>5.0000000000000001E-3</v>
      </c>
      <c r="AS470" s="1">
        <v>4.0000000000000001E-3</v>
      </c>
      <c r="AT470" s="1">
        <v>2E-3</v>
      </c>
      <c r="AU470" s="1">
        <v>3.0000000000000001E-3</v>
      </c>
      <c r="AV470" s="1">
        <v>1E-3</v>
      </c>
      <c r="AW470" s="1">
        <v>2E-3</v>
      </c>
      <c r="AX470" s="1">
        <v>3.0000000000000001E-3</v>
      </c>
      <c r="AY470" s="1">
        <v>2E-3</v>
      </c>
      <c r="AZ470" s="1">
        <v>4.0000000000000001E-3</v>
      </c>
      <c r="BA470" s="1">
        <v>5.0000000000000001E-3</v>
      </c>
      <c r="BB470" s="1">
        <v>2.3E-2</v>
      </c>
      <c r="BC470" s="1">
        <v>1E-3</v>
      </c>
      <c r="BD470" s="1">
        <v>7.0000000000000001E-3</v>
      </c>
      <c r="BE470" s="1">
        <v>1E-3</v>
      </c>
      <c r="BF470" s="1">
        <v>1E-3</v>
      </c>
      <c r="BG470" s="1">
        <v>1E-3</v>
      </c>
      <c r="BH470" s="1">
        <v>1E-3</v>
      </c>
      <c r="BI470" s="1">
        <v>1E-3</v>
      </c>
      <c r="BJ470" s="1">
        <v>1E-3</v>
      </c>
      <c r="BK470" s="1">
        <v>1E-3</v>
      </c>
      <c r="BL470" s="1">
        <v>2E-3</v>
      </c>
      <c r="BM470" s="1">
        <v>1E-3</v>
      </c>
      <c r="BN470" s="1">
        <v>2E-3</v>
      </c>
      <c r="BO470" s="1">
        <v>6.0000000000000001E-3</v>
      </c>
      <c r="BP470" s="1">
        <v>1E-3</v>
      </c>
      <c r="BQ470" s="1">
        <v>3.0000000000000001E-3</v>
      </c>
      <c r="BR470" s="1">
        <v>1E-3</v>
      </c>
      <c r="BS470" s="1">
        <v>8.0000000000000002E-3</v>
      </c>
      <c r="BT470" s="1">
        <v>1E-3</v>
      </c>
      <c r="BU470" s="1">
        <v>3.0000000000000001E-3</v>
      </c>
      <c r="BV470" s="1">
        <v>4.0000000000000001E-3</v>
      </c>
      <c r="BW470" s="1">
        <v>2E-3</v>
      </c>
      <c r="BX470" s="1">
        <v>0.69599999999999995</v>
      </c>
      <c r="BY470" s="1">
        <v>4.0000000000000001E-3</v>
      </c>
      <c r="BZ470" s="1">
        <v>4.0000000000000001E-3</v>
      </c>
      <c r="CA470" s="1">
        <v>2E-3</v>
      </c>
      <c r="CB470" s="1">
        <v>1E-3</v>
      </c>
      <c r="CC470" s="1">
        <v>2E-3</v>
      </c>
      <c r="CD470" s="1">
        <v>0</v>
      </c>
      <c r="CE470" s="1">
        <v>1E-3</v>
      </c>
      <c r="CF470" s="1">
        <v>1E-3</v>
      </c>
      <c r="CG470" s="1">
        <v>2E-3</v>
      </c>
      <c r="CH470" s="1">
        <v>2E-3</v>
      </c>
      <c r="CI470" s="1">
        <v>2E-3</v>
      </c>
      <c r="CJ470" s="1">
        <v>3.0000000000000001E-3</v>
      </c>
      <c r="CK470" s="1">
        <v>9.0999999999999998E-2</v>
      </c>
      <c r="CL470" s="1">
        <v>4.0000000000000001E-3</v>
      </c>
      <c r="CM470" s="1">
        <v>1.4120862890000001</v>
      </c>
      <c r="CN470" s="83">
        <v>19.0935153</v>
      </c>
    </row>
    <row r="471" spans="1:92" s="3" customFormat="1" x14ac:dyDescent="0.25">
      <c r="A471" s="72">
        <v>499</v>
      </c>
      <c r="B471" s="81" t="s">
        <v>1524</v>
      </c>
      <c r="C471" s="1" t="s">
        <v>83</v>
      </c>
      <c r="D471" s="1" t="s">
        <v>73</v>
      </c>
      <c r="E471" s="1" t="s">
        <v>74</v>
      </c>
      <c r="F471" s="1" t="s">
        <v>128</v>
      </c>
      <c r="G471" s="1" t="s">
        <v>303</v>
      </c>
      <c r="H471" s="1" t="s">
        <v>570</v>
      </c>
      <c r="I471" s="1"/>
      <c r="J471" s="9" t="s">
        <v>544</v>
      </c>
      <c r="K471" s="10">
        <v>0.27949249999999998</v>
      </c>
      <c r="L471" s="1" t="s">
        <v>641</v>
      </c>
      <c r="M471" s="1" t="s">
        <v>76</v>
      </c>
      <c r="N471" s="1" t="s">
        <v>644</v>
      </c>
      <c r="O471" s="1" t="s">
        <v>37</v>
      </c>
      <c r="P471" s="82">
        <v>0.73799999999999999</v>
      </c>
      <c r="Q471" s="1" t="s">
        <v>76</v>
      </c>
      <c r="R471" s="81" t="s">
        <v>87</v>
      </c>
      <c r="S471" s="1">
        <v>3</v>
      </c>
      <c r="T471" s="1" t="s">
        <v>78</v>
      </c>
      <c r="U471" s="1" t="s">
        <v>658</v>
      </c>
      <c r="V471" s="1" t="s">
        <v>655</v>
      </c>
      <c r="W471" s="1">
        <v>17</v>
      </c>
      <c r="X471" s="1" t="s">
        <v>76</v>
      </c>
      <c r="Y471" s="1" t="s">
        <v>644</v>
      </c>
      <c r="Z471" s="1">
        <v>0.11899999999999999</v>
      </c>
      <c r="AA471" s="1">
        <v>1E-3</v>
      </c>
      <c r="AB471" s="1">
        <v>1E-3</v>
      </c>
      <c r="AC471" s="1">
        <v>8.9999999999999993E-3</v>
      </c>
      <c r="AD471" s="1">
        <v>2E-3</v>
      </c>
      <c r="AE471" s="1">
        <v>1E-3</v>
      </c>
      <c r="AF471" s="1">
        <v>1E-3</v>
      </c>
      <c r="AG471" s="1">
        <v>0</v>
      </c>
      <c r="AH471" s="1">
        <v>7.0000000000000001E-3</v>
      </c>
      <c r="AI471" s="1">
        <v>2E-3</v>
      </c>
      <c r="AJ471" s="1">
        <v>0</v>
      </c>
      <c r="AK471" s="1">
        <v>1E-3</v>
      </c>
      <c r="AL471" s="1">
        <v>0</v>
      </c>
      <c r="AM471" s="1">
        <v>0</v>
      </c>
      <c r="AN471" s="1">
        <v>4.8000000000000001E-2</v>
      </c>
      <c r="AO471" s="1">
        <v>0</v>
      </c>
      <c r="AP471" s="1">
        <v>0</v>
      </c>
      <c r="AQ471" s="1">
        <v>0</v>
      </c>
      <c r="AR471" s="1">
        <v>1E-3</v>
      </c>
      <c r="AS471" s="1">
        <v>1E-3</v>
      </c>
      <c r="AT471" s="1">
        <v>1E-3</v>
      </c>
      <c r="AU471" s="1">
        <v>1E-3</v>
      </c>
      <c r="AV471" s="1">
        <v>2E-3</v>
      </c>
      <c r="AW471" s="1">
        <v>0</v>
      </c>
      <c r="AX471" s="1">
        <v>1E-3</v>
      </c>
      <c r="AY471" s="1">
        <v>1E-3</v>
      </c>
      <c r="AZ471" s="1">
        <v>1E-3</v>
      </c>
      <c r="BA471" s="1">
        <v>2E-3</v>
      </c>
      <c r="BB471" s="1">
        <v>0</v>
      </c>
      <c r="BC471" s="1">
        <v>0</v>
      </c>
      <c r="BD471" s="1">
        <v>3.0000000000000001E-3</v>
      </c>
      <c r="BE471" s="1">
        <v>0</v>
      </c>
      <c r="BF471" s="1">
        <v>0.73799999999999999</v>
      </c>
      <c r="BG471" s="1">
        <v>0</v>
      </c>
      <c r="BH471" s="1">
        <v>2E-3</v>
      </c>
      <c r="BI471" s="1">
        <v>0</v>
      </c>
      <c r="BJ471" s="1">
        <v>0</v>
      </c>
      <c r="BK471" s="1">
        <v>0</v>
      </c>
      <c r="BL471" s="1">
        <v>1E-3</v>
      </c>
      <c r="BM471" s="1">
        <v>0</v>
      </c>
      <c r="BN471" s="1">
        <v>0</v>
      </c>
      <c r="BO471" s="1">
        <v>0</v>
      </c>
      <c r="BP471" s="1">
        <v>0</v>
      </c>
      <c r="BQ471" s="1">
        <v>1E-3</v>
      </c>
      <c r="BR471" s="1">
        <v>1E-3</v>
      </c>
      <c r="BS471" s="1">
        <v>4.0000000000000001E-3</v>
      </c>
      <c r="BT471" s="1">
        <v>0</v>
      </c>
      <c r="BU471" s="1">
        <v>1E-3</v>
      </c>
      <c r="BV471" s="1">
        <v>0</v>
      </c>
      <c r="BW471" s="1">
        <v>0</v>
      </c>
      <c r="BX471" s="1">
        <v>7.0000000000000001E-3</v>
      </c>
      <c r="BY471" s="1">
        <v>1E-3</v>
      </c>
      <c r="BZ471" s="1">
        <v>1E-3</v>
      </c>
      <c r="CA471" s="1">
        <v>1E-3</v>
      </c>
      <c r="CB471" s="1">
        <v>0</v>
      </c>
      <c r="CC471" s="1">
        <v>1E-3</v>
      </c>
      <c r="CD471" s="1">
        <v>0</v>
      </c>
      <c r="CE471" s="1">
        <v>1E-3</v>
      </c>
      <c r="CF471" s="1">
        <v>1E-3</v>
      </c>
      <c r="CG471" s="1">
        <v>1E-3</v>
      </c>
      <c r="CH471" s="1">
        <v>1E-3</v>
      </c>
      <c r="CI471" s="1">
        <v>1E-3</v>
      </c>
      <c r="CJ471" s="1">
        <v>1E-3</v>
      </c>
      <c r="CK471" s="1">
        <v>1.7999999999999999E-2</v>
      </c>
      <c r="CL471" s="1">
        <v>5.0000000000000001E-3</v>
      </c>
      <c r="CM471" s="1">
        <v>-24.594434270000001</v>
      </c>
      <c r="CN471" s="83">
        <v>-40.689409099999999</v>
      </c>
    </row>
    <row r="472" spans="1:92" s="3" customFormat="1" x14ac:dyDescent="0.25">
      <c r="A472" s="72">
        <v>500</v>
      </c>
      <c r="B472" s="81" t="s">
        <v>1541</v>
      </c>
      <c r="C472" s="1" t="s">
        <v>83</v>
      </c>
      <c r="D472" s="1" t="s">
        <v>73</v>
      </c>
      <c r="E472" s="1" t="s">
        <v>99</v>
      </c>
      <c r="F472" s="1" t="s">
        <v>128</v>
      </c>
      <c r="G472" s="1" t="s">
        <v>250</v>
      </c>
      <c r="H472" s="1" t="s">
        <v>570</v>
      </c>
      <c r="I472" s="1"/>
      <c r="J472" s="9" t="s">
        <v>544</v>
      </c>
      <c r="K472" s="10">
        <v>0.59946016666666702</v>
      </c>
      <c r="L472" s="1" t="s">
        <v>641</v>
      </c>
      <c r="M472" s="1" t="s">
        <v>76</v>
      </c>
      <c r="N472" s="1" t="s">
        <v>644</v>
      </c>
      <c r="O472" s="1" t="s">
        <v>68</v>
      </c>
      <c r="P472" s="82">
        <v>0.29499999999999998</v>
      </c>
      <c r="Q472" s="1" t="s">
        <v>76</v>
      </c>
      <c r="R472" s="81" t="s">
        <v>87</v>
      </c>
      <c r="S472" s="1">
        <v>3</v>
      </c>
      <c r="T472" s="1" t="s">
        <v>78</v>
      </c>
      <c r="U472" s="1" t="s">
        <v>658</v>
      </c>
      <c r="V472" s="1" t="s">
        <v>655</v>
      </c>
      <c r="W472" s="1">
        <v>32</v>
      </c>
      <c r="X472" s="1" t="s">
        <v>76</v>
      </c>
      <c r="Y472" s="1" t="s">
        <v>644</v>
      </c>
      <c r="Z472" s="1">
        <v>3.0000000000000001E-3</v>
      </c>
      <c r="AA472" s="1">
        <v>1.2E-2</v>
      </c>
      <c r="AB472" s="1">
        <v>6.0000000000000001E-3</v>
      </c>
      <c r="AC472" s="1">
        <v>3.3000000000000002E-2</v>
      </c>
      <c r="AD472" s="1">
        <v>5.0000000000000001E-3</v>
      </c>
      <c r="AE472" s="1">
        <v>5.0000000000000001E-3</v>
      </c>
      <c r="AF472" s="1">
        <v>8.9999999999999993E-3</v>
      </c>
      <c r="AG472" s="1">
        <v>1E-3</v>
      </c>
      <c r="AH472" s="1">
        <v>1.9E-2</v>
      </c>
      <c r="AI472" s="1">
        <v>2E-3</v>
      </c>
      <c r="AJ472" s="1">
        <v>3.0000000000000001E-3</v>
      </c>
      <c r="AK472" s="1">
        <v>1.2999999999999999E-2</v>
      </c>
      <c r="AL472" s="1">
        <v>3.0000000000000001E-3</v>
      </c>
      <c r="AM472" s="1">
        <v>2E-3</v>
      </c>
      <c r="AN472" s="1">
        <v>3.0000000000000001E-3</v>
      </c>
      <c r="AO472" s="1">
        <v>8.0000000000000002E-3</v>
      </c>
      <c r="AP472" s="1">
        <v>4.0000000000000001E-3</v>
      </c>
      <c r="AQ472" s="1">
        <v>3.0000000000000001E-3</v>
      </c>
      <c r="AR472" s="1">
        <v>4.0000000000000001E-3</v>
      </c>
      <c r="AS472" s="1">
        <v>1.9E-2</v>
      </c>
      <c r="AT472" s="1">
        <v>1.2999999999999999E-2</v>
      </c>
      <c r="AU472" s="1">
        <v>1.6E-2</v>
      </c>
      <c r="AV472" s="1">
        <v>3.0000000000000001E-3</v>
      </c>
      <c r="AW472" s="1">
        <v>8.0000000000000002E-3</v>
      </c>
      <c r="AX472" s="1">
        <v>1.6E-2</v>
      </c>
      <c r="AY472" s="1">
        <v>7.0000000000000001E-3</v>
      </c>
      <c r="AZ472" s="1">
        <v>8.0000000000000002E-3</v>
      </c>
      <c r="BA472" s="1">
        <v>2.4E-2</v>
      </c>
      <c r="BB472" s="1">
        <v>6.0000000000000001E-3</v>
      </c>
      <c r="BC472" s="1">
        <v>3.0000000000000001E-3</v>
      </c>
      <c r="BD472" s="1">
        <v>2.5000000000000001E-2</v>
      </c>
      <c r="BE472" s="1">
        <v>5.0000000000000001E-3</v>
      </c>
      <c r="BF472" s="1">
        <v>2E-3</v>
      </c>
      <c r="BG472" s="1">
        <v>6.0000000000000001E-3</v>
      </c>
      <c r="BH472" s="1">
        <v>4.0000000000000001E-3</v>
      </c>
      <c r="BI472" s="1">
        <v>3.0000000000000001E-3</v>
      </c>
      <c r="BJ472" s="1">
        <v>2E-3</v>
      </c>
      <c r="BK472" s="1">
        <v>3.0000000000000001E-3</v>
      </c>
      <c r="BL472" s="1">
        <v>1.9E-2</v>
      </c>
      <c r="BM472" s="1">
        <v>6.0000000000000001E-3</v>
      </c>
      <c r="BN472" s="1">
        <v>1.0999999999999999E-2</v>
      </c>
      <c r="BO472" s="1">
        <v>3.0000000000000001E-3</v>
      </c>
      <c r="BP472" s="1">
        <v>2E-3</v>
      </c>
      <c r="BQ472" s="1">
        <v>1.4E-2</v>
      </c>
      <c r="BR472" s="1">
        <v>5.0000000000000001E-3</v>
      </c>
      <c r="BS472" s="1">
        <v>6.0000000000000001E-3</v>
      </c>
      <c r="BT472" s="1">
        <v>3.0000000000000001E-3</v>
      </c>
      <c r="BU472" s="1">
        <v>2E-3</v>
      </c>
      <c r="BV472" s="1">
        <v>4.0000000000000001E-3</v>
      </c>
      <c r="BW472" s="1">
        <v>7.0000000000000001E-3</v>
      </c>
      <c r="BX472" s="1">
        <v>0.18099999999999999</v>
      </c>
      <c r="BY472" s="1">
        <v>1.7999999999999999E-2</v>
      </c>
      <c r="BZ472" s="1">
        <v>1.2999999999999999E-2</v>
      </c>
      <c r="CA472" s="1">
        <v>6.0000000000000001E-3</v>
      </c>
      <c r="CB472" s="1">
        <v>3.0000000000000001E-3</v>
      </c>
      <c r="CC472" s="1">
        <v>0.01</v>
      </c>
      <c r="CD472" s="1">
        <v>1E-3</v>
      </c>
      <c r="CE472" s="1">
        <v>5.0000000000000001E-3</v>
      </c>
      <c r="CF472" s="1">
        <v>6.0000000000000001E-3</v>
      </c>
      <c r="CG472" s="1">
        <v>8.9999999999999993E-3</v>
      </c>
      <c r="CH472" s="1">
        <v>0.01</v>
      </c>
      <c r="CI472" s="1">
        <v>8.9999999999999993E-3</v>
      </c>
      <c r="CJ472" s="1">
        <v>2.4E-2</v>
      </c>
      <c r="CK472" s="1">
        <v>0.29499999999999998</v>
      </c>
      <c r="CL472" s="1">
        <v>1.4E-2</v>
      </c>
      <c r="CM472" s="1">
        <v>68.483783860000003</v>
      </c>
      <c r="CN472" s="83">
        <v>-2.0382431269999999</v>
      </c>
    </row>
    <row r="473" spans="1:92" s="3" customFormat="1" x14ac:dyDescent="0.25">
      <c r="A473" s="72">
        <v>501</v>
      </c>
      <c r="B473" s="81" t="s">
        <v>1522</v>
      </c>
      <c r="C473" s="1" t="s">
        <v>83</v>
      </c>
      <c r="D473" s="1" t="s">
        <v>73</v>
      </c>
      <c r="E473" s="1" t="s">
        <v>74</v>
      </c>
      <c r="F473" s="1" t="s">
        <v>128</v>
      </c>
      <c r="G473" s="1" t="s">
        <v>1705</v>
      </c>
      <c r="H473" s="1" t="s">
        <v>570</v>
      </c>
      <c r="I473" s="1"/>
      <c r="J473" s="9" t="s">
        <v>544</v>
      </c>
      <c r="K473" s="10">
        <v>0.45785183333333401</v>
      </c>
      <c r="L473" s="1" t="s">
        <v>641</v>
      </c>
      <c r="M473" s="1" t="s">
        <v>76</v>
      </c>
      <c r="N473" s="1" t="s">
        <v>644</v>
      </c>
      <c r="O473" s="1" t="s">
        <v>33</v>
      </c>
      <c r="P473" s="82">
        <v>0.40699999999999997</v>
      </c>
      <c r="Q473" s="1" t="s">
        <v>76</v>
      </c>
      <c r="R473" s="81" t="s">
        <v>316</v>
      </c>
      <c r="S473" s="1">
        <v>3</v>
      </c>
      <c r="T473" s="1" t="s">
        <v>78</v>
      </c>
      <c r="U473" s="1" t="s">
        <v>658</v>
      </c>
      <c r="V473" s="1" t="s">
        <v>655</v>
      </c>
      <c r="W473" s="1">
        <v>10</v>
      </c>
      <c r="X473" s="1" t="s">
        <v>170</v>
      </c>
      <c r="Y473" s="1" t="s">
        <v>644</v>
      </c>
      <c r="Z473" s="1">
        <v>1E-3</v>
      </c>
      <c r="AA473" s="1">
        <v>3.0000000000000001E-3</v>
      </c>
      <c r="AB473" s="1">
        <v>2E-3</v>
      </c>
      <c r="AC473" s="1">
        <v>2.1999999999999999E-2</v>
      </c>
      <c r="AD473" s="1">
        <v>2E-3</v>
      </c>
      <c r="AE473" s="1">
        <v>3.0000000000000001E-3</v>
      </c>
      <c r="AF473" s="1">
        <v>3.0000000000000001E-3</v>
      </c>
      <c r="AG473" s="1">
        <v>0</v>
      </c>
      <c r="AH473" s="1">
        <v>7.0000000000000001E-3</v>
      </c>
      <c r="AI473" s="1">
        <v>1E-3</v>
      </c>
      <c r="AJ473" s="1">
        <v>1E-3</v>
      </c>
      <c r="AK473" s="1">
        <v>2.1999999999999999E-2</v>
      </c>
      <c r="AL473" s="1">
        <v>0</v>
      </c>
      <c r="AM473" s="1">
        <v>1E-3</v>
      </c>
      <c r="AN473" s="1">
        <v>2E-3</v>
      </c>
      <c r="AO473" s="1">
        <v>1.2999999999999999E-2</v>
      </c>
      <c r="AP473" s="1">
        <v>2E-3</v>
      </c>
      <c r="AQ473" s="1">
        <v>2E-3</v>
      </c>
      <c r="AR473" s="1">
        <v>1E-3</v>
      </c>
      <c r="AS473" s="1">
        <v>1.2E-2</v>
      </c>
      <c r="AT473" s="1">
        <v>7.0000000000000001E-3</v>
      </c>
      <c r="AU473" s="1">
        <v>4.0000000000000001E-3</v>
      </c>
      <c r="AV473" s="1">
        <v>1E-3</v>
      </c>
      <c r="AW473" s="1">
        <v>3.0000000000000001E-3</v>
      </c>
      <c r="AX473" s="1">
        <v>2E-3</v>
      </c>
      <c r="AY473" s="1">
        <v>3.0000000000000001E-3</v>
      </c>
      <c r="AZ473" s="1">
        <v>4.0000000000000001E-3</v>
      </c>
      <c r="BA473" s="1">
        <v>0.01</v>
      </c>
      <c r="BB473" s="1">
        <v>0.40699999999999997</v>
      </c>
      <c r="BC473" s="1">
        <v>1E-3</v>
      </c>
      <c r="BD473" s="1">
        <v>1.0999999999999999E-2</v>
      </c>
      <c r="BE473" s="1">
        <v>2E-3</v>
      </c>
      <c r="BF473" s="1">
        <v>1E-3</v>
      </c>
      <c r="BG473" s="1">
        <v>3.0000000000000001E-3</v>
      </c>
      <c r="BH473" s="1">
        <v>2E-3</v>
      </c>
      <c r="BI473" s="1">
        <v>2E-3</v>
      </c>
      <c r="BJ473" s="1">
        <v>1E-3</v>
      </c>
      <c r="BK473" s="1">
        <v>1E-3</v>
      </c>
      <c r="BL473" s="1">
        <v>4.0000000000000001E-3</v>
      </c>
      <c r="BM473" s="1">
        <v>2E-3</v>
      </c>
      <c r="BN473" s="1">
        <v>4.0000000000000001E-3</v>
      </c>
      <c r="BO473" s="1">
        <v>4.0000000000000001E-3</v>
      </c>
      <c r="BP473" s="1">
        <v>1E-3</v>
      </c>
      <c r="BQ473" s="1">
        <v>6.0000000000000001E-3</v>
      </c>
      <c r="BR473" s="1">
        <v>3.0000000000000001E-3</v>
      </c>
      <c r="BS473" s="1">
        <v>2E-3</v>
      </c>
      <c r="BT473" s="1">
        <v>1E-3</v>
      </c>
      <c r="BU473" s="1">
        <v>1E-3</v>
      </c>
      <c r="BV473" s="1">
        <v>0.16300000000000001</v>
      </c>
      <c r="BW473" s="1">
        <v>8.9999999999999993E-3</v>
      </c>
      <c r="BX473" s="1">
        <v>0.11</v>
      </c>
      <c r="BY473" s="1">
        <v>6.0000000000000001E-3</v>
      </c>
      <c r="BZ473" s="1">
        <v>4.0000000000000001E-3</v>
      </c>
      <c r="CA473" s="1">
        <v>2E-3</v>
      </c>
      <c r="CB473" s="1">
        <v>1E-3</v>
      </c>
      <c r="CC473" s="1">
        <v>3.0000000000000001E-3</v>
      </c>
      <c r="CD473" s="1">
        <v>0</v>
      </c>
      <c r="CE473" s="1">
        <v>2E-3</v>
      </c>
      <c r="CF473" s="1">
        <v>2E-3</v>
      </c>
      <c r="CG473" s="1">
        <v>5.0000000000000001E-3</v>
      </c>
      <c r="CH473" s="1">
        <v>7.0000000000000001E-3</v>
      </c>
      <c r="CI473" s="1">
        <v>4.0000000000000001E-3</v>
      </c>
      <c r="CJ473" s="1">
        <v>7.0000000000000001E-3</v>
      </c>
      <c r="CK473" s="1">
        <v>7.5999999999999998E-2</v>
      </c>
      <c r="CL473" s="1">
        <v>5.0000000000000001E-3</v>
      </c>
      <c r="CM473" s="1">
        <v>-5.4557981929999997</v>
      </c>
      <c r="CN473" s="83">
        <v>-3.6485306909999999</v>
      </c>
    </row>
    <row r="474" spans="1:92" s="3" customFormat="1" x14ac:dyDescent="0.25">
      <c r="A474" s="72">
        <v>502</v>
      </c>
      <c r="B474" s="81" t="s">
        <v>1614</v>
      </c>
      <c r="C474" s="1" t="s">
        <v>83</v>
      </c>
      <c r="D474" s="1" t="s">
        <v>73</v>
      </c>
      <c r="E474" s="1" t="s">
        <v>74</v>
      </c>
      <c r="F474" s="1" t="s">
        <v>128</v>
      </c>
      <c r="G474" s="1" t="s">
        <v>303</v>
      </c>
      <c r="H474" s="1" t="s">
        <v>570</v>
      </c>
      <c r="I474" s="1"/>
      <c r="J474" s="9" t="s">
        <v>544</v>
      </c>
      <c r="K474" s="10">
        <v>0.60699666666666696</v>
      </c>
      <c r="L474" s="1" t="s">
        <v>76</v>
      </c>
      <c r="M474" s="1" t="s">
        <v>506</v>
      </c>
      <c r="N474" s="1" t="s">
        <v>645</v>
      </c>
      <c r="O474" s="1" t="s">
        <v>55</v>
      </c>
      <c r="P474" s="82">
        <v>0.996</v>
      </c>
      <c r="Q474" s="1" t="s">
        <v>76</v>
      </c>
      <c r="R474" s="81" t="s">
        <v>87</v>
      </c>
      <c r="S474" s="1">
        <v>3</v>
      </c>
      <c r="T474" s="1" t="s">
        <v>78</v>
      </c>
      <c r="U474" s="1" t="s">
        <v>659</v>
      </c>
      <c r="V474" s="1" t="s">
        <v>655</v>
      </c>
      <c r="W474" s="1">
        <v>56</v>
      </c>
      <c r="X474" s="1" t="s">
        <v>76</v>
      </c>
      <c r="Y474" s="1" t="s">
        <v>645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0.996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57.964264790000001</v>
      </c>
      <c r="CN474" s="83">
        <v>22.616116949999999</v>
      </c>
    </row>
    <row r="475" spans="1:92" s="3" customFormat="1" x14ac:dyDescent="0.25">
      <c r="A475" s="72">
        <v>503</v>
      </c>
      <c r="B475" s="81" t="s">
        <v>1621</v>
      </c>
      <c r="C475" s="1" t="s">
        <v>83</v>
      </c>
      <c r="D475" s="1" t="s">
        <v>73</v>
      </c>
      <c r="E475" s="1" t="s">
        <v>99</v>
      </c>
      <c r="F475" s="1" t="s">
        <v>128</v>
      </c>
      <c r="G475" s="1" t="s">
        <v>303</v>
      </c>
      <c r="H475" s="1" t="s">
        <v>570</v>
      </c>
      <c r="I475" s="1"/>
      <c r="J475" s="9" t="s">
        <v>544</v>
      </c>
      <c r="K475" s="10">
        <v>0.53636499999999898</v>
      </c>
      <c r="L475" s="1" t="s">
        <v>641</v>
      </c>
      <c r="M475" s="1" t="s">
        <v>76</v>
      </c>
      <c r="N475" s="1" t="s">
        <v>649</v>
      </c>
      <c r="O475" s="1" t="s">
        <v>55</v>
      </c>
      <c r="P475" s="82">
        <v>0.28100000000000003</v>
      </c>
      <c r="Q475" s="1" t="s">
        <v>76</v>
      </c>
      <c r="R475" s="81" t="s">
        <v>114</v>
      </c>
      <c r="S475" s="1">
        <v>3</v>
      </c>
      <c r="T475" s="1" t="s">
        <v>78</v>
      </c>
      <c r="U475" s="1" t="s">
        <v>659</v>
      </c>
      <c r="V475" s="1" t="s">
        <v>655</v>
      </c>
      <c r="W475" s="1">
        <v>63</v>
      </c>
      <c r="X475" s="1" t="s">
        <v>76</v>
      </c>
      <c r="Y475" s="1" t="s">
        <v>649</v>
      </c>
      <c r="Z475" s="1">
        <v>2E-3</v>
      </c>
      <c r="AA475" s="1">
        <v>4.2999999999999997E-2</v>
      </c>
      <c r="AB475" s="1">
        <v>5.0000000000000001E-3</v>
      </c>
      <c r="AC475" s="1">
        <v>2.7E-2</v>
      </c>
      <c r="AD475" s="1">
        <v>6.0000000000000001E-3</v>
      </c>
      <c r="AE475" s="1">
        <v>5.0000000000000001E-3</v>
      </c>
      <c r="AF475" s="1">
        <v>6.0000000000000001E-3</v>
      </c>
      <c r="AG475" s="1">
        <v>1E-3</v>
      </c>
      <c r="AH475" s="1">
        <v>1.7999999999999999E-2</v>
      </c>
      <c r="AI475" s="1">
        <v>3.0000000000000001E-3</v>
      </c>
      <c r="AJ475" s="1">
        <v>3.0000000000000001E-3</v>
      </c>
      <c r="AK475" s="1">
        <v>1.7000000000000001E-2</v>
      </c>
      <c r="AL475" s="1">
        <v>5.0000000000000001E-3</v>
      </c>
      <c r="AM475" s="1">
        <v>2E-3</v>
      </c>
      <c r="AN475" s="1">
        <v>4.0000000000000001E-3</v>
      </c>
      <c r="AO475" s="1">
        <v>1.4E-2</v>
      </c>
      <c r="AP475" s="1">
        <v>4.0000000000000001E-3</v>
      </c>
      <c r="AQ475" s="1">
        <v>4.0000000000000001E-3</v>
      </c>
      <c r="AR475" s="1">
        <v>3.0000000000000001E-3</v>
      </c>
      <c r="AS475" s="1">
        <v>1.7999999999999999E-2</v>
      </c>
      <c r="AT475" s="1">
        <v>1.4E-2</v>
      </c>
      <c r="AU475" s="1">
        <v>7.0000000000000001E-3</v>
      </c>
      <c r="AV475" s="1">
        <v>3.0000000000000001E-3</v>
      </c>
      <c r="AW475" s="1">
        <v>0.01</v>
      </c>
      <c r="AX475" s="1">
        <v>4.2000000000000003E-2</v>
      </c>
      <c r="AY475" s="1">
        <v>8.0000000000000002E-3</v>
      </c>
      <c r="AZ475" s="1">
        <v>8.0000000000000002E-3</v>
      </c>
      <c r="BA475" s="1">
        <v>1.9E-2</v>
      </c>
      <c r="BB475" s="1">
        <v>4.2999999999999997E-2</v>
      </c>
      <c r="BC475" s="1">
        <v>4.0000000000000001E-3</v>
      </c>
      <c r="BD475" s="1">
        <v>2.1999999999999999E-2</v>
      </c>
      <c r="BE475" s="1">
        <v>4.0000000000000001E-3</v>
      </c>
      <c r="BF475" s="1">
        <v>2E-3</v>
      </c>
      <c r="BG475" s="1">
        <v>1.2E-2</v>
      </c>
      <c r="BH475" s="1">
        <v>4.0000000000000001E-3</v>
      </c>
      <c r="BI475" s="1">
        <v>6.0000000000000001E-3</v>
      </c>
      <c r="BJ475" s="1">
        <v>2E-3</v>
      </c>
      <c r="BK475" s="1">
        <v>3.0000000000000001E-3</v>
      </c>
      <c r="BL475" s="1">
        <v>2.1000000000000001E-2</v>
      </c>
      <c r="BM475" s="1">
        <v>1.0999999999999999E-2</v>
      </c>
      <c r="BN475" s="1">
        <v>8.9999999999999993E-3</v>
      </c>
      <c r="BO475" s="1">
        <v>3.0000000000000001E-3</v>
      </c>
      <c r="BP475" s="1">
        <v>2E-3</v>
      </c>
      <c r="BQ475" s="1">
        <v>0.02</v>
      </c>
      <c r="BR475" s="1">
        <v>7.0000000000000001E-3</v>
      </c>
      <c r="BS475" s="1">
        <v>4.0000000000000001E-3</v>
      </c>
      <c r="BT475" s="1">
        <v>3.0000000000000001E-3</v>
      </c>
      <c r="BU475" s="1">
        <v>2E-3</v>
      </c>
      <c r="BV475" s="1">
        <v>5.0000000000000001E-3</v>
      </c>
      <c r="BW475" s="1">
        <v>7.0000000000000001E-3</v>
      </c>
      <c r="BX475" s="1">
        <v>0.28100000000000003</v>
      </c>
      <c r="BY475" s="1">
        <v>0.02</v>
      </c>
      <c r="BZ475" s="1">
        <v>1.4999999999999999E-2</v>
      </c>
      <c r="CA475" s="1">
        <v>1.0999999999999999E-2</v>
      </c>
      <c r="CB475" s="1">
        <v>2E-3</v>
      </c>
      <c r="CC475" s="1">
        <v>6.0000000000000001E-3</v>
      </c>
      <c r="CD475" s="1">
        <v>1E-3</v>
      </c>
      <c r="CE475" s="1">
        <v>5.0000000000000001E-3</v>
      </c>
      <c r="CF475" s="1">
        <v>6.0000000000000001E-3</v>
      </c>
      <c r="CG475" s="1">
        <v>1.6E-2</v>
      </c>
      <c r="CH475" s="1">
        <v>0.01</v>
      </c>
      <c r="CI475" s="1">
        <v>0.01</v>
      </c>
      <c r="CJ475" s="1">
        <v>1.7999999999999999E-2</v>
      </c>
      <c r="CK475" s="1">
        <v>8.6999999999999994E-2</v>
      </c>
      <c r="CL475" s="1">
        <v>1.2999999999999999E-2</v>
      </c>
      <c r="CM475" s="1">
        <v>22.15611492</v>
      </c>
      <c r="CN475" s="83">
        <v>32.15966718</v>
      </c>
    </row>
    <row r="476" spans="1:92" s="3" customFormat="1" x14ac:dyDescent="0.25">
      <c r="A476" s="72">
        <v>504</v>
      </c>
      <c r="B476" s="81" t="s">
        <v>1133</v>
      </c>
      <c r="C476" s="1" t="s">
        <v>83</v>
      </c>
      <c r="D476" s="1" t="s">
        <v>73</v>
      </c>
      <c r="E476" s="1" t="s">
        <v>74</v>
      </c>
      <c r="F476" s="1" t="s">
        <v>128</v>
      </c>
      <c r="G476" s="1" t="s">
        <v>324</v>
      </c>
      <c r="H476" s="1" t="s">
        <v>570</v>
      </c>
      <c r="I476" s="1"/>
      <c r="J476" s="9" t="s">
        <v>544</v>
      </c>
      <c r="K476" s="10">
        <v>0.44409149999999997</v>
      </c>
      <c r="L476" s="1" t="s">
        <v>641</v>
      </c>
      <c r="M476" s="1" t="s">
        <v>76</v>
      </c>
      <c r="N476" s="1" t="s">
        <v>644</v>
      </c>
      <c r="O476" s="1" t="s">
        <v>67</v>
      </c>
      <c r="P476" s="82">
        <v>0.64600000000000002</v>
      </c>
      <c r="Q476" s="1" t="s">
        <v>76</v>
      </c>
      <c r="R476" s="81" t="s">
        <v>87</v>
      </c>
      <c r="S476" s="1">
        <v>3</v>
      </c>
      <c r="T476" s="1" t="s">
        <v>78</v>
      </c>
      <c r="U476" s="1" t="s">
        <v>658</v>
      </c>
      <c r="V476" s="1" t="s">
        <v>655</v>
      </c>
      <c r="W476" s="1">
        <v>47</v>
      </c>
      <c r="X476" s="1" t="s">
        <v>76</v>
      </c>
      <c r="Y476" s="1" t="s">
        <v>644</v>
      </c>
      <c r="Z476" s="1">
        <v>1E-3</v>
      </c>
      <c r="AA476" s="1">
        <v>2E-3</v>
      </c>
      <c r="AB476" s="1">
        <v>3.0000000000000001E-3</v>
      </c>
      <c r="AC476" s="1">
        <v>1.7999999999999999E-2</v>
      </c>
      <c r="AD476" s="1">
        <v>2E-3</v>
      </c>
      <c r="AE476" s="1">
        <v>2E-3</v>
      </c>
      <c r="AF476" s="1">
        <v>2E-3</v>
      </c>
      <c r="AG476" s="1">
        <v>0</v>
      </c>
      <c r="AH476" s="1">
        <v>7.0000000000000001E-3</v>
      </c>
      <c r="AI476" s="1">
        <v>1E-3</v>
      </c>
      <c r="AJ476" s="1">
        <v>1E-3</v>
      </c>
      <c r="AK476" s="1">
        <v>1.2999999999999999E-2</v>
      </c>
      <c r="AL476" s="1">
        <v>1E-3</v>
      </c>
      <c r="AM476" s="1">
        <v>1E-3</v>
      </c>
      <c r="AN476" s="1">
        <v>2E-3</v>
      </c>
      <c r="AO476" s="1">
        <v>6.0000000000000001E-3</v>
      </c>
      <c r="AP476" s="1">
        <v>2E-3</v>
      </c>
      <c r="AQ476" s="1">
        <v>2E-3</v>
      </c>
      <c r="AR476" s="1">
        <v>1E-3</v>
      </c>
      <c r="AS476" s="1">
        <v>1.2E-2</v>
      </c>
      <c r="AT476" s="1">
        <v>8.9999999999999993E-3</v>
      </c>
      <c r="AU476" s="1">
        <v>2E-3</v>
      </c>
      <c r="AV476" s="1">
        <v>1E-3</v>
      </c>
      <c r="AW476" s="1">
        <v>7.0000000000000001E-3</v>
      </c>
      <c r="AX476" s="1">
        <v>2E-3</v>
      </c>
      <c r="AY476" s="1">
        <v>4.0000000000000001E-3</v>
      </c>
      <c r="AZ476" s="1">
        <v>4.0000000000000001E-3</v>
      </c>
      <c r="BA476" s="1">
        <v>8.0000000000000002E-3</v>
      </c>
      <c r="BB476" s="1">
        <v>5.0000000000000001E-3</v>
      </c>
      <c r="BC476" s="1">
        <v>1E-3</v>
      </c>
      <c r="BD476" s="1">
        <v>0.01</v>
      </c>
      <c r="BE476" s="1">
        <v>2E-3</v>
      </c>
      <c r="BF476" s="1">
        <v>1E-3</v>
      </c>
      <c r="BG476" s="1">
        <v>6.0000000000000001E-3</v>
      </c>
      <c r="BH476" s="1">
        <v>2E-3</v>
      </c>
      <c r="BI476" s="1">
        <v>3.0000000000000001E-3</v>
      </c>
      <c r="BJ476" s="1">
        <v>1E-3</v>
      </c>
      <c r="BK476" s="1">
        <v>1E-3</v>
      </c>
      <c r="BL476" s="1">
        <v>4.0000000000000001E-3</v>
      </c>
      <c r="BM476" s="1">
        <v>2E-3</v>
      </c>
      <c r="BN476" s="1">
        <v>8.9999999999999993E-3</v>
      </c>
      <c r="BO476" s="1">
        <v>1E-3</v>
      </c>
      <c r="BP476" s="1">
        <v>1E-3</v>
      </c>
      <c r="BQ476" s="1">
        <v>5.0000000000000001E-3</v>
      </c>
      <c r="BR476" s="1">
        <v>2E-3</v>
      </c>
      <c r="BS476" s="1">
        <v>2E-3</v>
      </c>
      <c r="BT476" s="1">
        <v>1E-3</v>
      </c>
      <c r="BU476" s="1">
        <v>1E-3</v>
      </c>
      <c r="BV476" s="1">
        <v>7.0000000000000001E-3</v>
      </c>
      <c r="BW476" s="1">
        <v>3.0000000000000001E-3</v>
      </c>
      <c r="BX476" s="1">
        <v>4.1000000000000002E-2</v>
      </c>
      <c r="BY476" s="1">
        <v>0.01</v>
      </c>
      <c r="BZ476" s="1">
        <v>4.0000000000000001E-3</v>
      </c>
      <c r="CA476" s="1">
        <v>3.0000000000000001E-3</v>
      </c>
      <c r="CB476" s="1">
        <v>1E-3</v>
      </c>
      <c r="CC476" s="1">
        <v>4.0000000000000001E-3</v>
      </c>
      <c r="CD476" s="1">
        <v>0</v>
      </c>
      <c r="CE476" s="1">
        <v>2E-3</v>
      </c>
      <c r="CF476" s="1">
        <v>2E-3</v>
      </c>
      <c r="CG476" s="1">
        <v>3.6999999999999998E-2</v>
      </c>
      <c r="CH476" s="1">
        <v>5.0000000000000001E-3</v>
      </c>
      <c r="CI476" s="1">
        <v>4.0000000000000001E-3</v>
      </c>
      <c r="CJ476" s="1">
        <v>0.64600000000000002</v>
      </c>
      <c r="CK476" s="1">
        <v>4.3999999999999997E-2</v>
      </c>
      <c r="CL476" s="1">
        <v>1.0999999999999999E-2</v>
      </c>
      <c r="CM476" s="1">
        <v>21.519947649999999</v>
      </c>
      <c r="CN476" s="83">
        <v>13.17887518</v>
      </c>
    </row>
    <row r="477" spans="1:92" s="3" customFormat="1" x14ac:dyDescent="0.25">
      <c r="A477" s="72">
        <v>505</v>
      </c>
      <c r="B477" s="81" t="s">
        <v>1026</v>
      </c>
      <c r="C477" s="1" t="s">
        <v>83</v>
      </c>
      <c r="D477" s="1" t="s">
        <v>73</v>
      </c>
      <c r="E477" s="1" t="s">
        <v>99</v>
      </c>
      <c r="F477" s="1" t="s">
        <v>128</v>
      </c>
      <c r="G477" s="1" t="s">
        <v>325</v>
      </c>
      <c r="H477" s="1" t="s">
        <v>570</v>
      </c>
      <c r="I477" s="1"/>
      <c r="J477" s="9" t="s">
        <v>544</v>
      </c>
      <c r="K477" s="10">
        <v>0.36360716666666598</v>
      </c>
      <c r="L477" s="1" t="s">
        <v>641</v>
      </c>
      <c r="M477" s="1" t="s">
        <v>76</v>
      </c>
      <c r="N477" s="1" t="s">
        <v>644</v>
      </c>
      <c r="O477" s="1" t="s">
        <v>53</v>
      </c>
      <c r="P477" s="82">
        <v>0.47899999999999998</v>
      </c>
      <c r="Q477" s="1" t="s">
        <v>76</v>
      </c>
      <c r="R477" s="81" t="s">
        <v>77</v>
      </c>
      <c r="S477" s="1">
        <v>3</v>
      </c>
      <c r="T477" s="1" t="s">
        <v>78</v>
      </c>
      <c r="U477" s="1" t="s">
        <v>658</v>
      </c>
      <c r="V477" s="1" t="s">
        <v>655</v>
      </c>
      <c r="W477" s="1">
        <v>13</v>
      </c>
      <c r="X477" s="1" t="s">
        <v>76</v>
      </c>
      <c r="Y477" s="1" t="s">
        <v>644</v>
      </c>
      <c r="Z477" s="1">
        <v>0</v>
      </c>
      <c r="AA477" s="1">
        <v>1E-3</v>
      </c>
      <c r="AB477" s="1">
        <v>0</v>
      </c>
      <c r="AC477" s="1">
        <v>2E-3</v>
      </c>
      <c r="AD477" s="1">
        <v>0</v>
      </c>
      <c r="AE477" s="1">
        <v>2E-3</v>
      </c>
      <c r="AF477" s="1">
        <v>0</v>
      </c>
      <c r="AG477" s="1">
        <v>0</v>
      </c>
      <c r="AH477" s="1">
        <v>1E-3</v>
      </c>
      <c r="AI477" s="1">
        <v>0</v>
      </c>
      <c r="AJ477" s="1">
        <v>7.0000000000000001E-3</v>
      </c>
      <c r="AK477" s="1">
        <v>2E-3</v>
      </c>
      <c r="AL477" s="1">
        <v>0</v>
      </c>
      <c r="AM477" s="1">
        <v>0</v>
      </c>
      <c r="AN477" s="1">
        <v>1E-3</v>
      </c>
      <c r="AO477" s="1">
        <v>0</v>
      </c>
      <c r="AP477" s="1">
        <v>0</v>
      </c>
      <c r="AQ477" s="1">
        <v>0</v>
      </c>
      <c r="AR477" s="1">
        <v>1E-3</v>
      </c>
      <c r="AS477" s="1">
        <v>1E-3</v>
      </c>
      <c r="AT477" s="1">
        <v>1E-3</v>
      </c>
      <c r="AU477" s="1">
        <v>1E-3</v>
      </c>
      <c r="AV477" s="1">
        <v>0</v>
      </c>
      <c r="AW477" s="1">
        <v>0</v>
      </c>
      <c r="AX477" s="1">
        <v>0</v>
      </c>
      <c r="AY477" s="1">
        <v>1E-3</v>
      </c>
      <c r="AZ477" s="1">
        <v>1E-3</v>
      </c>
      <c r="BA477" s="1">
        <v>1E-3</v>
      </c>
      <c r="BB477" s="1">
        <v>5.0000000000000001E-3</v>
      </c>
      <c r="BC477" s="1">
        <v>0</v>
      </c>
      <c r="BD477" s="1">
        <v>2E-3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1E-3</v>
      </c>
      <c r="BM477" s="1">
        <v>0</v>
      </c>
      <c r="BN477" s="1">
        <v>0</v>
      </c>
      <c r="BO477" s="1">
        <v>1.7000000000000001E-2</v>
      </c>
      <c r="BP477" s="1">
        <v>0</v>
      </c>
      <c r="BQ477" s="1">
        <v>1E-3</v>
      </c>
      <c r="BR477" s="1">
        <v>0</v>
      </c>
      <c r="BS477" s="1">
        <v>1E-3</v>
      </c>
      <c r="BT477" s="1">
        <v>0</v>
      </c>
      <c r="BU477" s="1">
        <v>0</v>
      </c>
      <c r="BV477" s="1">
        <v>0.47899999999999998</v>
      </c>
      <c r="BW477" s="1">
        <v>1E-3</v>
      </c>
      <c r="BX477" s="1">
        <v>0.434</v>
      </c>
      <c r="BY477" s="1">
        <v>1E-3</v>
      </c>
      <c r="BZ477" s="1">
        <v>1E-3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1E-3</v>
      </c>
      <c r="CH477" s="1">
        <v>1E-3</v>
      </c>
      <c r="CI477" s="1">
        <v>1E-3</v>
      </c>
      <c r="CJ477" s="1">
        <v>1E-3</v>
      </c>
      <c r="CK477" s="1">
        <v>2.7E-2</v>
      </c>
      <c r="CL477" s="1">
        <v>0</v>
      </c>
      <c r="CM477" s="1">
        <v>-6.8433078690000002</v>
      </c>
      <c r="CN477" s="83">
        <v>4.9040173720000002</v>
      </c>
    </row>
    <row r="478" spans="1:92" s="3" customFormat="1" x14ac:dyDescent="0.25">
      <c r="A478" s="72">
        <v>506</v>
      </c>
      <c r="B478" s="81" t="s">
        <v>1517</v>
      </c>
      <c r="C478" s="1" t="s">
        <v>83</v>
      </c>
      <c r="D478" s="1" t="s">
        <v>73</v>
      </c>
      <c r="E478" s="1" t="s">
        <v>74</v>
      </c>
      <c r="F478" s="1" t="s">
        <v>128</v>
      </c>
      <c r="G478" s="1" t="s">
        <v>176</v>
      </c>
      <c r="H478" s="1" t="s">
        <v>535</v>
      </c>
      <c r="I478" s="1"/>
      <c r="J478" s="9" t="s">
        <v>506</v>
      </c>
      <c r="K478" s="10">
        <v>0.46522000000000002</v>
      </c>
      <c r="L478" s="1" t="s">
        <v>641</v>
      </c>
      <c r="M478" s="1" t="s">
        <v>76</v>
      </c>
      <c r="N478" s="1" t="s">
        <v>644</v>
      </c>
      <c r="O478" s="1" t="s">
        <v>55</v>
      </c>
      <c r="P478" s="82">
        <v>0.84199999999999997</v>
      </c>
      <c r="Q478" s="1" t="s">
        <v>76</v>
      </c>
      <c r="R478" s="81" t="s">
        <v>138</v>
      </c>
      <c r="S478" s="1">
        <v>3</v>
      </c>
      <c r="T478" s="1" t="s">
        <v>78</v>
      </c>
      <c r="U478" s="1" t="s">
        <v>658</v>
      </c>
      <c r="V478" s="1" t="s">
        <v>655</v>
      </c>
      <c r="W478" s="1">
        <v>25</v>
      </c>
      <c r="X478" s="1" t="s">
        <v>76</v>
      </c>
      <c r="Y478" s="1" t="s">
        <v>644</v>
      </c>
      <c r="Z478" s="1">
        <v>0</v>
      </c>
      <c r="AA478" s="1">
        <v>1E-3</v>
      </c>
      <c r="AB478" s="1">
        <v>1E-3</v>
      </c>
      <c r="AC478" s="1">
        <v>2E-3</v>
      </c>
      <c r="AD478" s="1">
        <v>1E-3</v>
      </c>
      <c r="AE478" s="1">
        <v>3.0000000000000001E-3</v>
      </c>
      <c r="AF478" s="1">
        <v>1E-3</v>
      </c>
      <c r="AG478" s="1">
        <v>0</v>
      </c>
      <c r="AH478" s="1">
        <v>4.0000000000000001E-3</v>
      </c>
      <c r="AI478" s="1">
        <v>0</v>
      </c>
      <c r="AJ478" s="1">
        <v>0.01</v>
      </c>
      <c r="AK478" s="1">
        <v>3.1E-2</v>
      </c>
      <c r="AL478" s="1">
        <v>2E-3</v>
      </c>
      <c r="AM478" s="1">
        <v>3.0000000000000001E-3</v>
      </c>
      <c r="AN478" s="1">
        <v>1.4E-2</v>
      </c>
      <c r="AO478" s="1">
        <v>1E-3</v>
      </c>
      <c r="AP478" s="1">
        <v>1E-3</v>
      </c>
      <c r="AQ478" s="1">
        <v>1E-3</v>
      </c>
      <c r="AR478" s="1">
        <v>2E-3</v>
      </c>
      <c r="AS478" s="1">
        <v>2E-3</v>
      </c>
      <c r="AT478" s="1">
        <v>1E-3</v>
      </c>
      <c r="AU478" s="1">
        <v>1E-3</v>
      </c>
      <c r="AV478" s="1">
        <v>1E-3</v>
      </c>
      <c r="AW478" s="1">
        <v>2E-3</v>
      </c>
      <c r="AX478" s="1">
        <v>1E-3</v>
      </c>
      <c r="AY478" s="1">
        <v>1E-3</v>
      </c>
      <c r="AZ478" s="1">
        <v>2E-3</v>
      </c>
      <c r="BA478" s="1">
        <v>3.0000000000000001E-3</v>
      </c>
      <c r="BB478" s="1">
        <v>2.1999999999999999E-2</v>
      </c>
      <c r="BC478" s="1">
        <v>1E-3</v>
      </c>
      <c r="BD478" s="1">
        <v>3.0000000000000001E-3</v>
      </c>
      <c r="BE478" s="1">
        <v>0</v>
      </c>
      <c r="BF478" s="1">
        <v>0</v>
      </c>
      <c r="BG478" s="1">
        <v>1E-3</v>
      </c>
      <c r="BH478" s="1">
        <v>0</v>
      </c>
      <c r="BI478" s="1">
        <v>1E-3</v>
      </c>
      <c r="BJ478" s="1">
        <v>0</v>
      </c>
      <c r="BK478" s="1">
        <v>0</v>
      </c>
      <c r="BL478" s="1">
        <v>1E-3</v>
      </c>
      <c r="BM478" s="1">
        <v>1E-3</v>
      </c>
      <c r="BN478" s="1">
        <v>1E-3</v>
      </c>
      <c r="BO478" s="1">
        <v>3.0000000000000001E-3</v>
      </c>
      <c r="BP478" s="1">
        <v>0</v>
      </c>
      <c r="BQ478" s="1">
        <v>2E-3</v>
      </c>
      <c r="BR478" s="1">
        <v>1E-3</v>
      </c>
      <c r="BS478" s="1">
        <v>1E-3</v>
      </c>
      <c r="BT478" s="1">
        <v>0</v>
      </c>
      <c r="BU478" s="1">
        <v>1E-3</v>
      </c>
      <c r="BV478" s="1">
        <v>3.0000000000000001E-3</v>
      </c>
      <c r="BW478" s="1">
        <v>1E-3</v>
      </c>
      <c r="BX478" s="1">
        <v>0.84199999999999997</v>
      </c>
      <c r="BY478" s="1">
        <v>2E-3</v>
      </c>
      <c r="BZ478" s="1">
        <v>2E-3</v>
      </c>
      <c r="CA478" s="1">
        <v>1E-3</v>
      </c>
      <c r="CB478" s="1">
        <v>0</v>
      </c>
      <c r="CC478" s="1">
        <v>1E-3</v>
      </c>
      <c r="CD478" s="1">
        <v>0</v>
      </c>
      <c r="CE478" s="1">
        <v>1E-3</v>
      </c>
      <c r="CF478" s="1">
        <v>1E-3</v>
      </c>
      <c r="CG478" s="1">
        <v>1E-3</v>
      </c>
      <c r="CH478" s="1">
        <v>1E-3</v>
      </c>
      <c r="CI478" s="1">
        <v>1E-3</v>
      </c>
      <c r="CJ478" s="1">
        <v>2E-3</v>
      </c>
      <c r="CK478" s="1">
        <v>0.01</v>
      </c>
      <c r="CL478" s="1">
        <v>2E-3</v>
      </c>
      <c r="CM478" s="1">
        <v>7.1909908280000003</v>
      </c>
      <c r="CN478" s="83">
        <v>22.149015729999999</v>
      </c>
    </row>
    <row r="479" spans="1:92" s="3" customFormat="1" x14ac:dyDescent="0.25">
      <c r="A479" s="72">
        <v>507</v>
      </c>
      <c r="B479" s="81" t="s">
        <v>888</v>
      </c>
      <c r="C479" s="1" t="s">
        <v>83</v>
      </c>
      <c r="D479" s="1" t="s">
        <v>73</v>
      </c>
      <c r="E479" s="1" t="s">
        <v>99</v>
      </c>
      <c r="F479" s="1" t="s">
        <v>128</v>
      </c>
      <c r="G479" s="1" t="s">
        <v>176</v>
      </c>
      <c r="H479" s="1" t="s">
        <v>535</v>
      </c>
      <c r="I479" s="1"/>
      <c r="J479" s="9" t="s">
        <v>506</v>
      </c>
      <c r="K479" s="10">
        <v>0.47973966666666701</v>
      </c>
      <c r="L479" s="1" t="s">
        <v>641</v>
      </c>
      <c r="M479" s="1" t="s">
        <v>76</v>
      </c>
      <c r="N479" s="1" t="s">
        <v>644</v>
      </c>
      <c r="O479" s="1" t="s">
        <v>55</v>
      </c>
      <c r="P479" s="82">
        <v>0.89500000000000002</v>
      </c>
      <c r="Q479" s="1" t="s">
        <v>76</v>
      </c>
      <c r="R479" s="81" t="s">
        <v>87</v>
      </c>
      <c r="S479" s="1">
        <v>2</v>
      </c>
      <c r="T479" s="1" t="s">
        <v>78</v>
      </c>
      <c r="U479" s="1" t="s">
        <v>658</v>
      </c>
      <c r="V479" s="1" t="s">
        <v>655</v>
      </c>
      <c r="W479" s="1">
        <v>37</v>
      </c>
      <c r="X479" s="1" t="s">
        <v>76</v>
      </c>
      <c r="Y479" s="1" t="s">
        <v>644</v>
      </c>
      <c r="Z479" s="1">
        <v>0</v>
      </c>
      <c r="AA479" s="1">
        <v>1E-3</v>
      </c>
      <c r="AB479" s="1">
        <v>1E-3</v>
      </c>
      <c r="AC479" s="1">
        <v>2E-3</v>
      </c>
      <c r="AD479" s="1">
        <v>1E-3</v>
      </c>
      <c r="AE479" s="1">
        <v>1E-3</v>
      </c>
      <c r="AF479" s="1">
        <v>1E-3</v>
      </c>
      <c r="AG479" s="1">
        <v>0</v>
      </c>
      <c r="AH479" s="1">
        <v>2E-3</v>
      </c>
      <c r="AI479" s="1">
        <v>0</v>
      </c>
      <c r="AJ479" s="1">
        <v>2E-3</v>
      </c>
      <c r="AK479" s="1">
        <v>1.9E-2</v>
      </c>
      <c r="AL479" s="1">
        <v>1E-3</v>
      </c>
      <c r="AM479" s="1">
        <v>1E-3</v>
      </c>
      <c r="AN479" s="1">
        <v>2E-3</v>
      </c>
      <c r="AO479" s="1">
        <v>1E-3</v>
      </c>
      <c r="AP479" s="1">
        <v>0</v>
      </c>
      <c r="AQ479" s="1">
        <v>0</v>
      </c>
      <c r="AR479" s="1">
        <v>1E-3</v>
      </c>
      <c r="AS479" s="1">
        <v>2E-3</v>
      </c>
      <c r="AT479" s="1">
        <v>1E-3</v>
      </c>
      <c r="AU479" s="1">
        <v>1E-3</v>
      </c>
      <c r="AV479" s="1">
        <v>0</v>
      </c>
      <c r="AW479" s="1">
        <v>1E-3</v>
      </c>
      <c r="AX479" s="1">
        <v>1E-3</v>
      </c>
      <c r="AY479" s="1">
        <v>1E-3</v>
      </c>
      <c r="AZ479" s="1">
        <v>1E-3</v>
      </c>
      <c r="BA479" s="1">
        <v>2E-3</v>
      </c>
      <c r="BB479" s="1">
        <v>2.5999999999999999E-2</v>
      </c>
      <c r="BC479" s="1">
        <v>0</v>
      </c>
      <c r="BD479" s="1">
        <v>2E-3</v>
      </c>
      <c r="BE479" s="1">
        <v>0</v>
      </c>
      <c r="BF479" s="1">
        <v>0</v>
      </c>
      <c r="BG479" s="1">
        <v>1E-3</v>
      </c>
      <c r="BH479" s="1">
        <v>0</v>
      </c>
      <c r="BI479" s="1">
        <v>0</v>
      </c>
      <c r="BJ479" s="1">
        <v>0</v>
      </c>
      <c r="BK479" s="1">
        <v>0</v>
      </c>
      <c r="BL479" s="1">
        <v>1E-3</v>
      </c>
      <c r="BM479" s="1">
        <v>0</v>
      </c>
      <c r="BN479" s="1">
        <v>1E-3</v>
      </c>
      <c r="BO479" s="1">
        <v>2E-3</v>
      </c>
      <c r="BP479" s="1">
        <v>0</v>
      </c>
      <c r="BQ479" s="1">
        <v>1E-3</v>
      </c>
      <c r="BR479" s="1">
        <v>1E-3</v>
      </c>
      <c r="BS479" s="1">
        <v>1E-3</v>
      </c>
      <c r="BT479" s="1">
        <v>0</v>
      </c>
      <c r="BU479" s="1">
        <v>0</v>
      </c>
      <c r="BV479" s="1">
        <v>2E-3</v>
      </c>
      <c r="BW479" s="1">
        <v>1E-3</v>
      </c>
      <c r="BX479" s="1">
        <v>0.89500000000000002</v>
      </c>
      <c r="BY479" s="1">
        <v>1E-3</v>
      </c>
      <c r="BZ479" s="1">
        <v>1E-3</v>
      </c>
      <c r="CA479" s="1">
        <v>2E-3</v>
      </c>
      <c r="CB479" s="1">
        <v>0</v>
      </c>
      <c r="CC479" s="1">
        <v>1E-3</v>
      </c>
      <c r="CD479" s="1">
        <v>0</v>
      </c>
      <c r="CE479" s="1">
        <v>0</v>
      </c>
      <c r="CF479" s="1">
        <v>0</v>
      </c>
      <c r="CG479" s="1">
        <v>1E-3</v>
      </c>
      <c r="CH479" s="1">
        <v>1E-3</v>
      </c>
      <c r="CI479" s="1">
        <v>1E-3</v>
      </c>
      <c r="CJ479" s="1">
        <v>2E-3</v>
      </c>
      <c r="CK479" s="1">
        <v>7.0000000000000001E-3</v>
      </c>
      <c r="CL479" s="1">
        <v>2E-3</v>
      </c>
      <c r="CM479" s="1">
        <v>3.2155477119999998</v>
      </c>
      <c r="CN479" s="83">
        <v>21.803411400000002</v>
      </c>
    </row>
    <row r="480" spans="1:92" s="3" customFormat="1" x14ac:dyDescent="0.25">
      <c r="A480" s="72">
        <v>508</v>
      </c>
      <c r="B480" s="81" t="s">
        <v>1628</v>
      </c>
      <c r="C480" s="1" t="s">
        <v>83</v>
      </c>
      <c r="D480" s="1" t="s">
        <v>73</v>
      </c>
      <c r="E480" s="1" t="s">
        <v>99</v>
      </c>
      <c r="F480" s="1" t="s">
        <v>128</v>
      </c>
      <c r="G480" s="1" t="s">
        <v>303</v>
      </c>
      <c r="H480" s="1" t="s">
        <v>570</v>
      </c>
      <c r="I480" s="1"/>
      <c r="J480" s="9" t="s">
        <v>544</v>
      </c>
      <c r="K480" s="10">
        <v>0.56616050000000095</v>
      </c>
      <c r="L480" s="1" t="s">
        <v>641</v>
      </c>
      <c r="M480" s="1" t="s">
        <v>76</v>
      </c>
      <c r="N480" s="1" t="s">
        <v>649</v>
      </c>
      <c r="O480" s="1" t="s">
        <v>55</v>
      </c>
      <c r="P480" s="82">
        <v>0.88100000000000001</v>
      </c>
      <c r="Q480" s="1" t="s">
        <v>76</v>
      </c>
      <c r="R480" s="81" t="s">
        <v>87</v>
      </c>
      <c r="S480" s="1">
        <v>3</v>
      </c>
      <c r="T480" s="1" t="s">
        <v>78</v>
      </c>
      <c r="U480" s="1" t="s">
        <v>658</v>
      </c>
      <c r="V480" s="1" t="s">
        <v>655</v>
      </c>
      <c r="W480" s="1">
        <v>5</v>
      </c>
      <c r="X480" s="1" t="s">
        <v>76</v>
      </c>
      <c r="Y480" s="1" t="s">
        <v>645</v>
      </c>
      <c r="Z480" s="1">
        <v>0</v>
      </c>
      <c r="AA480" s="1">
        <v>1E-3</v>
      </c>
      <c r="AB480" s="1">
        <v>1E-3</v>
      </c>
      <c r="AC480" s="1">
        <v>4.0000000000000001E-3</v>
      </c>
      <c r="AD480" s="1">
        <v>1E-3</v>
      </c>
      <c r="AE480" s="1">
        <v>1E-3</v>
      </c>
      <c r="AF480" s="1">
        <v>1E-3</v>
      </c>
      <c r="AG480" s="1">
        <v>0</v>
      </c>
      <c r="AH480" s="1">
        <v>3.0000000000000001E-3</v>
      </c>
      <c r="AI480" s="1">
        <v>0</v>
      </c>
      <c r="AJ480" s="1">
        <v>1E-3</v>
      </c>
      <c r="AK480" s="1">
        <v>2E-3</v>
      </c>
      <c r="AL480" s="1">
        <v>2E-3</v>
      </c>
      <c r="AM480" s="1">
        <v>0</v>
      </c>
      <c r="AN480" s="1">
        <v>1E-3</v>
      </c>
      <c r="AO480" s="1">
        <v>2E-3</v>
      </c>
      <c r="AP480" s="1">
        <v>1E-3</v>
      </c>
      <c r="AQ480" s="1">
        <v>1E-3</v>
      </c>
      <c r="AR480" s="1">
        <v>0</v>
      </c>
      <c r="AS480" s="1">
        <v>3.0000000000000001E-3</v>
      </c>
      <c r="AT480" s="1">
        <v>2E-3</v>
      </c>
      <c r="AU480" s="1">
        <v>1E-3</v>
      </c>
      <c r="AV480" s="1">
        <v>1E-3</v>
      </c>
      <c r="AW480" s="1">
        <v>2E-3</v>
      </c>
      <c r="AX480" s="1">
        <v>5.0000000000000001E-3</v>
      </c>
      <c r="AY480" s="1">
        <v>2E-3</v>
      </c>
      <c r="AZ480" s="1">
        <v>1E-3</v>
      </c>
      <c r="BA480" s="1">
        <v>3.0000000000000001E-3</v>
      </c>
      <c r="BB480" s="1">
        <v>2E-3</v>
      </c>
      <c r="BC480" s="1">
        <v>1E-3</v>
      </c>
      <c r="BD480" s="1">
        <v>3.0000000000000001E-3</v>
      </c>
      <c r="BE480" s="1">
        <v>1E-3</v>
      </c>
      <c r="BF480" s="1">
        <v>0</v>
      </c>
      <c r="BG480" s="1">
        <v>1E-3</v>
      </c>
      <c r="BH480" s="1">
        <v>1E-3</v>
      </c>
      <c r="BI480" s="1">
        <v>0</v>
      </c>
      <c r="BJ480" s="1">
        <v>0</v>
      </c>
      <c r="BK480" s="1">
        <v>0</v>
      </c>
      <c r="BL480" s="1">
        <v>0.01</v>
      </c>
      <c r="BM480" s="1">
        <v>2E-3</v>
      </c>
      <c r="BN480" s="1">
        <v>1E-3</v>
      </c>
      <c r="BO480" s="1">
        <v>1E-3</v>
      </c>
      <c r="BP480" s="1">
        <v>0</v>
      </c>
      <c r="BQ480" s="1">
        <v>1.7000000000000001E-2</v>
      </c>
      <c r="BR480" s="1">
        <v>2E-3</v>
      </c>
      <c r="BS480" s="1">
        <v>1E-3</v>
      </c>
      <c r="BT480" s="1">
        <v>1E-3</v>
      </c>
      <c r="BU480" s="1">
        <v>1E-3</v>
      </c>
      <c r="BV480" s="1">
        <v>4.0000000000000001E-3</v>
      </c>
      <c r="BW480" s="1">
        <v>1E-3</v>
      </c>
      <c r="BX480" s="1">
        <v>0.88100000000000001</v>
      </c>
      <c r="BY480" s="1">
        <v>4.0000000000000001E-3</v>
      </c>
      <c r="BZ480" s="1">
        <v>3.0000000000000001E-3</v>
      </c>
      <c r="CA480" s="1">
        <v>1E-3</v>
      </c>
      <c r="CB480" s="1">
        <v>0</v>
      </c>
      <c r="CC480" s="1">
        <v>1E-3</v>
      </c>
      <c r="CD480" s="1">
        <v>0</v>
      </c>
      <c r="CE480" s="1">
        <v>1E-3</v>
      </c>
      <c r="CF480" s="1">
        <v>1E-3</v>
      </c>
      <c r="CG480" s="1">
        <v>2E-3</v>
      </c>
      <c r="CH480" s="1">
        <v>2E-3</v>
      </c>
      <c r="CI480" s="1">
        <v>2E-3</v>
      </c>
      <c r="CJ480" s="1">
        <v>3.0000000000000001E-3</v>
      </c>
      <c r="CK480" s="1">
        <v>7.0000000000000001E-3</v>
      </c>
      <c r="CL480" s="1">
        <v>2E-3</v>
      </c>
      <c r="CM480" s="1">
        <v>15.277875480000001</v>
      </c>
      <c r="CN480" s="83">
        <v>32.8306909</v>
      </c>
    </row>
    <row r="481" spans="1:92" s="3" customFormat="1" x14ac:dyDescent="0.25">
      <c r="A481" s="72">
        <v>509</v>
      </c>
      <c r="B481" s="81" t="s">
        <v>1141</v>
      </c>
      <c r="C481" s="1" t="s">
        <v>83</v>
      </c>
      <c r="D481" s="1" t="s">
        <v>73</v>
      </c>
      <c r="E481" s="1" t="s">
        <v>74</v>
      </c>
      <c r="F481" s="1" t="s">
        <v>128</v>
      </c>
      <c r="G481" s="1" t="s">
        <v>166</v>
      </c>
      <c r="H481" s="1" t="s">
        <v>535</v>
      </c>
      <c r="I481" s="1"/>
      <c r="J481" s="9" t="s">
        <v>506</v>
      </c>
      <c r="K481" s="10">
        <v>0.31096299999999999</v>
      </c>
      <c r="L481" s="1" t="s">
        <v>641</v>
      </c>
      <c r="M481" s="1" t="s">
        <v>76</v>
      </c>
      <c r="N481" s="1" t="s">
        <v>644</v>
      </c>
      <c r="O481" s="1" t="s">
        <v>19</v>
      </c>
      <c r="P481" s="82">
        <v>0.873</v>
      </c>
      <c r="Q481" s="1" t="s">
        <v>76</v>
      </c>
      <c r="R481" s="81" t="s">
        <v>77</v>
      </c>
      <c r="S481" s="1">
        <v>1</v>
      </c>
      <c r="T481" s="1" t="s">
        <v>78</v>
      </c>
      <c r="U481" s="1" t="s">
        <v>658</v>
      </c>
      <c r="V481" s="1" t="s">
        <v>655</v>
      </c>
      <c r="W481" s="1">
        <v>14</v>
      </c>
      <c r="X481" s="1" t="s">
        <v>167</v>
      </c>
      <c r="Y481" s="1" t="s">
        <v>644</v>
      </c>
      <c r="Z481" s="1">
        <v>1.4E-2</v>
      </c>
      <c r="AA481" s="1">
        <v>0</v>
      </c>
      <c r="AB481" s="1">
        <v>0</v>
      </c>
      <c r="AC481" s="1">
        <v>4.0000000000000001E-3</v>
      </c>
      <c r="AD481" s="1">
        <v>1E-3</v>
      </c>
      <c r="AE481" s="1">
        <v>1E-3</v>
      </c>
      <c r="AF481" s="1">
        <v>0</v>
      </c>
      <c r="AG481" s="1">
        <v>0</v>
      </c>
      <c r="AH481" s="1">
        <v>6.0000000000000001E-3</v>
      </c>
      <c r="AI481" s="1">
        <v>1E-3</v>
      </c>
      <c r="AJ481" s="1">
        <v>4.0000000000000001E-3</v>
      </c>
      <c r="AK481" s="1">
        <v>0</v>
      </c>
      <c r="AL481" s="1">
        <v>0</v>
      </c>
      <c r="AM481" s="1">
        <v>0</v>
      </c>
      <c r="AN481" s="1">
        <v>0.873</v>
      </c>
      <c r="AO481" s="1">
        <v>0</v>
      </c>
      <c r="AP481" s="1">
        <v>0</v>
      </c>
      <c r="AQ481" s="1">
        <v>0</v>
      </c>
      <c r="AR481" s="1">
        <v>0</v>
      </c>
      <c r="AS481" s="1">
        <v>1E-3</v>
      </c>
      <c r="AT481" s="1">
        <v>0</v>
      </c>
      <c r="AU481" s="1">
        <v>0</v>
      </c>
      <c r="AV481" s="1">
        <v>1E-3</v>
      </c>
      <c r="AW481" s="1">
        <v>0</v>
      </c>
      <c r="AX481" s="1">
        <v>0</v>
      </c>
      <c r="AY481" s="1">
        <v>0</v>
      </c>
      <c r="AZ481" s="1">
        <v>1E-3</v>
      </c>
      <c r="BA481" s="1">
        <v>1E-3</v>
      </c>
      <c r="BB481" s="1">
        <v>1E-3</v>
      </c>
      <c r="BC481" s="1">
        <v>0</v>
      </c>
      <c r="BD481" s="1">
        <v>2E-3</v>
      </c>
      <c r="BE481" s="1">
        <v>0</v>
      </c>
      <c r="BF481" s="1">
        <v>6.7000000000000004E-2</v>
      </c>
      <c r="BG481" s="1">
        <v>0</v>
      </c>
      <c r="BH481" s="1">
        <v>1E-3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8.9999999999999993E-3</v>
      </c>
      <c r="BY481" s="1">
        <v>1E-3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1E-3</v>
      </c>
      <c r="CH481" s="1">
        <v>0</v>
      </c>
      <c r="CI481" s="1">
        <v>0</v>
      </c>
      <c r="CJ481" s="1">
        <v>1E-3</v>
      </c>
      <c r="CK481" s="1">
        <v>1E-3</v>
      </c>
      <c r="CL481" s="1">
        <v>1E-3</v>
      </c>
      <c r="CM481" s="1">
        <v>-23.51597344</v>
      </c>
      <c r="CN481" s="83">
        <v>-36.012021869999998</v>
      </c>
    </row>
    <row r="482" spans="1:92" s="3" customFormat="1" x14ac:dyDescent="0.25">
      <c r="A482" s="72">
        <v>224</v>
      </c>
      <c r="B482" s="81" t="s">
        <v>908</v>
      </c>
      <c r="C482" s="1" t="s">
        <v>83</v>
      </c>
      <c r="D482" s="1" t="s">
        <v>79</v>
      </c>
      <c r="E482" s="1" t="s">
        <v>215</v>
      </c>
      <c r="F482" s="1" t="s">
        <v>665</v>
      </c>
      <c r="G482" s="1" t="s">
        <v>219</v>
      </c>
      <c r="H482" s="1" t="s">
        <v>48</v>
      </c>
      <c r="I482" s="1"/>
      <c r="J482" s="9" t="s">
        <v>544</v>
      </c>
      <c r="K482" s="10">
        <v>0.48983083333333299</v>
      </c>
      <c r="L482" s="1" t="s">
        <v>1715</v>
      </c>
      <c r="M482" s="1" t="s">
        <v>506</v>
      </c>
      <c r="N482" s="1" t="s">
        <v>648</v>
      </c>
      <c r="O482" s="1" t="s">
        <v>68</v>
      </c>
      <c r="P482" s="82">
        <v>1</v>
      </c>
      <c r="Q482" s="1" t="s">
        <v>76</v>
      </c>
      <c r="R482" s="81" t="s">
        <v>129</v>
      </c>
      <c r="S482" s="1">
        <v>3</v>
      </c>
      <c r="T482" s="1" t="s">
        <v>120</v>
      </c>
      <c r="U482" s="1" t="s">
        <v>658</v>
      </c>
      <c r="V482" s="1" t="s">
        <v>655</v>
      </c>
      <c r="W482" s="1">
        <v>62</v>
      </c>
      <c r="X482" s="1" t="s">
        <v>76</v>
      </c>
      <c r="Y482" s="1" t="s">
        <v>648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1</v>
      </c>
      <c r="CL482" s="1">
        <v>0</v>
      </c>
      <c r="CM482" s="1">
        <v>49.44282913</v>
      </c>
      <c r="CN482" s="83">
        <v>-47.832436340000001</v>
      </c>
    </row>
    <row r="483" spans="1:92" s="3" customFormat="1" x14ac:dyDescent="0.25">
      <c r="A483" s="72">
        <v>796</v>
      </c>
      <c r="B483" s="81" t="s">
        <v>743</v>
      </c>
      <c r="C483" s="1" t="s">
        <v>83</v>
      </c>
      <c r="D483" s="1" t="s">
        <v>73</v>
      </c>
      <c r="E483" s="1" t="s">
        <v>74</v>
      </c>
      <c r="F483" s="1" t="s">
        <v>665</v>
      </c>
      <c r="G483" s="1" t="s">
        <v>98</v>
      </c>
      <c r="H483" s="1" t="s">
        <v>48</v>
      </c>
      <c r="I483" s="1"/>
      <c r="J483" s="9" t="s">
        <v>544</v>
      </c>
      <c r="K483" s="10">
        <v>0.35013966666666702</v>
      </c>
      <c r="L483" s="1" t="s">
        <v>1710</v>
      </c>
      <c r="M483" s="1" t="s">
        <v>506</v>
      </c>
      <c r="N483" s="1" t="s">
        <v>648</v>
      </c>
      <c r="O483" s="1" t="s">
        <v>50</v>
      </c>
      <c r="P483" s="82">
        <v>0.999</v>
      </c>
      <c r="Q483" s="1" t="s">
        <v>76</v>
      </c>
      <c r="R483" s="81" t="s">
        <v>429</v>
      </c>
      <c r="S483" s="1">
        <v>2</v>
      </c>
      <c r="T483" s="1" t="s">
        <v>120</v>
      </c>
      <c r="U483" s="1" t="s">
        <v>658</v>
      </c>
      <c r="V483" s="1" t="s">
        <v>655</v>
      </c>
      <c r="W483" s="1">
        <v>18</v>
      </c>
      <c r="X483" s="1" t="s">
        <v>434</v>
      </c>
      <c r="Y483" s="1" t="s">
        <v>648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0.999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-43.74487207</v>
      </c>
      <c r="CN483" s="83">
        <v>-10.36667042</v>
      </c>
    </row>
    <row r="484" spans="1:92" s="3" customFormat="1" x14ac:dyDescent="0.25">
      <c r="A484" s="72">
        <v>512</v>
      </c>
      <c r="B484" s="81" t="s">
        <v>1629</v>
      </c>
      <c r="C484" s="1" t="s">
        <v>83</v>
      </c>
      <c r="D484" s="1" t="s">
        <v>73</v>
      </c>
      <c r="E484" s="1" t="s">
        <v>74</v>
      </c>
      <c r="F484" s="1" t="s">
        <v>128</v>
      </c>
      <c r="G484" s="1" t="s">
        <v>303</v>
      </c>
      <c r="H484" s="1" t="s">
        <v>570</v>
      </c>
      <c r="I484" s="1"/>
      <c r="J484" s="9" t="s">
        <v>544</v>
      </c>
      <c r="K484" s="10">
        <v>0.53033233333333296</v>
      </c>
      <c r="L484" s="1" t="s">
        <v>76</v>
      </c>
      <c r="M484" s="1" t="s">
        <v>506</v>
      </c>
      <c r="N484" s="1" t="s">
        <v>645</v>
      </c>
      <c r="O484" s="1" t="s">
        <v>55</v>
      </c>
      <c r="P484" s="82">
        <v>0.998</v>
      </c>
      <c r="Q484" s="1" t="s">
        <v>76</v>
      </c>
      <c r="R484" s="81" t="s">
        <v>87</v>
      </c>
      <c r="S484" s="1">
        <v>3</v>
      </c>
      <c r="T484" s="1" t="s">
        <v>78</v>
      </c>
      <c r="U484" s="1" t="s">
        <v>658</v>
      </c>
      <c r="V484" s="1" t="s">
        <v>655</v>
      </c>
      <c r="W484" s="1">
        <v>25</v>
      </c>
      <c r="X484" s="1" t="s">
        <v>76</v>
      </c>
      <c r="Y484" s="1" t="s">
        <v>645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0.998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20.996940800000001</v>
      </c>
      <c r="CN484" s="83">
        <v>33.972209800000002</v>
      </c>
    </row>
    <row r="485" spans="1:92" s="3" customFormat="1" x14ac:dyDescent="0.25">
      <c r="A485" s="72">
        <v>513</v>
      </c>
      <c r="B485" s="81" t="s">
        <v>1147</v>
      </c>
      <c r="C485" s="1" t="s">
        <v>83</v>
      </c>
      <c r="D485" s="1" t="s">
        <v>73</v>
      </c>
      <c r="E485" s="1" t="s">
        <v>99</v>
      </c>
      <c r="F485" s="1" t="s">
        <v>128</v>
      </c>
      <c r="G485" s="1" t="s">
        <v>303</v>
      </c>
      <c r="H485" s="1" t="s">
        <v>570</v>
      </c>
      <c r="I485" s="1"/>
      <c r="J485" s="9" t="s">
        <v>544</v>
      </c>
      <c r="K485" s="10">
        <v>0.310265333333334</v>
      </c>
      <c r="L485" s="1" t="s">
        <v>641</v>
      </c>
      <c r="M485" s="1" t="s">
        <v>76</v>
      </c>
      <c r="N485" s="1" t="s">
        <v>644</v>
      </c>
      <c r="O485" s="1" t="s">
        <v>68</v>
      </c>
      <c r="P485" s="82">
        <v>0.372</v>
      </c>
      <c r="Q485" s="1" t="s">
        <v>76</v>
      </c>
      <c r="R485" s="81" t="s">
        <v>87</v>
      </c>
      <c r="S485" s="1">
        <v>3</v>
      </c>
      <c r="T485" s="1" t="s">
        <v>78</v>
      </c>
      <c r="U485" s="1" t="s">
        <v>658</v>
      </c>
      <c r="V485" s="1" t="s">
        <v>655</v>
      </c>
      <c r="W485" s="1">
        <v>14</v>
      </c>
      <c r="X485" s="1" t="s">
        <v>76</v>
      </c>
      <c r="Y485" s="1" t="s">
        <v>644</v>
      </c>
      <c r="Z485" s="1">
        <v>0.02</v>
      </c>
      <c r="AA485" s="1">
        <v>2E-3</v>
      </c>
      <c r="AB485" s="1">
        <v>2E-3</v>
      </c>
      <c r="AC485" s="1">
        <v>1E-3</v>
      </c>
      <c r="AD485" s="1">
        <v>7.0000000000000001E-3</v>
      </c>
      <c r="AE485" s="1">
        <v>1E-3</v>
      </c>
      <c r="AF485" s="1">
        <v>2E-3</v>
      </c>
      <c r="AG485" s="1">
        <v>0</v>
      </c>
      <c r="AH485" s="1">
        <v>3.0000000000000001E-3</v>
      </c>
      <c r="AI485" s="1">
        <v>0</v>
      </c>
      <c r="AJ485" s="1">
        <v>8.0000000000000002E-3</v>
      </c>
      <c r="AK485" s="1">
        <v>1E-3</v>
      </c>
      <c r="AL485" s="1">
        <v>0</v>
      </c>
      <c r="AM485" s="1">
        <v>1E-3</v>
      </c>
      <c r="AN485" s="1">
        <v>7.0000000000000001E-3</v>
      </c>
      <c r="AO485" s="1">
        <v>1E-3</v>
      </c>
      <c r="AP485" s="1">
        <v>1E-3</v>
      </c>
      <c r="AQ485" s="1">
        <v>1E-3</v>
      </c>
      <c r="AR485" s="1">
        <v>6.7000000000000004E-2</v>
      </c>
      <c r="AS485" s="1">
        <v>3.0000000000000001E-3</v>
      </c>
      <c r="AT485" s="1">
        <v>1E-3</v>
      </c>
      <c r="AU485" s="1">
        <v>4.0000000000000001E-3</v>
      </c>
      <c r="AV485" s="1">
        <v>3.0000000000000001E-3</v>
      </c>
      <c r="AW485" s="1">
        <v>1E-3</v>
      </c>
      <c r="AX485" s="1">
        <v>4.2999999999999997E-2</v>
      </c>
      <c r="AY485" s="1">
        <v>3.0000000000000001E-3</v>
      </c>
      <c r="AZ485" s="1">
        <v>6.0000000000000001E-3</v>
      </c>
      <c r="BA485" s="1">
        <v>4.0000000000000001E-3</v>
      </c>
      <c r="BB485" s="1">
        <v>1E-3</v>
      </c>
      <c r="BC485" s="1">
        <v>1E-3</v>
      </c>
      <c r="BD485" s="1">
        <v>6.0000000000000001E-3</v>
      </c>
      <c r="BE485" s="1">
        <v>1E-3</v>
      </c>
      <c r="BF485" s="1">
        <v>3.0000000000000001E-3</v>
      </c>
      <c r="BG485" s="1">
        <v>0</v>
      </c>
      <c r="BH485" s="1">
        <v>1E-3</v>
      </c>
      <c r="BI485" s="1">
        <v>1E-3</v>
      </c>
      <c r="BJ485" s="1">
        <v>5.6000000000000001E-2</v>
      </c>
      <c r="BK485" s="1">
        <v>1E-3</v>
      </c>
      <c r="BL485" s="1">
        <v>1E-3</v>
      </c>
      <c r="BM485" s="1">
        <v>1E-3</v>
      </c>
      <c r="BN485" s="1">
        <v>2E-3</v>
      </c>
      <c r="BO485" s="1">
        <v>1E-3</v>
      </c>
      <c r="BP485" s="1">
        <v>0.127</v>
      </c>
      <c r="BQ485" s="1">
        <v>1E-3</v>
      </c>
      <c r="BR485" s="1">
        <v>1E-3</v>
      </c>
      <c r="BS485" s="1">
        <v>1.7000000000000001E-2</v>
      </c>
      <c r="BT485" s="1">
        <v>1E-3</v>
      </c>
      <c r="BU485" s="1">
        <v>1.2E-2</v>
      </c>
      <c r="BV485" s="1">
        <v>1E-3</v>
      </c>
      <c r="BW485" s="1">
        <v>2E-3</v>
      </c>
      <c r="BX485" s="1">
        <v>7.0000000000000001E-3</v>
      </c>
      <c r="BY485" s="1">
        <v>2E-3</v>
      </c>
      <c r="BZ485" s="1">
        <v>8.9999999999999993E-3</v>
      </c>
      <c r="CA485" s="1">
        <v>1E-3</v>
      </c>
      <c r="CB485" s="1">
        <v>1E-3</v>
      </c>
      <c r="CC485" s="1">
        <v>2E-3</v>
      </c>
      <c r="CD485" s="1">
        <v>0</v>
      </c>
      <c r="CE485" s="1">
        <v>1E-3</v>
      </c>
      <c r="CF485" s="1">
        <v>1E-3</v>
      </c>
      <c r="CG485" s="1">
        <v>1E-3</v>
      </c>
      <c r="CH485" s="1">
        <v>1E-3</v>
      </c>
      <c r="CI485" s="1">
        <v>1E-3</v>
      </c>
      <c r="CJ485" s="1">
        <v>1E-3</v>
      </c>
      <c r="CK485" s="1">
        <v>0.372</v>
      </c>
      <c r="CL485" s="1">
        <v>0.17100000000000001</v>
      </c>
      <c r="CM485" s="1">
        <v>-44.842430200000003</v>
      </c>
      <c r="CN485" s="83">
        <v>-21.049877890000001</v>
      </c>
    </row>
    <row r="486" spans="1:92" s="3" customFormat="1" x14ac:dyDescent="0.25">
      <c r="A486" s="72">
        <v>811</v>
      </c>
      <c r="B486" s="81" t="s">
        <v>779</v>
      </c>
      <c r="C486" s="1" t="s">
        <v>83</v>
      </c>
      <c r="D486" s="1" t="s">
        <v>73</v>
      </c>
      <c r="E486" s="1" t="s">
        <v>74</v>
      </c>
      <c r="F486" s="1" t="s">
        <v>665</v>
      </c>
      <c r="G486" s="1" t="s">
        <v>98</v>
      </c>
      <c r="H486" s="1" t="s">
        <v>48</v>
      </c>
      <c r="I486" s="1"/>
      <c r="J486" s="9" t="s">
        <v>544</v>
      </c>
      <c r="K486" s="10">
        <v>0.36639133333333301</v>
      </c>
      <c r="L486" s="1" t="s">
        <v>585</v>
      </c>
      <c r="M486" s="1" t="s">
        <v>506</v>
      </c>
      <c r="N486" s="1" t="s">
        <v>648</v>
      </c>
      <c r="O486" s="1" t="s">
        <v>68</v>
      </c>
      <c r="P486" s="82">
        <v>0.996</v>
      </c>
      <c r="Q486" s="1" t="s">
        <v>76</v>
      </c>
      <c r="R486" s="81" t="s">
        <v>169</v>
      </c>
      <c r="S486" s="1">
        <v>3</v>
      </c>
      <c r="T486" s="1" t="s">
        <v>120</v>
      </c>
      <c r="U486" s="1" t="s">
        <v>658</v>
      </c>
      <c r="V486" s="1" t="s">
        <v>655</v>
      </c>
      <c r="W486" s="1">
        <v>78</v>
      </c>
      <c r="X486" s="1" t="s">
        <v>434</v>
      </c>
      <c r="Y486" s="1" t="s">
        <v>648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4.0000000000000001E-3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0.996</v>
      </c>
      <c r="CL486" s="1">
        <v>0</v>
      </c>
      <c r="CM486" s="1">
        <v>28.974683049999999</v>
      </c>
      <c r="CN486" s="83">
        <v>-49.404335459999999</v>
      </c>
    </row>
    <row r="487" spans="1:92" s="3" customFormat="1" x14ac:dyDescent="0.25">
      <c r="A487" s="72">
        <v>515</v>
      </c>
      <c r="B487" s="81" t="s">
        <v>1552</v>
      </c>
      <c r="C487" s="1" t="s">
        <v>83</v>
      </c>
      <c r="D487" s="1" t="s">
        <v>73</v>
      </c>
      <c r="E487" s="1" t="s">
        <v>74</v>
      </c>
      <c r="F487" s="1" t="s">
        <v>93</v>
      </c>
      <c r="G487" s="1" t="s">
        <v>568</v>
      </c>
      <c r="H487" s="1" t="s">
        <v>34</v>
      </c>
      <c r="I487" s="1"/>
      <c r="J487" s="9" t="s">
        <v>544</v>
      </c>
      <c r="K487" s="10">
        <v>0.48307299999999997</v>
      </c>
      <c r="L487" s="1" t="s">
        <v>76</v>
      </c>
      <c r="M487" s="1" t="s">
        <v>506</v>
      </c>
      <c r="N487" s="1" t="s">
        <v>645</v>
      </c>
      <c r="O487" s="1" t="s">
        <v>34</v>
      </c>
      <c r="P487" s="82">
        <v>0.999</v>
      </c>
      <c r="Q487" s="1" t="s">
        <v>76</v>
      </c>
      <c r="R487" s="81" t="s">
        <v>217</v>
      </c>
      <c r="S487" s="1">
        <v>3</v>
      </c>
      <c r="T487" s="1" t="s">
        <v>120</v>
      </c>
      <c r="U487" s="1" t="s">
        <v>660</v>
      </c>
      <c r="V487" s="1" t="s">
        <v>655</v>
      </c>
      <c r="W487" s="1">
        <v>15</v>
      </c>
      <c r="X487" s="1" t="s">
        <v>96</v>
      </c>
      <c r="Y487" s="1" t="s">
        <v>645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1E-3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0.999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52.797503370000001</v>
      </c>
      <c r="CN487" s="83">
        <v>-0.69079955900000001</v>
      </c>
    </row>
    <row r="488" spans="1:92" s="3" customFormat="1" x14ac:dyDescent="0.25">
      <c r="A488" s="72">
        <v>516</v>
      </c>
      <c r="B488" s="81" t="s">
        <v>1556</v>
      </c>
      <c r="C488" s="1" t="s">
        <v>83</v>
      </c>
      <c r="D488" s="1" t="s">
        <v>73</v>
      </c>
      <c r="E488" s="1" t="s">
        <v>74</v>
      </c>
      <c r="F488" s="1" t="s">
        <v>93</v>
      </c>
      <c r="G488" s="1" t="s">
        <v>568</v>
      </c>
      <c r="H488" s="1" t="s">
        <v>34</v>
      </c>
      <c r="I488" s="1"/>
      <c r="J488" s="9" t="s">
        <v>544</v>
      </c>
      <c r="K488" s="10">
        <v>0.40826966666666697</v>
      </c>
      <c r="L488" s="1" t="s">
        <v>76</v>
      </c>
      <c r="M488" s="1" t="s">
        <v>506</v>
      </c>
      <c r="N488" s="1" t="s">
        <v>645</v>
      </c>
      <c r="O488" s="1" t="s">
        <v>34</v>
      </c>
      <c r="P488" s="82">
        <v>0.999</v>
      </c>
      <c r="Q488" s="1" t="s">
        <v>76</v>
      </c>
      <c r="R488" s="81" t="s">
        <v>149</v>
      </c>
      <c r="S488" s="1">
        <v>3</v>
      </c>
      <c r="T488" s="1" t="s">
        <v>78</v>
      </c>
      <c r="U488" s="1" t="s">
        <v>658</v>
      </c>
      <c r="V488" s="1" t="s">
        <v>655</v>
      </c>
      <c r="W488" s="1">
        <v>15</v>
      </c>
      <c r="X488" s="1" t="s">
        <v>96</v>
      </c>
      <c r="Y488" s="1" t="s">
        <v>645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0.999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47.268306870000004</v>
      </c>
      <c r="CN488" s="83">
        <v>-2.748913978</v>
      </c>
    </row>
    <row r="489" spans="1:92" s="3" customFormat="1" x14ac:dyDescent="0.25">
      <c r="A489" s="72">
        <v>960</v>
      </c>
      <c r="B489" s="81" t="s">
        <v>808</v>
      </c>
      <c r="C489" s="1" t="s">
        <v>83</v>
      </c>
      <c r="D489" s="1" t="s">
        <v>79</v>
      </c>
      <c r="E489" s="1" t="s">
        <v>74</v>
      </c>
      <c r="F489" s="1" t="s">
        <v>665</v>
      </c>
      <c r="G489" s="1" t="s">
        <v>98</v>
      </c>
      <c r="H489" s="1" t="s">
        <v>48</v>
      </c>
      <c r="I489" s="1"/>
      <c r="J489" s="9" t="s">
        <v>544</v>
      </c>
      <c r="K489" s="10">
        <v>0.55458083333333297</v>
      </c>
      <c r="L489" s="1" t="s">
        <v>1712</v>
      </c>
      <c r="M489" s="1" t="s">
        <v>506</v>
      </c>
      <c r="N489" s="1" t="s">
        <v>648</v>
      </c>
      <c r="O489" s="1" t="s">
        <v>30</v>
      </c>
      <c r="P489" s="82">
        <v>0.97299999999999998</v>
      </c>
      <c r="Q489" s="1" t="s">
        <v>76</v>
      </c>
      <c r="R489" s="81" t="s">
        <v>336</v>
      </c>
      <c r="S489" s="1">
        <v>3</v>
      </c>
      <c r="T489" s="1" t="s">
        <v>120</v>
      </c>
      <c r="U489" s="1" t="s">
        <v>658</v>
      </c>
      <c r="V489" s="1" t="s">
        <v>655</v>
      </c>
      <c r="W489" s="1">
        <v>44</v>
      </c>
      <c r="X489" s="1" t="s">
        <v>650</v>
      </c>
      <c r="Y489" s="1" t="s">
        <v>648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1E-3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0.97299999999999998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2.4E-2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-47.773566819999999</v>
      </c>
      <c r="CN489" s="83">
        <v>39.963232269999999</v>
      </c>
    </row>
    <row r="490" spans="1:92" s="3" customFormat="1" x14ac:dyDescent="0.25">
      <c r="A490" s="72">
        <v>518</v>
      </c>
      <c r="B490" s="81" t="s">
        <v>1624</v>
      </c>
      <c r="C490" s="1" t="s">
        <v>83</v>
      </c>
      <c r="D490" s="1" t="s">
        <v>73</v>
      </c>
      <c r="E490" s="1" t="s">
        <v>99</v>
      </c>
      <c r="F490" s="1" t="s">
        <v>327</v>
      </c>
      <c r="G490" s="1" t="s">
        <v>76</v>
      </c>
      <c r="H490" s="1" t="s">
        <v>327</v>
      </c>
      <c r="I490" s="1"/>
      <c r="J490" s="9" t="s">
        <v>544</v>
      </c>
      <c r="K490" s="10">
        <v>0.30786649999999999</v>
      </c>
      <c r="L490" s="1" t="s">
        <v>76</v>
      </c>
      <c r="M490" s="1" t="s">
        <v>506</v>
      </c>
      <c r="N490" s="1" t="s">
        <v>645</v>
      </c>
      <c r="O490" s="1" t="s">
        <v>8</v>
      </c>
      <c r="P490" s="82">
        <v>0.97699999999999998</v>
      </c>
      <c r="Q490" s="1" t="s">
        <v>76</v>
      </c>
      <c r="R490" s="81" t="s">
        <v>331</v>
      </c>
      <c r="S490" s="1">
        <v>3</v>
      </c>
      <c r="T490" s="1" t="s">
        <v>120</v>
      </c>
      <c r="U490" s="1" t="s">
        <v>658</v>
      </c>
      <c r="V490" s="1" t="s">
        <v>655</v>
      </c>
      <c r="W490" s="1">
        <v>69</v>
      </c>
      <c r="X490" s="1" t="s">
        <v>76</v>
      </c>
      <c r="Y490" s="1" t="s">
        <v>645</v>
      </c>
      <c r="Z490" s="1">
        <v>0</v>
      </c>
      <c r="AA490" s="1">
        <v>0</v>
      </c>
      <c r="AB490" s="1">
        <v>0</v>
      </c>
      <c r="AC490" s="1">
        <v>0.97699999999999998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1E-3</v>
      </c>
      <c r="BG490" s="1">
        <v>1.7999999999999999E-2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-31.270051420000001</v>
      </c>
      <c r="CN490" s="83">
        <v>-27.17216651</v>
      </c>
    </row>
    <row r="491" spans="1:92" s="3" customFormat="1" x14ac:dyDescent="0.25">
      <c r="A491" s="72">
        <v>519</v>
      </c>
      <c r="B491" s="81" t="s">
        <v>868</v>
      </c>
      <c r="C491" s="1" t="s">
        <v>83</v>
      </c>
      <c r="D491" s="1" t="s">
        <v>73</v>
      </c>
      <c r="E491" s="1" t="s">
        <v>74</v>
      </c>
      <c r="F491" s="1" t="s">
        <v>327</v>
      </c>
      <c r="G491" s="1" t="s">
        <v>76</v>
      </c>
      <c r="H491" s="1" t="s">
        <v>327</v>
      </c>
      <c r="I491" s="1"/>
      <c r="J491" s="9" t="s">
        <v>544</v>
      </c>
      <c r="K491" s="10">
        <v>0.43539816666666697</v>
      </c>
      <c r="L491" s="1" t="s">
        <v>641</v>
      </c>
      <c r="M491" s="1" t="s">
        <v>76</v>
      </c>
      <c r="N491" s="1" t="s">
        <v>649</v>
      </c>
      <c r="O491" s="1" t="s">
        <v>8</v>
      </c>
      <c r="P491" s="82">
        <v>0.64800000000000002</v>
      </c>
      <c r="Q491" s="1" t="s">
        <v>76</v>
      </c>
      <c r="R491" s="81" t="s">
        <v>169</v>
      </c>
      <c r="S491" s="1">
        <v>3</v>
      </c>
      <c r="T491" s="1" t="s">
        <v>120</v>
      </c>
      <c r="U491" s="1" t="s">
        <v>659</v>
      </c>
      <c r="V491" s="1" t="s">
        <v>655</v>
      </c>
      <c r="W491" s="1">
        <v>44</v>
      </c>
      <c r="X491" s="1" t="s">
        <v>76</v>
      </c>
      <c r="Y491" s="1" t="s">
        <v>649</v>
      </c>
      <c r="Z491" s="1">
        <v>1E-3</v>
      </c>
      <c r="AA491" s="1">
        <v>2E-3</v>
      </c>
      <c r="AB491" s="1">
        <v>3.0000000000000001E-3</v>
      </c>
      <c r="AC491" s="1">
        <v>0.64800000000000002</v>
      </c>
      <c r="AD491" s="1">
        <v>1.2999999999999999E-2</v>
      </c>
      <c r="AE491" s="1">
        <v>2E-3</v>
      </c>
      <c r="AF491" s="1">
        <v>4.0000000000000001E-3</v>
      </c>
      <c r="AG491" s="1">
        <v>0</v>
      </c>
      <c r="AH491" s="1">
        <v>0.01</v>
      </c>
      <c r="AI491" s="1">
        <v>1E-3</v>
      </c>
      <c r="AJ491" s="1">
        <v>1E-3</v>
      </c>
      <c r="AK491" s="1">
        <v>5.0000000000000001E-3</v>
      </c>
      <c r="AL491" s="1">
        <v>1E-3</v>
      </c>
      <c r="AM491" s="1">
        <v>1E-3</v>
      </c>
      <c r="AN491" s="1">
        <v>1E-3</v>
      </c>
      <c r="AO491" s="1">
        <v>2E-3</v>
      </c>
      <c r="AP491" s="1">
        <v>2E-3</v>
      </c>
      <c r="AQ491" s="1">
        <v>1E-3</v>
      </c>
      <c r="AR491" s="1">
        <v>1E-3</v>
      </c>
      <c r="AS491" s="1">
        <v>6.0000000000000001E-3</v>
      </c>
      <c r="AT491" s="1">
        <v>5.0000000000000001E-3</v>
      </c>
      <c r="AU491" s="1">
        <v>2E-3</v>
      </c>
      <c r="AV491" s="1">
        <v>5.1999999999999998E-2</v>
      </c>
      <c r="AW491" s="1">
        <v>4.0000000000000001E-3</v>
      </c>
      <c r="AX491" s="1">
        <v>4.0000000000000001E-3</v>
      </c>
      <c r="AY491" s="1">
        <v>6.0000000000000001E-3</v>
      </c>
      <c r="AZ491" s="1">
        <v>4.0000000000000001E-3</v>
      </c>
      <c r="BA491" s="1">
        <v>0.01</v>
      </c>
      <c r="BB491" s="1">
        <v>1E-3</v>
      </c>
      <c r="BC491" s="1">
        <v>1E-3</v>
      </c>
      <c r="BD491" s="1">
        <v>0.01</v>
      </c>
      <c r="BE491" s="1">
        <v>2E-3</v>
      </c>
      <c r="BF491" s="1">
        <v>4.0000000000000001E-3</v>
      </c>
      <c r="BG491" s="1">
        <v>5.5E-2</v>
      </c>
      <c r="BH491" s="1">
        <v>1E-3</v>
      </c>
      <c r="BI491" s="1">
        <v>2E-3</v>
      </c>
      <c r="BJ491" s="1">
        <v>2E-3</v>
      </c>
      <c r="BK491" s="1">
        <v>1E-3</v>
      </c>
      <c r="BL491" s="1">
        <v>3.0000000000000001E-3</v>
      </c>
      <c r="BM491" s="1">
        <v>2E-3</v>
      </c>
      <c r="BN491" s="1">
        <v>5.0000000000000001E-3</v>
      </c>
      <c r="BO491" s="1">
        <v>1E-3</v>
      </c>
      <c r="BP491" s="1">
        <v>1E-3</v>
      </c>
      <c r="BQ491" s="1">
        <v>6.0000000000000001E-3</v>
      </c>
      <c r="BR491" s="1">
        <v>2E-3</v>
      </c>
      <c r="BS491" s="1">
        <v>1E-3</v>
      </c>
      <c r="BT491" s="1">
        <v>2E-3</v>
      </c>
      <c r="BU491" s="1">
        <v>2E-3</v>
      </c>
      <c r="BV491" s="1">
        <v>1E-3</v>
      </c>
      <c r="BW491" s="1">
        <v>2E-3</v>
      </c>
      <c r="BX491" s="1">
        <v>4.0000000000000001E-3</v>
      </c>
      <c r="BY491" s="1">
        <v>8.0000000000000002E-3</v>
      </c>
      <c r="BZ491" s="1">
        <v>5.0000000000000001E-3</v>
      </c>
      <c r="CA491" s="1">
        <v>4.0000000000000001E-3</v>
      </c>
      <c r="CB491" s="1">
        <v>1E-3</v>
      </c>
      <c r="CC491" s="1">
        <v>4.0000000000000001E-3</v>
      </c>
      <c r="CD491" s="1">
        <v>0</v>
      </c>
      <c r="CE491" s="1">
        <v>3.0000000000000001E-3</v>
      </c>
      <c r="CF491" s="1">
        <v>3.0000000000000001E-3</v>
      </c>
      <c r="CG491" s="1">
        <v>2.1000000000000001E-2</v>
      </c>
      <c r="CH491" s="1">
        <v>4.0000000000000001E-3</v>
      </c>
      <c r="CI491" s="1">
        <v>4.0000000000000001E-3</v>
      </c>
      <c r="CJ491" s="1">
        <v>1.4E-2</v>
      </c>
      <c r="CK491" s="1">
        <v>1.7000000000000001E-2</v>
      </c>
      <c r="CL491" s="1">
        <v>0.01</v>
      </c>
      <c r="CM491" s="1">
        <v>-51.45805936</v>
      </c>
      <c r="CN491" s="83">
        <v>-2.8295260299999998</v>
      </c>
    </row>
    <row r="492" spans="1:92" s="3" customFormat="1" x14ac:dyDescent="0.25">
      <c r="A492" s="72">
        <v>520</v>
      </c>
      <c r="B492" s="81" t="s">
        <v>909</v>
      </c>
      <c r="C492" s="1" t="s">
        <v>83</v>
      </c>
      <c r="D492" s="1" t="s">
        <v>73</v>
      </c>
      <c r="E492" s="1" t="s">
        <v>99</v>
      </c>
      <c r="F492" s="1" t="s">
        <v>327</v>
      </c>
      <c r="G492" s="1" t="s">
        <v>76</v>
      </c>
      <c r="H492" s="1" t="s">
        <v>327</v>
      </c>
      <c r="I492" s="1"/>
      <c r="J492" s="9" t="s">
        <v>544</v>
      </c>
      <c r="K492" s="10">
        <v>0.47522399999999998</v>
      </c>
      <c r="L492" s="1" t="s">
        <v>76</v>
      </c>
      <c r="M492" s="1" t="s">
        <v>506</v>
      </c>
      <c r="N492" s="1" t="s">
        <v>645</v>
      </c>
      <c r="O492" s="1" t="s">
        <v>8</v>
      </c>
      <c r="P492" s="82">
        <v>0.999</v>
      </c>
      <c r="Q492" s="1" t="s">
        <v>76</v>
      </c>
      <c r="R492" s="81" t="s">
        <v>332</v>
      </c>
      <c r="S492" s="1" t="s">
        <v>314</v>
      </c>
      <c r="T492" s="1" t="s">
        <v>120</v>
      </c>
      <c r="U492" s="1" t="s">
        <v>658</v>
      </c>
      <c r="V492" s="1" t="s">
        <v>655</v>
      </c>
      <c r="W492" s="1">
        <v>41</v>
      </c>
      <c r="X492" s="1" t="s">
        <v>76</v>
      </c>
      <c r="Y492" s="1" t="s">
        <v>645</v>
      </c>
      <c r="Z492" s="1">
        <v>0</v>
      </c>
      <c r="AA492" s="1">
        <v>0</v>
      </c>
      <c r="AB492" s="1">
        <v>0</v>
      </c>
      <c r="AC492" s="1">
        <v>0.999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1E-3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-30.838966460000002</v>
      </c>
      <c r="CN492" s="83">
        <v>-22.78651172</v>
      </c>
    </row>
    <row r="493" spans="1:92" s="3" customFormat="1" x14ac:dyDescent="0.25">
      <c r="A493" s="72">
        <v>521</v>
      </c>
      <c r="B493" s="81" t="s">
        <v>967</v>
      </c>
      <c r="C493" s="1" t="s">
        <v>83</v>
      </c>
      <c r="D493" s="1" t="s">
        <v>73</v>
      </c>
      <c r="E493" s="1" t="s">
        <v>99</v>
      </c>
      <c r="F493" s="1" t="s">
        <v>327</v>
      </c>
      <c r="G493" s="1" t="s">
        <v>76</v>
      </c>
      <c r="H493" s="1" t="s">
        <v>327</v>
      </c>
      <c r="I493" s="1"/>
      <c r="J493" s="9" t="s">
        <v>544</v>
      </c>
      <c r="K493" s="10">
        <v>0.38095533333333398</v>
      </c>
      <c r="L493" s="1" t="s">
        <v>76</v>
      </c>
      <c r="M493" s="1" t="s">
        <v>506</v>
      </c>
      <c r="N493" s="1" t="s">
        <v>645</v>
      </c>
      <c r="O493" s="1" t="s">
        <v>8</v>
      </c>
      <c r="P493" s="82">
        <v>0.99399999999999999</v>
      </c>
      <c r="Q493" s="1" t="s">
        <v>76</v>
      </c>
      <c r="R493" s="81" t="s">
        <v>169</v>
      </c>
      <c r="S493" s="1">
        <v>3</v>
      </c>
      <c r="T493" s="1" t="s">
        <v>120</v>
      </c>
      <c r="U493" s="1" t="s">
        <v>659</v>
      </c>
      <c r="V493" s="1" t="s">
        <v>655</v>
      </c>
      <c r="W493" s="1">
        <v>55</v>
      </c>
      <c r="X493" s="1" t="s">
        <v>76</v>
      </c>
      <c r="Y493" s="1" t="s">
        <v>645</v>
      </c>
      <c r="Z493" s="1">
        <v>0</v>
      </c>
      <c r="AA493" s="1">
        <v>0</v>
      </c>
      <c r="AB493" s="1">
        <v>0</v>
      </c>
      <c r="AC493" s="1">
        <v>0.99399999999999999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6.0000000000000001E-3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-31.718796900000001</v>
      </c>
      <c r="CN493" s="83">
        <v>-27.587618110000001</v>
      </c>
    </row>
    <row r="494" spans="1:92" s="3" customFormat="1" x14ac:dyDescent="0.25">
      <c r="A494" s="72">
        <v>522</v>
      </c>
      <c r="B494" s="81" t="s">
        <v>996</v>
      </c>
      <c r="C494" s="1" t="s">
        <v>83</v>
      </c>
      <c r="D494" s="1" t="s">
        <v>73</v>
      </c>
      <c r="E494" s="1" t="s">
        <v>74</v>
      </c>
      <c r="F494" s="1" t="s">
        <v>327</v>
      </c>
      <c r="G494" s="1" t="s">
        <v>76</v>
      </c>
      <c r="H494" s="1" t="s">
        <v>327</v>
      </c>
      <c r="I494" s="1"/>
      <c r="J494" s="9" t="s">
        <v>544</v>
      </c>
      <c r="K494" s="10">
        <v>0.53522433333333297</v>
      </c>
      <c r="L494" s="1" t="s">
        <v>641</v>
      </c>
      <c r="M494" s="1" t="s">
        <v>76</v>
      </c>
      <c r="N494" s="1" t="s">
        <v>649</v>
      </c>
      <c r="O494" s="1" t="s">
        <v>8</v>
      </c>
      <c r="P494" s="82">
        <v>0.23599999999999999</v>
      </c>
      <c r="Q494" s="1" t="s">
        <v>76</v>
      </c>
      <c r="R494" s="81" t="s">
        <v>332</v>
      </c>
      <c r="S494" s="1" t="s">
        <v>314</v>
      </c>
      <c r="T494" s="1" t="s">
        <v>120</v>
      </c>
      <c r="U494" s="1" t="s">
        <v>658</v>
      </c>
      <c r="V494" s="1" t="s">
        <v>655</v>
      </c>
      <c r="W494" s="1">
        <v>86</v>
      </c>
      <c r="X494" s="1" t="s">
        <v>76</v>
      </c>
      <c r="Y494" s="1" t="s">
        <v>649</v>
      </c>
      <c r="Z494" s="1">
        <v>2E-3</v>
      </c>
      <c r="AA494" s="1">
        <v>7.0000000000000001E-3</v>
      </c>
      <c r="AB494" s="1">
        <v>6.0000000000000001E-3</v>
      </c>
      <c r="AC494" s="1">
        <v>0.23599999999999999</v>
      </c>
      <c r="AD494" s="1">
        <v>8.9999999999999993E-3</v>
      </c>
      <c r="AE494" s="1">
        <v>4.0000000000000001E-3</v>
      </c>
      <c r="AF494" s="1">
        <v>1.4E-2</v>
      </c>
      <c r="AG494" s="1">
        <v>1E-3</v>
      </c>
      <c r="AH494" s="1">
        <v>2.1000000000000001E-2</v>
      </c>
      <c r="AI494" s="1">
        <v>3.0000000000000001E-3</v>
      </c>
      <c r="AJ494" s="1">
        <v>3.0000000000000001E-3</v>
      </c>
      <c r="AK494" s="1">
        <v>1.7999999999999999E-2</v>
      </c>
      <c r="AL494" s="1">
        <v>8.0000000000000002E-3</v>
      </c>
      <c r="AM494" s="1">
        <v>4.0000000000000001E-3</v>
      </c>
      <c r="AN494" s="1">
        <v>4.0000000000000001E-3</v>
      </c>
      <c r="AO494" s="1">
        <v>0.01</v>
      </c>
      <c r="AP494" s="1">
        <v>4.0000000000000001E-3</v>
      </c>
      <c r="AQ494" s="1">
        <v>3.0000000000000001E-3</v>
      </c>
      <c r="AR494" s="1">
        <v>3.0000000000000001E-3</v>
      </c>
      <c r="AS494" s="1">
        <v>1.6E-2</v>
      </c>
      <c r="AT494" s="1">
        <v>1.6E-2</v>
      </c>
      <c r="AU494" s="1">
        <v>5.0000000000000001E-3</v>
      </c>
      <c r="AV494" s="1">
        <v>2.1999999999999999E-2</v>
      </c>
      <c r="AW494" s="1">
        <v>1.7999999999999999E-2</v>
      </c>
      <c r="AX494" s="1">
        <v>1.2999999999999999E-2</v>
      </c>
      <c r="AY494" s="1">
        <v>1.7000000000000001E-2</v>
      </c>
      <c r="AZ494" s="1">
        <v>8.9999999999999993E-3</v>
      </c>
      <c r="BA494" s="1">
        <v>3.1E-2</v>
      </c>
      <c r="BB494" s="1">
        <v>4.0000000000000001E-3</v>
      </c>
      <c r="BC494" s="1">
        <v>3.0000000000000001E-3</v>
      </c>
      <c r="BD494" s="1">
        <v>1.9E-2</v>
      </c>
      <c r="BE494" s="1">
        <v>5.0000000000000001E-3</v>
      </c>
      <c r="BF494" s="1">
        <v>4.0000000000000001E-3</v>
      </c>
      <c r="BG494" s="1">
        <v>3.9E-2</v>
      </c>
      <c r="BH494" s="1">
        <v>4.0000000000000001E-3</v>
      </c>
      <c r="BI494" s="1">
        <v>6.0000000000000001E-3</v>
      </c>
      <c r="BJ494" s="1">
        <v>2E-3</v>
      </c>
      <c r="BK494" s="1">
        <v>3.0000000000000001E-3</v>
      </c>
      <c r="BL494" s="1">
        <v>1.4999999999999999E-2</v>
      </c>
      <c r="BM494" s="1">
        <v>7.0000000000000001E-3</v>
      </c>
      <c r="BN494" s="1">
        <v>8.0000000000000002E-3</v>
      </c>
      <c r="BO494" s="1">
        <v>2E-3</v>
      </c>
      <c r="BP494" s="1">
        <v>2E-3</v>
      </c>
      <c r="BQ494" s="1">
        <v>0.02</v>
      </c>
      <c r="BR494" s="1">
        <v>7.0000000000000001E-3</v>
      </c>
      <c r="BS494" s="1">
        <v>4.0000000000000001E-3</v>
      </c>
      <c r="BT494" s="1">
        <v>4.0000000000000001E-3</v>
      </c>
      <c r="BU494" s="1">
        <v>3.0000000000000001E-3</v>
      </c>
      <c r="BV494" s="1">
        <v>3.0000000000000001E-3</v>
      </c>
      <c r="BW494" s="1">
        <v>6.0000000000000001E-3</v>
      </c>
      <c r="BX494" s="1">
        <v>1.0999999999999999E-2</v>
      </c>
      <c r="BY494" s="1">
        <v>1.9E-2</v>
      </c>
      <c r="BZ494" s="1">
        <v>1.2E-2</v>
      </c>
      <c r="CA494" s="1">
        <v>0.01</v>
      </c>
      <c r="CB494" s="1">
        <v>2E-3</v>
      </c>
      <c r="CC494" s="1">
        <v>8.9999999999999993E-3</v>
      </c>
      <c r="CD494" s="1">
        <v>1E-3</v>
      </c>
      <c r="CE494" s="1">
        <v>1.0999999999999999E-2</v>
      </c>
      <c r="CF494" s="1">
        <v>7.0000000000000001E-3</v>
      </c>
      <c r="CG494" s="1">
        <v>8.8999999999999996E-2</v>
      </c>
      <c r="CH494" s="1">
        <v>0.01</v>
      </c>
      <c r="CI494" s="1">
        <v>1.2E-2</v>
      </c>
      <c r="CJ494" s="1">
        <v>5.2999999999999999E-2</v>
      </c>
      <c r="CK494" s="1">
        <v>5.7000000000000002E-2</v>
      </c>
      <c r="CL494" s="1">
        <v>2.1999999999999999E-2</v>
      </c>
      <c r="CM494" s="1">
        <v>-50.140844710000003</v>
      </c>
      <c r="CN494" s="83">
        <v>-1.9968100639999999</v>
      </c>
    </row>
    <row r="495" spans="1:92" s="3" customFormat="1" x14ac:dyDescent="0.25">
      <c r="A495" s="72">
        <v>523</v>
      </c>
      <c r="B495" s="81" t="s">
        <v>1061</v>
      </c>
      <c r="C495" s="1" t="s">
        <v>83</v>
      </c>
      <c r="D495" s="1" t="s">
        <v>73</v>
      </c>
      <c r="E495" s="1" t="s">
        <v>99</v>
      </c>
      <c r="F495" s="1" t="s">
        <v>327</v>
      </c>
      <c r="G495" s="1" t="s">
        <v>76</v>
      </c>
      <c r="H495" s="1" t="s">
        <v>327</v>
      </c>
      <c r="I495" s="1"/>
      <c r="J495" s="9" t="s">
        <v>544</v>
      </c>
      <c r="K495" s="10">
        <v>0.291245166666667</v>
      </c>
      <c r="L495" s="1" t="s">
        <v>554</v>
      </c>
      <c r="M495" s="1" t="s">
        <v>76</v>
      </c>
      <c r="N495" s="1" t="s">
        <v>644</v>
      </c>
      <c r="O495" s="1" t="s">
        <v>39</v>
      </c>
      <c r="P495" s="82">
        <v>0.71</v>
      </c>
      <c r="Q495" s="1" t="s">
        <v>76</v>
      </c>
      <c r="R495" s="81" t="s">
        <v>100</v>
      </c>
      <c r="S495" s="1">
        <v>3</v>
      </c>
      <c r="T495" s="1" t="s">
        <v>78</v>
      </c>
      <c r="U495" s="1" t="s">
        <v>658</v>
      </c>
      <c r="V495" s="1" t="s">
        <v>655</v>
      </c>
      <c r="W495" s="1">
        <v>42</v>
      </c>
      <c r="X495" s="1" t="s">
        <v>76</v>
      </c>
      <c r="Y495" s="1" t="s">
        <v>644</v>
      </c>
      <c r="Z495" s="1">
        <v>8.9999999999999993E-3</v>
      </c>
      <c r="AA495" s="1">
        <v>2E-3</v>
      </c>
      <c r="AB495" s="1">
        <v>1E-3</v>
      </c>
      <c r="AC495" s="1">
        <v>6.3E-2</v>
      </c>
      <c r="AD495" s="1">
        <v>2E-3</v>
      </c>
      <c r="AE495" s="1">
        <v>2E-3</v>
      </c>
      <c r="AF495" s="1">
        <v>1E-3</v>
      </c>
      <c r="AG495" s="1">
        <v>0</v>
      </c>
      <c r="AH495" s="1">
        <v>0.02</v>
      </c>
      <c r="AI495" s="1">
        <v>8.0000000000000002E-3</v>
      </c>
      <c r="AJ495" s="1">
        <v>1E-3</v>
      </c>
      <c r="AK495" s="1">
        <v>3.0000000000000001E-3</v>
      </c>
      <c r="AL495" s="1">
        <v>0</v>
      </c>
      <c r="AM495" s="1">
        <v>1E-3</v>
      </c>
      <c r="AN495" s="1">
        <v>1.0999999999999999E-2</v>
      </c>
      <c r="AO495" s="1">
        <v>3.0000000000000001E-3</v>
      </c>
      <c r="AP495" s="1">
        <v>8.0000000000000002E-3</v>
      </c>
      <c r="AQ495" s="1">
        <v>1E-3</v>
      </c>
      <c r="AR495" s="1">
        <v>1E-3</v>
      </c>
      <c r="AS495" s="1">
        <v>4.0000000000000001E-3</v>
      </c>
      <c r="AT495" s="1">
        <v>3.0000000000000001E-3</v>
      </c>
      <c r="AU495" s="1">
        <v>1E-3</v>
      </c>
      <c r="AV495" s="1">
        <v>1E-3</v>
      </c>
      <c r="AW495" s="1">
        <v>2E-3</v>
      </c>
      <c r="AX495" s="1">
        <v>2E-3</v>
      </c>
      <c r="AY495" s="1">
        <v>4.0000000000000001E-3</v>
      </c>
      <c r="AZ495" s="1">
        <v>2E-3</v>
      </c>
      <c r="BA495" s="1">
        <v>7.0000000000000001E-3</v>
      </c>
      <c r="BB495" s="1">
        <v>1E-3</v>
      </c>
      <c r="BC495" s="1">
        <v>1E-3</v>
      </c>
      <c r="BD495" s="1">
        <v>1.2E-2</v>
      </c>
      <c r="BE495" s="1">
        <v>2E-3</v>
      </c>
      <c r="BF495" s="1">
        <v>0.03</v>
      </c>
      <c r="BG495" s="1">
        <v>1E-3</v>
      </c>
      <c r="BH495" s="1">
        <v>0.71</v>
      </c>
      <c r="BI495" s="1">
        <v>1E-3</v>
      </c>
      <c r="BJ495" s="1">
        <v>0</v>
      </c>
      <c r="BK495" s="1">
        <v>1E-3</v>
      </c>
      <c r="BL495" s="1">
        <v>3.0000000000000001E-3</v>
      </c>
      <c r="BM495" s="1">
        <v>2E-3</v>
      </c>
      <c r="BN495" s="1">
        <v>2E-3</v>
      </c>
      <c r="BO495" s="1">
        <v>1E-3</v>
      </c>
      <c r="BP495" s="1">
        <v>0</v>
      </c>
      <c r="BQ495" s="1">
        <v>3.0000000000000001E-3</v>
      </c>
      <c r="BR495" s="1">
        <v>3.0000000000000001E-3</v>
      </c>
      <c r="BS495" s="1">
        <v>1E-3</v>
      </c>
      <c r="BT495" s="1">
        <v>1E-3</v>
      </c>
      <c r="BU495" s="1">
        <v>2E-3</v>
      </c>
      <c r="BV495" s="1">
        <v>1E-3</v>
      </c>
      <c r="BW495" s="1">
        <v>2E-3</v>
      </c>
      <c r="BX495" s="1">
        <v>0.01</v>
      </c>
      <c r="BY495" s="1">
        <v>6.0000000000000001E-3</v>
      </c>
      <c r="BZ495" s="1">
        <v>2E-3</v>
      </c>
      <c r="CA495" s="1">
        <v>2E-3</v>
      </c>
      <c r="CB495" s="1">
        <v>0</v>
      </c>
      <c r="CC495" s="1">
        <v>1E-3</v>
      </c>
      <c r="CD495" s="1">
        <v>0</v>
      </c>
      <c r="CE495" s="1">
        <v>2E-3</v>
      </c>
      <c r="CF495" s="1">
        <v>3.0000000000000001E-3</v>
      </c>
      <c r="CG495" s="1">
        <v>4.0000000000000001E-3</v>
      </c>
      <c r="CH495" s="1">
        <v>3.0000000000000001E-3</v>
      </c>
      <c r="CI495" s="1">
        <v>3.0000000000000001E-3</v>
      </c>
      <c r="CJ495" s="1">
        <v>5.0000000000000001E-3</v>
      </c>
      <c r="CK495" s="1">
        <v>1.0999999999999999E-2</v>
      </c>
      <c r="CL495" s="1">
        <v>3.0000000000000001E-3</v>
      </c>
      <c r="CM495" s="1">
        <v>-29.90110104</v>
      </c>
      <c r="CN495" s="83">
        <v>-64.411101009999996</v>
      </c>
    </row>
    <row r="496" spans="1:92" s="3" customFormat="1" x14ac:dyDescent="0.25">
      <c r="A496" s="72">
        <v>524</v>
      </c>
      <c r="B496" s="81" t="s">
        <v>1051</v>
      </c>
      <c r="C496" s="1" t="s">
        <v>83</v>
      </c>
      <c r="D496" s="1" t="s">
        <v>73</v>
      </c>
      <c r="E496" s="1" t="s">
        <v>99</v>
      </c>
      <c r="F496" s="1" t="s">
        <v>327</v>
      </c>
      <c r="G496" s="1" t="s">
        <v>76</v>
      </c>
      <c r="H496" s="1" t="s">
        <v>327</v>
      </c>
      <c r="I496" s="1"/>
      <c r="J496" s="9" t="s">
        <v>544</v>
      </c>
      <c r="K496" s="10">
        <v>0.36524266666666699</v>
      </c>
      <c r="L496" s="1" t="s">
        <v>76</v>
      </c>
      <c r="M496" s="1" t="s">
        <v>506</v>
      </c>
      <c r="N496" s="1" t="s">
        <v>645</v>
      </c>
      <c r="O496" s="1" t="s">
        <v>8</v>
      </c>
      <c r="P496" s="82">
        <v>0.95899999999999996</v>
      </c>
      <c r="Q496" s="1" t="s">
        <v>76</v>
      </c>
      <c r="R496" s="81" t="s">
        <v>129</v>
      </c>
      <c r="S496" s="1">
        <v>3</v>
      </c>
      <c r="T496" s="1" t="s">
        <v>120</v>
      </c>
      <c r="U496" s="1" t="s">
        <v>658</v>
      </c>
      <c r="V496" s="1" t="s">
        <v>655</v>
      </c>
      <c r="W496" s="1">
        <v>67</v>
      </c>
      <c r="X496" s="1" t="s">
        <v>76</v>
      </c>
      <c r="Y496" s="1" t="s">
        <v>645</v>
      </c>
      <c r="Z496" s="1">
        <v>0</v>
      </c>
      <c r="AA496" s="1">
        <v>0</v>
      </c>
      <c r="AB496" s="1">
        <v>0</v>
      </c>
      <c r="AC496" s="1">
        <v>0.95899999999999996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4.1000000000000002E-2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-35.208433749999998</v>
      </c>
      <c r="CN496" s="83">
        <v>-22.464294039999999</v>
      </c>
    </row>
    <row r="497" spans="1:92" s="3" customFormat="1" x14ac:dyDescent="0.25">
      <c r="A497" s="72">
        <v>525</v>
      </c>
      <c r="B497" s="81" t="s">
        <v>1207</v>
      </c>
      <c r="C497" s="1" t="s">
        <v>83</v>
      </c>
      <c r="D497" s="1" t="s">
        <v>73</v>
      </c>
      <c r="E497" s="1" t="s">
        <v>74</v>
      </c>
      <c r="F497" s="1" t="s">
        <v>327</v>
      </c>
      <c r="G497" s="1" t="s">
        <v>180</v>
      </c>
      <c r="H497" s="1" t="s">
        <v>327</v>
      </c>
      <c r="I497" s="1"/>
      <c r="J497" s="9" t="s">
        <v>544</v>
      </c>
      <c r="K497" s="10">
        <v>0.38792316666666699</v>
      </c>
      <c r="L497" s="1" t="s">
        <v>76</v>
      </c>
      <c r="M497" s="1" t="s">
        <v>506</v>
      </c>
      <c r="N497" s="1" t="s">
        <v>645</v>
      </c>
      <c r="O497" s="1" t="s">
        <v>8</v>
      </c>
      <c r="P497" s="82">
        <v>0.98099999999999998</v>
      </c>
      <c r="Q497" s="1" t="s">
        <v>76</v>
      </c>
      <c r="R497" s="81" t="s">
        <v>77</v>
      </c>
      <c r="S497" s="1">
        <v>3</v>
      </c>
      <c r="T497" s="1" t="s">
        <v>78</v>
      </c>
      <c r="U497" s="1" t="s">
        <v>660</v>
      </c>
      <c r="V497" s="1" t="s">
        <v>655</v>
      </c>
      <c r="W497" s="1">
        <v>65</v>
      </c>
      <c r="X497" s="1" t="s">
        <v>76</v>
      </c>
      <c r="Y497" s="1" t="s">
        <v>645</v>
      </c>
      <c r="Z497" s="1">
        <v>0</v>
      </c>
      <c r="AA497" s="1">
        <v>0</v>
      </c>
      <c r="AB497" s="1">
        <v>0</v>
      </c>
      <c r="AC497" s="1">
        <v>0.98099999999999998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1.9E-2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-31.463156229999999</v>
      </c>
      <c r="CN497" s="83">
        <v>-23.195194149999999</v>
      </c>
    </row>
    <row r="498" spans="1:92" s="3" customFormat="1" x14ac:dyDescent="0.25">
      <c r="A498" s="72">
        <v>526</v>
      </c>
      <c r="B498" s="81" t="s">
        <v>1242</v>
      </c>
      <c r="C498" s="1" t="s">
        <v>83</v>
      </c>
      <c r="D498" s="1" t="s">
        <v>73</v>
      </c>
      <c r="E498" s="1" t="s">
        <v>74</v>
      </c>
      <c r="F498" s="1" t="s">
        <v>327</v>
      </c>
      <c r="G498" s="1" t="s">
        <v>180</v>
      </c>
      <c r="H498" s="1" t="s">
        <v>327</v>
      </c>
      <c r="I498" s="1"/>
      <c r="J498" s="9" t="s">
        <v>544</v>
      </c>
      <c r="K498" s="10">
        <v>0.30412766666666702</v>
      </c>
      <c r="L498" s="1" t="s">
        <v>555</v>
      </c>
      <c r="M498" s="1" t="s">
        <v>76</v>
      </c>
      <c r="N498" s="1" t="s">
        <v>644</v>
      </c>
      <c r="O498" s="1" t="s">
        <v>63</v>
      </c>
      <c r="P498" s="82">
        <v>0.20799999999999999</v>
      </c>
      <c r="Q498" s="1" t="s">
        <v>76</v>
      </c>
      <c r="R498" s="81" t="s">
        <v>285</v>
      </c>
      <c r="S498" s="1">
        <v>3</v>
      </c>
      <c r="T498" s="1" t="s">
        <v>120</v>
      </c>
      <c r="U498" s="1" t="s">
        <v>659</v>
      </c>
      <c r="V498" s="1" t="s">
        <v>655</v>
      </c>
      <c r="W498" s="1">
        <v>73</v>
      </c>
      <c r="X498" s="1" t="s">
        <v>76</v>
      </c>
      <c r="Y498" s="1" t="s">
        <v>644</v>
      </c>
      <c r="Z498" s="1">
        <v>0.05</v>
      </c>
      <c r="AA498" s="1">
        <v>1.0999999999999999E-2</v>
      </c>
      <c r="AB498" s="1">
        <v>4.0000000000000001E-3</v>
      </c>
      <c r="AC498" s="1">
        <v>2.7E-2</v>
      </c>
      <c r="AD498" s="1">
        <v>1.2999999999999999E-2</v>
      </c>
      <c r="AE498" s="1">
        <v>5.0000000000000001E-3</v>
      </c>
      <c r="AF498" s="1">
        <v>5.0000000000000001E-3</v>
      </c>
      <c r="AG498" s="1">
        <v>1E-3</v>
      </c>
      <c r="AH498" s="1">
        <v>4.5999999999999999E-2</v>
      </c>
      <c r="AI498" s="1">
        <v>5.0000000000000001E-3</v>
      </c>
      <c r="AJ498" s="1">
        <v>3.0000000000000001E-3</v>
      </c>
      <c r="AK498" s="1">
        <v>7.0000000000000001E-3</v>
      </c>
      <c r="AL498" s="1">
        <v>0</v>
      </c>
      <c r="AM498" s="1">
        <v>3.0000000000000001E-3</v>
      </c>
      <c r="AN498" s="1">
        <v>1.2E-2</v>
      </c>
      <c r="AO498" s="1">
        <v>4.0000000000000001E-3</v>
      </c>
      <c r="AP498" s="1">
        <v>3.0000000000000001E-3</v>
      </c>
      <c r="AQ498" s="1">
        <v>3.0000000000000001E-3</v>
      </c>
      <c r="AR498" s="1">
        <v>6.0000000000000001E-3</v>
      </c>
      <c r="AS498" s="1">
        <v>8.9999999999999993E-3</v>
      </c>
      <c r="AT498" s="1">
        <v>7.0000000000000001E-3</v>
      </c>
      <c r="AU498" s="1">
        <v>5.0000000000000001E-3</v>
      </c>
      <c r="AV498" s="1">
        <v>0.01</v>
      </c>
      <c r="AW498" s="1">
        <v>4.0000000000000001E-3</v>
      </c>
      <c r="AX498" s="1">
        <v>1.6E-2</v>
      </c>
      <c r="AY498" s="1">
        <v>8.0000000000000002E-3</v>
      </c>
      <c r="AZ498" s="1">
        <v>1.0999999999999999E-2</v>
      </c>
      <c r="BA498" s="1">
        <v>1.7000000000000001E-2</v>
      </c>
      <c r="BB498" s="1">
        <v>3.0000000000000001E-3</v>
      </c>
      <c r="BC498" s="1">
        <v>2E-3</v>
      </c>
      <c r="BD498" s="1">
        <v>2.4E-2</v>
      </c>
      <c r="BE498" s="1">
        <v>3.0000000000000001E-3</v>
      </c>
      <c r="BF498" s="1">
        <v>1.0999999999999999E-2</v>
      </c>
      <c r="BG498" s="1">
        <v>3.0000000000000001E-3</v>
      </c>
      <c r="BH498" s="1">
        <v>3.0000000000000001E-3</v>
      </c>
      <c r="BI498" s="1">
        <v>2E-3</v>
      </c>
      <c r="BJ498" s="1">
        <v>8.0000000000000002E-3</v>
      </c>
      <c r="BK498" s="1">
        <v>2E-3</v>
      </c>
      <c r="BL498" s="1">
        <v>5.0000000000000001E-3</v>
      </c>
      <c r="BM498" s="1">
        <v>3.0000000000000001E-3</v>
      </c>
      <c r="BN498" s="1">
        <v>5.0000000000000001E-3</v>
      </c>
      <c r="BO498" s="1">
        <v>2E-3</v>
      </c>
      <c r="BP498" s="1">
        <v>3.0000000000000001E-3</v>
      </c>
      <c r="BQ498" s="1">
        <v>8.0000000000000002E-3</v>
      </c>
      <c r="BR498" s="1">
        <v>5.0000000000000001E-3</v>
      </c>
      <c r="BS498" s="1">
        <v>4.0000000000000001E-3</v>
      </c>
      <c r="BT498" s="1">
        <v>3.0000000000000001E-3</v>
      </c>
      <c r="BU498" s="1">
        <v>2.3E-2</v>
      </c>
      <c r="BV498" s="1">
        <v>2E-3</v>
      </c>
      <c r="BW498" s="1">
        <v>4.0000000000000001E-3</v>
      </c>
      <c r="BX498" s="1">
        <v>1.4E-2</v>
      </c>
      <c r="BY498" s="1">
        <v>0.01</v>
      </c>
      <c r="BZ498" s="1">
        <v>1.0999999999999999E-2</v>
      </c>
      <c r="CA498" s="1">
        <v>5.0000000000000001E-3</v>
      </c>
      <c r="CB498" s="1">
        <v>2E-3</v>
      </c>
      <c r="CC498" s="1">
        <v>5.0000000000000001E-3</v>
      </c>
      <c r="CD498" s="1">
        <v>0</v>
      </c>
      <c r="CE498" s="1">
        <v>4.0000000000000001E-3</v>
      </c>
      <c r="CF498" s="1">
        <v>0.20799999999999999</v>
      </c>
      <c r="CG498" s="1">
        <v>1.2999999999999999E-2</v>
      </c>
      <c r="CH498" s="1">
        <v>6.0000000000000001E-3</v>
      </c>
      <c r="CI498" s="1">
        <v>5.0000000000000001E-3</v>
      </c>
      <c r="CJ498" s="1">
        <v>0.01</v>
      </c>
      <c r="CK498" s="1">
        <v>0.13</v>
      </c>
      <c r="CL498" s="1">
        <v>0.156</v>
      </c>
      <c r="CM498" s="1">
        <v>-31.319405620000001</v>
      </c>
      <c r="CN498" s="83">
        <v>-44.767655980000001</v>
      </c>
    </row>
    <row r="499" spans="1:92" s="3" customFormat="1" x14ac:dyDescent="0.25">
      <c r="A499" s="72">
        <v>527</v>
      </c>
      <c r="B499" s="81" t="s">
        <v>1511</v>
      </c>
      <c r="C499" s="1" t="s">
        <v>83</v>
      </c>
      <c r="D499" s="1" t="s">
        <v>73</v>
      </c>
      <c r="E499" s="1" t="s">
        <v>99</v>
      </c>
      <c r="F499" s="1" t="s">
        <v>246</v>
      </c>
      <c r="G499" s="1" t="s">
        <v>219</v>
      </c>
      <c r="H499" s="1" t="s">
        <v>527</v>
      </c>
      <c r="I499" s="1"/>
      <c r="J499" s="9" t="s">
        <v>544</v>
      </c>
      <c r="K499" s="10">
        <v>0.47677366666666599</v>
      </c>
      <c r="L499" s="1" t="s">
        <v>76</v>
      </c>
      <c r="M499" s="1" t="s">
        <v>506</v>
      </c>
      <c r="N499" s="1" t="s">
        <v>645</v>
      </c>
      <c r="O499" s="1" t="s">
        <v>68</v>
      </c>
      <c r="P499" s="82">
        <v>0.98799999999999999</v>
      </c>
      <c r="Q499" s="1" t="s">
        <v>76</v>
      </c>
      <c r="R499" s="81" t="s">
        <v>191</v>
      </c>
      <c r="S499" s="1">
        <v>3</v>
      </c>
      <c r="T499" s="1" t="s">
        <v>120</v>
      </c>
      <c r="U499" s="1" t="s">
        <v>658</v>
      </c>
      <c r="V499" s="1" t="s">
        <v>655</v>
      </c>
      <c r="W499" s="1">
        <v>36</v>
      </c>
      <c r="X499" s="1" t="s">
        <v>76</v>
      </c>
      <c r="Y499" s="1" t="s">
        <v>645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1E-3</v>
      </c>
      <c r="BY499" s="1">
        <v>0</v>
      </c>
      <c r="BZ499" s="1">
        <v>0</v>
      </c>
      <c r="CA499" s="1">
        <v>0</v>
      </c>
      <c r="CB499" s="1">
        <v>1E-3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0.98799999999999999</v>
      </c>
      <c r="CL499" s="1">
        <v>1E-3</v>
      </c>
      <c r="CM499" s="1">
        <v>53.931919839999999</v>
      </c>
      <c r="CN499" s="83">
        <v>-63.130366969999997</v>
      </c>
    </row>
    <row r="500" spans="1:92" s="3" customFormat="1" x14ac:dyDescent="0.25">
      <c r="A500" s="72">
        <v>970</v>
      </c>
      <c r="B500" s="81" t="s">
        <v>736</v>
      </c>
      <c r="C500" s="1" t="s">
        <v>83</v>
      </c>
      <c r="D500" s="1" t="s">
        <v>79</v>
      </c>
      <c r="E500" s="1" t="s">
        <v>74</v>
      </c>
      <c r="F500" s="1" t="s">
        <v>665</v>
      </c>
      <c r="G500" s="1" t="s">
        <v>98</v>
      </c>
      <c r="H500" s="1" t="s">
        <v>48</v>
      </c>
      <c r="I500" s="1"/>
      <c r="J500" s="9" t="s">
        <v>544</v>
      </c>
      <c r="K500" s="10">
        <v>0.57008833333333397</v>
      </c>
      <c r="L500" s="1" t="s">
        <v>579</v>
      </c>
      <c r="M500" s="1" t="s">
        <v>506</v>
      </c>
      <c r="N500" s="1" t="s">
        <v>648</v>
      </c>
      <c r="O500" s="1" t="s">
        <v>64</v>
      </c>
      <c r="P500" s="82">
        <v>1</v>
      </c>
      <c r="Q500" s="1" t="s">
        <v>76</v>
      </c>
      <c r="R500" s="81" t="s">
        <v>222</v>
      </c>
      <c r="S500" s="1">
        <v>3</v>
      </c>
      <c r="T500" s="1" t="s">
        <v>120</v>
      </c>
      <c r="U500" s="1" t="s">
        <v>658</v>
      </c>
      <c r="V500" s="1" t="s">
        <v>655</v>
      </c>
      <c r="W500" s="1">
        <v>35</v>
      </c>
      <c r="X500" s="1" t="s">
        <v>477</v>
      </c>
      <c r="Y500" s="1" t="s">
        <v>648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1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-38.663354900000002</v>
      </c>
      <c r="CN500" s="83">
        <v>43.018966519999999</v>
      </c>
    </row>
    <row r="501" spans="1:92" s="3" customFormat="1" x14ac:dyDescent="0.25">
      <c r="A501" s="72">
        <v>529</v>
      </c>
      <c r="B501" s="81" t="s">
        <v>1518</v>
      </c>
      <c r="C501" s="1" t="s">
        <v>83</v>
      </c>
      <c r="D501" s="1" t="s">
        <v>73</v>
      </c>
      <c r="E501" s="1" t="s">
        <v>99</v>
      </c>
      <c r="F501" s="1" t="s">
        <v>246</v>
      </c>
      <c r="G501" s="1" t="s">
        <v>219</v>
      </c>
      <c r="H501" s="1" t="s">
        <v>527</v>
      </c>
      <c r="I501" s="1"/>
      <c r="J501" s="9" t="s">
        <v>544</v>
      </c>
      <c r="K501" s="10">
        <v>0.4934635</v>
      </c>
      <c r="L501" s="1" t="s">
        <v>641</v>
      </c>
      <c r="M501" s="1" t="s">
        <v>76</v>
      </c>
      <c r="N501" s="1" t="s">
        <v>649</v>
      </c>
      <c r="O501" s="1" t="s">
        <v>68</v>
      </c>
      <c r="P501" s="82">
        <v>0.159</v>
      </c>
      <c r="Q501" s="1" t="s">
        <v>76</v>
      </c>
      <c r="R501" s="81" t="s">
        <v>169</v>
      </c>
      <c r="S501" s="1" t="s">
        <v>314</v>
      </c>
      <c r="T501" s="1" t="s">
        <v>120</v>
      </c>
      <c r="U501" s="1" t="s">
        <v>658</v>
      </c>
      <c r="V501" s="1" t="s">
        <v>654</v>
      </c>
      <c r="W501" s="1">
        <v>57</v>
      </c>
      <c r="X501" s="1" t="s">
        <v>76</v>
      </c>
      <c r="Y501" s="1" t="s">
        <v>649</v>
      </c>
      <c r="Z501" s="1">
        <v>4.0000000000000001E-3</v>
      </c>
      <c r="AA501" s="1">
        <v>7.0000000000000001E-3</v>
      </c>
      <c r="AB501" s="1">
        <v>8.0000000000000002E-3</v>
      </c>
      <c r="AC501" s="1">
        <v>5.8999999999999997E-2</v>
      </c>
      <c r="AD501" s="1">
        <v>0.02</v>
      </c>
      <c r="AE501" s="1">
        <v>8.0000000000000002E-3</v>
      </c>
      <c r="AF501" s="1">
        <v>8.9999999999999993E-3</v>
      </c>
      <c r="AG501" s="1">
        <v>1E-3</v>
      </c>
      <c r="AH501" s="1">
        <v>2.3E-2</v>
      </c>
      <c r="AI501" s="1">
        <v>3.0000000000000001E-3</v>
      </c>
      <c r="AJ501" s="1">
        <v>5.0000000000000001E-3</v>
      </c>
      <c r="AK501" s="1">
        <v>0.03</v>
      </c>
      <c r="AL501" s="1">
        <v>1E-3</v>
      </c>
      <c r="AM501" s="1">
        <v>4.0000000000000001E-3</v>
      </c>
      <c r="AN501" s="1">
        <v>6.0000000000000001E-3</v>
      </c>
      <c r="AO501" s="1">
        <v>8.0000000000000002E-3</v>
      </c>
      <c r="AP501" s="1">
        <v>5.0000000000000001E-3</v>
      </c>
      <c r="AQ501" s="1">
        <v>5.0000000000000001E-3</v>
      </c>
      <c r="AR501" s="1">
        <v>7.0000000000000001E-3</v>
      </c>
      <c r="AS501" s="1">
        <v>2.5000000000000001E-2</v>
      </c>
      <c r="AT501" s="1">
        <v>1.2999999999999999E-2</v>
      </c>
      <c r="AU501" s="1">
        <v>7.0000000000000001E-3</v>
      </c>
      <c r="AV501" s="1">
        <v>5.0000000000000001E-3</v>
      </c>
      <c r="AW501" s="1">
        <v>0.02</v>
      </c>
      <c r="AX501" s="1">
        <v>0.01</v>
      </c>
      <c r="AY501" s="1">
        <v>0.01</v>
      </c>
      <c r="AZ501" s="1">
        <v>1.4999999999999999E-2</v>
      </c>
      <c r="BA501" s="1">
        <v>3.4000000000000002E-2</v>
      </c>
      <c r="BB501" s="1">
        <v>6.0000000000000001E-3</v>
      </c>
      <c r="BC501" s="1">
        <v>3.0000000000000001E-3</v>
      </c>
      <c r="BD501" s="1">
        <v>3.1E-2</v>
      </c>
      <c r="BE501" s="1">
        <v>8.0000000000000002E-3</v>
      </c>
      <c r="BF501" s="1">
        <v>4.0000000000000001E-3</v>
      </c>
      <c r="BG501" s="1">
        <v>4.0000000000000001E-3</v>
      </c>
      <c r="BH501" s="1">
        <v>5.0000000000000001E-3</v>
      </c>
      <c r="BI501" s="1">
        <v>4.0000000000000001E-3</v>
      </c>
      <c r="BJ501" s="1">
        <v>4.0000000000000001E-3</v>
      </c>
      <c r="BK501" s="1">
        <v>3.0000000000000001E-3</v>
      </c>
      <c r="BL501" s="1">
        <v>1.2999999999999999E-2</v>
      </c>
      <c r="BM501" s="1">
        <v>5.0000000000000001E-3</v>
      </c>
      <c r="BN501" s="1">
        <v>5.6000000000000001E-2</v>
      </c>
      <c r="BO501" s="1">
        <v>4.0000000000000001E-3</v>
      </c>
      <c r="BP501" s="1">
        <v>4.0000000000000001E-3</v>
      </c>
      <c r="BQ501" s="1">
        <v>1.4999999999999999E-2</v>
      </c>
      <c r="BR501" s="1">
        <v>6.0000000000000001E-3</v>
      </c>
      <c r="BS501" s="1">
        <v>5.0000000000000001E-3</v>
      </c>
      <c r="BT501" s="1">
        <v>4.0000000000000001E-3</v>
      </c>
      <c r="BU501" s="1">
        <v>7.0000000000000001E-3</v>
      </c>
      <c r="BV501" s="1">
        <v>5.0000000000000001E-3</v>
      </c>
      <c r="BW501" s="1">
        <v>8.9999999999999993E-3</v>
      </c>
      <c r="BX501" s="1">
        <v>3.3000000000000002E-2</v>
      </c>
      <c r="BY501" s="1">
        <v>1.9E-2</v>
      </c>
      <c r="BZ501" s="1">
        <v>0.02</v>
      </c>
      <c r="CA501" s="1">
        <v>7.0000000000000001E-3</v>
      </c>
      <c r="CB501" s="1">
        <v>6.0000000000000001E-3</v>
      </c>
      <c r="CC501" s="1">
        <v>1.2E-2</v>
      </c>
      <c r="CD501" s="1">
        <v>1E-3</v>
      </c>
      <c r="CE501" s="1">
        <v>5.0000000000000001E-3</v>
      </c>
      <c r="CF501" s="1">
        <v>6.0000000000000001E-3</v>
      </c>
      <c r="CG501" s="1">
        <v>0.01</v>
      </c>
      <c r="CH501" s="1">
        <v>2.1999999999999999E-2</v>
      </c>
      <c r="CI501" s="1">
        <v>1.4E-2</v>
      </c>
      <c r="CJ501" s="1">
        <v>2.4E-2</v>
      </c>
      <c r="CK501" s="1">
        <v>0.159</v>
      </c>
      <c r="CL501" s="1">
        <v>0.105</v>
      </c>
      <c r="CM501" s="1">
        <v>52.922401020000002</v>
      </c>
      <c r="CN501" s="83">
        <v>-71.213195529999993</v>
      </c>
    </row>
    <row r="502" spans="1:92" s="3" customFormat="1" x14ac:dyDescent="0.25">
      <c r="A502" s="72">
        <v>530</v>
      </c>
      <c r="B502" s="81" t="s">
        <v>1536</v>
      </c>
      <c r="C502" s="1" t="s">
        <v>83</v>
      </c>
      <c r="D502" s="1" t="s">
        <v>73</v>
      </c>
      <c r="E502" s="1" t="s">
        <v>74</v>
      </c>
      <c r="F502" s="1" t="s">
        <v>246</v>
      </c>
      <c r="G502" s="1" t="s">
        <v>219</v>
      </c>
      <c r="H502" s="1" t="s">
        <v>527</v>
      </c>
      <c r="I502" s="1"/>
      <c r="J502" s="9" t="s">
        <v>544</v>
      </c>
      <c r="K502" s="10">
        <v>0.594393333333332</v>
      </c>
      <c r="L502" s="1" t="s">
        <v>641</v>
      </c>
      <c r="M502" s="1" t="s">
        <v>76</v>
      </c>
      <c r="N502" s="1" t="s">
        <v>649</v>
      </c>
      <c r="O502" s="1" t="s">
        <v>68</v>
      </c>
      <c r="P502" s="82">
        <v>0.17499999999999999</v>
      </c>
      <c r="Q502" s="1" t="s">
        <v>76</v>
      </c>
      <c r="R502" s="81" t="s">
        <v>169</v>
      </c>
      <c r="S502" s="1">
        <v>3</v>
      </c>
      <c r="T502" s="1" t="s">
        <v>120</v>
      </c>
      <c r="U502" s="1" t="s">
        <v>658</v>
      </c>
      <c r="V502" s="1" t="s">
        <v>655</v>
      </c>
      <c r="W502" s="1">
        <v>85</v>
      </c>
      <c r="X502" s="1" t="s">
        <v>76</v>
      </c>
      <c r="Y502" s="1" t="s">
        <v>649</v>
      </c>
      <c r="Z502" s="1">
        <v>3.0000000000000001E-3</v>
      </c>
      <c r="AA502" s="1">
        <v>7.0000000000000001E-3</v>
      </c>
      <c r="AB502" s="1">
        <v>6.0000000000000001E-3</v>
      </c>
      <c r="AC502" s="1">
        <v>4.5999999999999999E-2</v>
      </c>
      <c r="AD502" s="1">
        <v>8.0000000000000002E-3</v>
      </c>
      <c r="AE502" s="1">
        <v>6.0000000000000001E-3</v>
      </c>
      <c r="AF502" s="1">
        <v>8.9999999999999993E-3</v>
      </c>
      <c r="AG502" s="1">
        <v>1E-3</v>
      </c>
      <c r="AH502" s="1">
        <v>0.02</v>
      </c>
      <c r="AI502" s="1">
        <v>3.0000000000000001E-3</v>
      </c>
      <c r="AJ502" s="1">
        <v>4.0000000000000001E-3</v>
      </c>
      <c r="AK502" s="1">
        <v>2.8000000000000001E-2</v>
      </c>
      <c r="AL502" s="1">
        <v>2E-3</v>
      </c>
      <c r="AM502" s="1">
        <v>3.0000000000000001E-3</v>
      </c>
      <c r="AN502" s="1">
        <v>5.0000000000000001E-3</v>
      </c>
      <c r="AO502" s="1">
        <v>8.0000000000000002E-3</v>
      </c>
      <c r="AP502" s="1">
        <v>4.0000000000000001E-3</v>
      </c>
      <c r="AQ502" s="1">
        <v>4.0000000000000001E-3</v>
      </c>
      <c r="AR502" s="1">
        <v>5.0000000000000001E-3</v>
      </c>
      <c r="AS502" s="1">
        <v>2.1999999999999999E-2</v>
      </c>
      <c r="AT502" s="1">
        <v>1.2E-2</v>
      </c>
      <c r="AU502" s="1">
        <v>7.0000000000000001E-3</v>
      </c>
      <c r="AV502" s="1">
        <v>4.0000000000000001E-3</v>
      </c>
      <c r="AW502" s="1">
        <v>2.5999999999999999E-2</v>
      </c>
      <c r="AX502" s="1">
        <v>8.0000000000000002E-3</v>
      </c>
      <c r="AY502" s="1">
        <v>1.0999999999999999E-2</v>
      </c>
      <c r="AZ502" s="1">
        <v>1.2999999999999999E-2</v>
      </c>
      <c r="BA502" s="1">
        <v>5.0999999999999997E-2</v>
      </c>
      <c r="BB502" s="1">
        <v>7.0000000000000001E-3</v>
      </c>
      <c r="BC502" s="1">
        <v>3.0000000000000001E-3</v>
      </c>
      <c r="BD502" s="1">
        <v>2.5999999999999999E-2</v>
      </c>
      <c r="BE502" s="1">
        <v>6.0000000000000001E-3</v>
      </c>
      <c r="BF502" s="1">
        <v>3.0000000000000001E-3</v>
      </c>
      <c r="BG502" s="1">
        <v>5.0000000000000001E-3</v>
      </c>
      <c r="BH502" s="1">
        <v>4.0000000000000001E-3</v>
      </c>
      <c r="BI502" s="1">
        <v>4.0000000000000001E-3</v>
      </c>
      <c r="BJ502" s="1">
        <v>4.0000000000000001E-3</v>
      </c>
      <c r="BK502" s="1">
        <v>3.0000000000000001E-3</v>
      </c>
      <c r="BL502" s="1">
        <v>2.1999999999999999E-2</v>
      </c>
      <c r="BM502" s="1">
        <v>5.0000000000000001E-3</v>
      </c>
      <c r="BN502" s="1">
        <v>5.8999999999999997E-2</v>
      </c>
      <c r="BO502" s="1">
        <v>3.0000000000000001E-3</v>
      </c>
      <c r="BP502" s="1">
        <v>3.0000000000000001E-3</v>
      </c>
      <c r="BQ502" s="1">
        <v>1.4999999999999999E-2</v>
      </c>
      <c r="BR502" s="1">
        <v>6.0000000000000001E-3</v>
      </c>
      <c r="BS502" s="1">
        <v>5.0000000000000001E-3</v>
      </c>
      <c r="BT502" s="1">
        <v>3.0000000000000001E-3</v>
      </c>
      <c r="BU502" s="1">
        <v>4.0000000000000001E-3</v>
      </c>
      <c r="BV502" s="1">
        <v>4.0000000000000001E-3</v>
      </c>
      <c r="BW502" s="1">
        <v>8.9999999999999993E-3</v>
      </c>
      <c r="BX502" s="1">
        <v>3.5000000000000003E-2</v>
      </c>
      <c r="BY502" s="1">
        <v>1.7000000000000001E-2</v>
      </c>
      <c r="BZ502" s="1">
        <v>1.9E-2</v>
      </c>
      <c r="CA502" s="1">
        <v>7.0000000000000001E-3</v>
      </c>
      <c r="CB502" s="1">
        <v>4.0000000000000001E-3</v>
      </c>
      <c r="CC502" s="1">
        <v>1.4999999999999999E-2</v>
      </c>
      <c r="CD502" s="1">
        <v>1E-3</v>
      </c>
      <c r="CE502" s="1">
        <v>7.0000000000000001E-3</v>
      </c>
      <c r="CF502" s="1">
        <v>6.0000000000000001E-3</v>
      </c>
      <c r="CG502" s="1">
        <v>8.9999999999999993E-3</v>
      </c>
      <c r="CH502" s="1">
        <v>2.1999999999999999E-2</v>
      </c>
      <c r="CI502" s="1">
        <v>0.01</v>
      </c>
      <c r="CJ502" s="1">
        <v>2.7E-2</v>
      </c>
      <c r="CK502" s="1">
        <v>0.17499999999999999</v>
      </c>
      <c r="CL502" s="1">
        <v>0.11700000000000001</v>
      </c>
      <c r="CM502" s="1">
        <v>60.61370359</v>
      </c>
      <c r="CN502" s="83">
        <v>-63.70627245</v>
      </c>
    </row>
    <row r="503" spans="1:92" s="3" customFormat="1" x14ac:dyDescent="0.25">
      <c r="A503" s="72">
        <v>531</v>
      </c>
      <c r="B503" s="81" t="s">
        <v>1548</v>
      </c>
      <c r="C503" s="1" t="s">
        <v>83</v>
      </c>
      <c r="D503" s="1" t="s">
        <v>73</v>
      </c>
      <c r="E503" s="1" t="s">
        <v>74</v>
      </c>
      <c r="F503" s="1" t="s">
        <v>246</v>
      </c>
      <c r="G503" s="1" t="s">
        <v>219</v>
      </c>
      <c r="H503" s="1" t="s">
        <v>527</v>
      </c>
      <c r="I503" s="1"/>
      <c r="J503" s="9" t="s">
        <v>544</v>
      </c>
      <c r="K503" s="10">
        <v>0.43919216666666699</v>
      </c>
      <c r="L503" s="1" t="s">
        <v>76</v>
      </c>
      <c r="M503" s="1" t="s">
        <v>506</v>
      </c>
      <c r="N503" s="1" t="s">
        <v>645</v>
      </c>
      <c r="O503" s="1" t="s">
        <v>68</v>
      </c>
      <c r="P503" s="82">
        <v>0.96899999999999997</v>
      </c>
      <c r="Q503" s="1" t="s">
        <v>76</v>
      </c>
      <c r="R503" s="81" t="s">
        <v>171</v>
      </c>
      <c r="S503" s="1">
        <v>3</v>
      </c>
      <c r="T503" s="1" t="s">
        <v>120</v>
      </c>
      <c r="U503" s="1" t="s">
        <v>658</v>
      </c>
      <c r="V503" s="1" t="s">
        <v>655</v>
      </c>
      <c r="W503" s="1">
        <v>83</v>
      </c>
      <c r="X503" s="1" t="s">
        <v>76</v>
      </c>
      <c r="Y503" s="1" t="s">
        <v>645</v>
      </c>
      <c r="Z503" s="1">
        <v>1E-3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1E-3</v>
      </c>
      <c r="AS503" s="1">
        <v>0</v>
      </c>
      <c r="AT503" s="1">
        <v>0</v>
      </c>
      <c r="AU503" s="1">
        <v>1E-3</v>
      </c>
      <c r="AV503" s="1">
        <v>0</v>
      </c>
      <c r="AW503" s="1">
        <v>0</v>
      </c>
      <c r="AX503" s="1">
        <v>1E-3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2.1999999999999999E-2</v>
      </c>
      <c r="BT503" s="1">
        <v>0</v>
      </c>
      <c r="BU503" s="1">
        <v>0</v>
      </c>
      <c r="BV503" s="1">
        <v>0</v>
      </c>
      <c r="BW503" s="1">
        <v>0</v>
      </c>
      <c r="BX503" s="1">
        <v>1E-3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0.96899999999999997</v>
      </c>
      <c r="CL503" s="1">
        <v>0</v>
      </c>
      <c r="CM503" s="1">
        <v>50.948854079999997</v>
      </c>
      <c r="CN503" s="83">
        <v>-58.000942119999998</v>
      </c>
    </row>
    <row r="504" spans="1:92" s="3" customFormat="1" x14ac:dyDescent="0.25">
      <c r="A504" s="72">
        <v>532</v>
      </c>
      <c r="B504" s="81" t="s">
        <v>1550</v>
      </c>
      <c r="C504" s="1" t="s">
        <v>83</v>
      </c>
      <c r="D504" s="1" t="s">
        <v>73</v>
      </c>
      <c r="E504" s="1" t="s">
        <v>99</v>
      </c>
      <c r="F504" s="1" t="s">
        <v>668</v>
      </c>
      <c r="G504" s="1" t="s">
        <v>76</v>
      </c>
      <c r="H504" s="1" t="s">
        <v>528</v>
      </c>
      <c r="I504" s="1"/>
      <c r="J504" s="9" t="s">
        <v>506</v>
      </c>
      <c r="K504" s="10">
        <v>0.37725966666666699</v>
      </c>
      <c r="L504" s="1" t="s">
        <v>641</v>
      </c>
      <c r="M504" s="1" t="s">
        <v>76</v>
      </c>
      <c r="N504" s="1" t="s">
        <v>644</v>
      </c>
      <c r="O504" s="1" t="s">
        <v>69</v>
      </c>
      <c r="P504" s="82">
        <v>0.5</v>
      </c>
      <c r="Q504" s="1" t="s">
        <v>76</v>
      </c>
      <c r="R504" s="81" t="s">
        <v>247</v>
      </c>
      <c r="S504" s="1">
        <v>3</v>
      </c>
      <c r="T504" s="1" t="s">
        <v>120</v>
      </c>
      <c r="U504" s="1" t="s">
        <v>658</v>
      </c>
      <c r="V504" s="1" t="s">
        <v>655</v>
      </c>
      <c r="W504" s="1">
        <v>27</v>
      </c>
      <c r="X504" s="1" t="s">
        <v>76</v>
      </c>
      <c r="Y504" s="1" t="s">
        <v>644</v>
      </c>
      <c r="Z504" s="1">
        <v>5.0000000000000001E-3</v>
      </c>
      <c r="AA504" s="1">
        <v>1E-3</v>
      </c>
      <c r="AB504" s="1">
        <v>1E-3</v>
      </c>
      <c r="AC504" s="1">
        <v>1E-3</v>
      </c>
      <c r="AD504" s="1">
        <v>2E-3</v>
      </c>
      <c r="AE504" s="1">
        <v>0</v>
      </c>
      <c r="AF504" s="1">
        <v>1E-3</v>
      </c>
      <c r="AG504" s="1">
        <v>0</v>
      </c>
      <c r="AH504" s="1">
        <v>1E-3</v>
      </c>
      <c r="AI504" s="1">
        <v>0</v>
      </c>
      <c r="AJ504" s="1">
        <v>0</v>
      </c>
      <c r="AK504" s="1">
        <v>1E-3</v>
      </c>
      <c r="AL504" s="1">
        <v>0</v>
      </c>
      <c r="AM504" s="1">
        <v>0</v>
      </c>
      <c r="AN504" s="1">
        <v>1E-3</v>
      </c>
      <c r="AO504" s="1">
        <v>0</v>
      </c>
      <c r="AP504" s="1">
        <v>0</v>
      </c>
      <c r="AQ504" s="1">
        <v>0</v>
      </c>
      <c r="AR504" s="1">
        <v>3.0000000000000001E-3</v>
      </c>
      <c r="AS504" s="1">
        <v>1E-3</v>
      </c>
      <c r="AT504" s="1">
        <v>1E-3</v>
      </c>
      <c r="AU504" s="1">
        <v>2E-3</v>
      </c>
      <c r="AV504" s="1">
        <v>1E-3</v>
      </c>
      <c r="AW504" s="1">
        <v>1E-3</v>
      </c>
      <c r="AX504" s="1">
        <v>6.0000000000000001E-3</v>
      </c>
      <c r="AY504" s="1">
        <v>2E-3</v>
      </c>
      <c r="AZ504" s="1">
        <v>3.0000000000000001E-3</v>
      </c>
      <c r="BA504" s="1">
        <v>2E-3</v>
      </c>
      <c r="BB504" s="1">
        <v>0</v>
      </c>
      <c r="BC504" s="1">
        <v>0</v>
      </c>
      <c r="BD504" s="1">
        <v>3.0000000000000001E-3</v>
      </c>
      <c r="BE504" s="1">
        <v>0</v>
      </c>
      <c r="BF504" s="1">
        <v>2E-3</v>
      </c>
      <c r="BG504" s="1">
        <v>0</v>
      </c>
      <c r="BH504" s="1">
        <v>0</v>
      </c>
      <c r="BI504" s="1">
        <v>0</v>
      </c>
      <c r="BJ504" s="1">
        <v>4.0000000000000001E-3</v>
      </c>
      <c r="BK504" s="1">
        <v>0</v>
      </c>
      <c r="BL504" s="1">
        <v>1E-3</v>
      </c>
      <c r="BM504" s="1">
        <v>0</v>
      </c>
      <c r="BN504" s="1">
        <v>1E-3</v>
      </c>
      <c r="BO504" s="1">
        <v>0</v>
      </c>
      <c r="BP504" s="1">
        <v>4.0000000000000001E-3</v>
      </c>
      <c r="BQ504" s="1">
        <v>1E-3</v>
      </c>
      <c r="BR504" s="1">
        <v>1E-3</v>
      </c>
      <c r="BS504" s="1">
        <v>3.0000000000000001E-3</v>
      </c>
      <c r="BT504" s="1">
        <v>0</v>
      </c>
      <c r="BU504" s="1">
        <v>8.0000000000000002E-3</v>
      </c>
      <c r="BV504" s="1">
        <v>0</v>
      </c>
      <c r="BW504" s="1">
        <v>1E-3</v>
      </c>
      <c r="BX504" s="1">
        <v>2E-3</v>
      </c>
      <c r="BY504" s="1">
        <v>1E-3</v>
      </c>
      <c r="BZ504" s="1">
        <v>3.0000000000000001E-3</v>
      </c>
      <c r="CA504" s="1">
        <v>1E-3</v>
      </c>
      <c r="CB504" s="1">
        <v>1E-3</v>
      </c>
      <c r="CC504" s="1">
        <v>1E-3</v>
      </c>
      <c r="CD504" s="1">
        <v>0</v>
      </c>
      <c r="CE504" s="1">
        <v>1E-3</v>
      </c>
      <c r="CF504" s="1">
        <v>1E-3</v>
      </c>
      <c r="CG504" s="1">
        <v>1E-3</v>
      </c>
      <c r="CH504" s="1">
        <v>1E-3</v>
      </c>
      <c r="CI504" s="1">
        <v>1E-3</v>
      </c>
      <c r="CJ504" s="1">
        <v>1E-3</v>
      </c>
      <c r="CK504" s="1">
        <v>0.41499999999999998</v>
      </c>
      <c r="CL504" s="1">
        <v>0.5</v>
      </c>
      <c r="CM504" s="1">
        <v>-56.21552638</v>
      </c>
      <c r="CN504" s="83">
        <v>-24.00871862</v>
      </c>
    </row>
    <row r="505" spans="1:92" s="3" customFormat="1" x14ac:dyDescent="0.25">
      <c r="A505" s="72">
        <v>386</v>
      </c>
      <c r="B505" s="81" t="s">
        <v>1405</v>
      </c>
      <c r="C505" s="1" t="s">
        <v>83</v>
      </c>
      <c r="D505" s="1" t="s">
        <v>79</v>
      </c>
      <c r="E505" s="1" t="s">
        <v>74</v>
      </c>
      <c r="F505" s="1" t="s">
        <v>211</v>
      </c>
      <c r="G505" s="1" t="s">
        <v>76</v>
      </c>
      <c r="H505" s="1" t="s">
        <v>212</v>
      </c>
      <c r="I505" s="1"/>
      <c r="J505" s="9" t="s">
        <v>544</v>
      </c>
      <c r="K505" s="10">
        <v>0.26809033333333299</v>
      </c>
      <c r="L505" s="1" t="s">
        <v>625</v>
      </c>
      <c r="M505" s="1" t="s">
        <v>506</v>
      </c>
      <c r="N505" s="1" t="s">
        <v>648</v>
      </c>
      <c r="O505" s="1" t="s">
        <v>5</v>
      </c>
      <c r="P505" s="82">
        <v>0.94899999999999995</v>
      </c>
      <c r="Q505" s="1" t="s">
        <v>76</v>
      </c>
      <c r="R505" s="81" t="s">
        <v>254</v>
      </c>
      <c r="S505" s="1">
        <v>3</v>
      </c>
      <c r="T505" s="1" t="s">
        <v>296</v>
      </c>
      <c r="U505" s="1" t="s">
        <v>660</v>
      </c>
      <c r="V505" s="1" t="s">
        <v>655</v>
      </c>
      <c r="W505" s="1">
        <v>61</v>
      </c>
      <c r="X505" s="1" t="s">
        <v>76</v>
      </c>
      <c r="Y505" s="1" t="s">
        <v>648</v>
      </c>
      <c r="Z505" s="1">
        <v>0.94899999999999995</v>
      </c>
      <c r="AA505" s="1">
        <v>0</v>
      </c>
      <c r="AB505" s="1">
        <v>0</v>
      </c>
      <c r="AC505" s="1">
        <v>1.4E-2</v>
      </c>
      <c r="AD505" s="1">
        <v>0</v>
      </c>
      <c r="AE505" s="1">
        <v>0</v>
      </c>
      <c r="AF505" s="1">
        <v>0</v>
      </c>
      <c r="AG505" s="1">
        <v>0</v>
      </c>
      <c r="AH505" s="1">
        <v>1.4E-2</v>
      </c>
      <c r="AI505" s="1">
        <v>1E-3</v>
      </c>
      <c r="AJ505" s="1">
        <v>0</v>
      </c>
      <c r="AK505" s="1">
        <v>0</v>
      </c>
      <c r="AL505" s="1">
        <v>0</v>
      </c>
      <c r="AM505" s="1">
        <v>0</v>
      </c>
      <c r="AN505" s="1">
        <v>2E-3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1E-3</v>
      </c>
      <c r="BB505" s="1">
        <v>0</v>
      </c>
      <c r="BC505" s="1">
        <v>0</v>
      </c>
      <c r="BD505" s="1">
        <v>1E-3</v>
      </c>
      <c r="BE505" s="1">
        <v>0</v>
      </c>
      <c r="BF505" s="1">
        <v>7.0000000000000001E-3</v>
      </c>
      <c r="BG505" s="1">
        <v>0</v>
      </c>
      <c r="BH505" s="1">
        <v>5.0000000000000001E-3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1E-3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1E-3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-20.185723549999999</v>
      </c>
      <c r="CN505" s="83">
        <v>-61.16142593</v>
      </c>
    </row>
    <row r="506" spans="1:92" s="3" customFormat="1" x14ac:dyDescent="0.25">
      <c r="A506" s="72">
        <v>534</v>
      </c>
      <c r="B506" s="81" t="s">
        <v>1546</v>
      </c>
      <c r="C506" s="1" t="s">
        <v>83</v>
      </c>
      <c r="D506" s="1" t="s">
        <v>73</v>
      </c>
      <c r="E506" s="1" t="s">
        <v>99</v>
      </c>
      <c r="F506" s="1" t="s">
        <v>246</v>
      </c>
      <c r="G506" s="1" t="s">
        <v>219</v>
      </c>
      <c r="H506" s="1" t="s">
        <v>527</v>
      </c>
      <c r="I506" s="1"/>
      <c r="J506" s="9" t="s">
        <v>544</v>
      </c>
      <c r="K506" s="10">
        <v>0.562205333333333</v>
      </c>
      <c r="L506" s="1" t="s">
        <v>641</v>
      </c>
      <c r="M506" s="1" t="s">
        <v>76</v>
      </c>
      <c r="N506" s="1" t="s">
        <v>644</v>
      </c>
      <c r="O506" s="1" t="s">
        <v>69</v>
      </c>
      <c r="P506" s="82">
        <v>0.26900000000000002</v>
      </c>
      <c r="Q506" s="1" t="s">
        <v>76</v>
      </c>
      <c r="R506" s="81" t="s">
        <v>333</v>
      </c>
      <c r="S506" s="1">
        <v>3</v>
      </c>
      <c r="T506" s="1" t="s">
        <v>120</v>
      </c>
      <c r="U506" s="1" t="s">
        <v>658</v>
      </c>
      <c r="V506" s="1" t="s">
        <v>654</v>
      </c>
      <c r="W506" s="1">
        <v>61</v>
      </c>
      <c r="X506" s="1" t="s">
        <v>76</v>
      </c>
      <c r="Y506" s="1" t="s">
        <v>644</v>
      </c>
      <c r="Z506" s="1">
        <v>3.0000000000000001E-3</v>
      </c>
      <c r="AA506" s="1">
        <v>5.0000000000000001E-3</v>
      </c>
      <c r="AB506" s="1">
        <v>6.0000000000000001E-3</v>
      </c>
      <c r="AC506" s="1">
        <v>0.03</v>
      </c>
      <c r="AD506" s="1">
        <v>0.01</v>
      </c>
      <c r="AE506" s="1">
        <v>4.0000000000000001E-3</v>
      </c>
      <c r="AF506" s="1">
        <v>5.0000000000000001E-3</v>
      </c>
      <c r="AG506" s="1">
        <v>1E-3</v>
      </c>
      <c r="AH506" s="1">
        <v>1.4999999999999999E-2</v>
      </c>
      <c r="AI506" s="1">
        <v>2E-3</v>
      </c>
      <c r="AJ506" s="1">
        <v>3.0000000000000001E-3</v>
      </c>
      <c r="AK506" s="1">
        <v>1.7000000000000001E-2</v>
      </c>
      <c r="AL506" s="1">
        <v>1E-3</v>
      </c>
      <c r="AM506" s="1">
        <v>2E-3</v>
      </c>
      <c r="AN506" s="1">
        <v>3.0000000000000001E-3</v>
      </c>
      <c r="AO506" s="1">
        <v>6.0000000000000001E-3</v>
      </c>
      <c r="AP506" s="1">
        <v>3.0000000000000001E-3</v>
      </c>
      <c r="AQ506" s="1">
        <v>4.0000000000000001E-3</v>
      </c>
      <c r="AR506" s="1">
        <v>4.0000000000000001E-3</v>
      </c>
      <c r="AS506" s="1">
        <v>1.7000000000000001E-2</v>
      </c>
      <c r="AT506" s="1">
        <v>1.0999999999999999E-2</v>
      </c>
      <c r="AU506" s="1">
        <v>6.0000000000000001E-3</v>
      </c>
      <c r="AV506" s="1">
        <v>3.0000000000000001E-3</v>
      </c>
      <c r="AW506" s="1">
        <v>2.8000000000000001E-2</v>
      </c>
      <c r="AX506" s="1">
        <v>7.0000000000000001E-3</v>
      </c>
      <c r="AY506" s="1">
        <v>1.2999999999999999E-2</v>
      </c>
      <c r="AZ506" s="1">
        <v>1.9E-2</v>
      </c>
      <c r="BA506" s="1">
        <v>4.7E-2</v>
      </c>
      <c r="BB506" s="1">
        <v>5.0000000000000001E-3</v>
      </c>
      <c r="BC506" s="1">
        <v>2E-3</v>
      </c>
      <c r="BD506" s="1">
        <v>2.3E-2</v>
      </c>
      <c r="BE506" s="1">
        <v>5.0000000000000001E-3</v>
      </c>
      <c r="BF506" s="1">
        <v>3.0000000000000001E-3</v>
      </c>
      <c r="BG506" s="1">
        <v>3.0000000000000001E-3</v>
      </c>
      <c r="BH506" s="1">
        <v>3.0000000000000001E-3</v>
      </c>
      <c r="BI506" s="1">
        <v>4.0000000000000001E-3</v>
      </c>
      <c r="BJ506" s="1">
        <v>4.0000000000000001E-3</v>
      </c>
      <c r="BK506" s="1">
        <v>3.0000000000000001E-3</v>
      </c>
      <c r="BL506" s="1">
        <v>1.6E-2</v>
      </c>
      <c r="BM506" s="1">
        <v>4.0000000000000001E-3</v>
      </c>
      <c r="BN506" s="1">
        <v>4.4999999999999998E-2</v>
      </c>
      <c r="BO506" s="1">
        <v>2E-3</v>
      </c>
      <c r="BP506" s="1">
        <v>3.0000000000000001E-3</v>
      </c>
      <c r="BQ506" s="1">
        <v>1.2999999999999999E-2</v>
      </c>
      <c r="BR506" s="1">
        <v>5.0000000000000001E-3</v>
      </c>
      <c r="BS506" s="1">
        <v>4.0000000000000001E-3</v>
      </c>
      <c r="BT506" s="1">
        <v>3.0000000000000001E-3</v>
      </c>
      <c r="BU506" s="1">
        <v>4.0000000000000001E-3</v>
      </c>
      <c r="BV506" s="1">
        <v>3.0000000000000001E-3</v>
      </c>
      <c r="BW506" s="1">
        <v>8.0000000000000002E-3</v>
      </c>
      <c r="BX506" s="1">
        <v>1.6E-2</v>
      </c>
      <c r="BY506" s="1">
        <v>1.4E-2</v>
      </c>
      <c r="BZ506" s="1">
        <v>1.4E-2</v>
      </c>
      <c r="CA506" s="1">
        <v>5.0000000000000001E-3</v>
      </c>
      <c r="CB506" s="1">
        <v>5.0000000000000001E-3</v>
      </c>
      <c r="CC506" s="1">
        <v>1.9E-2</v>
      </c>
      <c r="CD506" s="1">
        <v>0</v>
      </c>
      <c r="CE506" s="1">
        <v>4.0000000000000001E-3</v>
      </c>
      <c r="CF506" s="1">
        <v>4.0000000000000001E-3</v>
      </c>
      <c r="CG506" s="1">
        <v>1.6E-2</v>
      </c>
      <c r="CH506" s="1">
        <v>2.3E-2</v>
      </c>
      <c r="CI506" s="1">
        <v>8.0000000000000002E-3</v>
      </c>
      <c r="CJ506" s="1">
        <v>2.1999999999999999E-2</v>
      </c>
      <c r="CK506" s="1">
        <v>0.13900000000000001</v>
      </c>
      <c r="CL506" s="1">
        <v>0.26900000000000002</v>
      </c>
      <c r="CM506" s="1">
        <v>59.813481680000002</v>
      </c>
      <c r="CN506" s="83">
        <v>-63.967923300000002</v>
      </c>
    </row>
    <row r="507" spans="1:92" s="3" customFormat="1" x14ac:dyDescent="0.25">
      <c r="A507" s="72">
        <v>535</v>
      </c>
      <c r="B507" s="81" t="s">
        <v>1610</v>
      </c>
      <c r="C507" s="1" t="s">
        <v>83</v>
      </c>
      <c r="D507" s="1" t="s">
        <v>73</v>
      </c>
      <c r="E507" s="1" t="s">
        <v>99</v>
      </c>
      <c r="F507" s="1" t="s">
        <v>246</v>
      </c>
      <c r="G507" s="1" t="s">
        <v>219</v>
      </c>
      <c r="H507" s="1" t="s">
        <v>527</v>
      </c>
      <c r="I507" s="1"/>
      <c r="J507" s="9" t="s">
        <v>544</v>
      </c>
      <c r="K507" s="10">
        <v>0.62817916666666596</v>
      </c>
      <c r="L507" s="1" t="s">
        <v>641</v>
      </c>
      <c r="M507" s="1" t="s">
        <v>76</v>
      </c>
      <c r="N507" s="1" t="s">
        <v>644</v>
      </c>
      <c r="O507" s="1" t="s">
        <v>45</v>
      </c>
      <c r="P507" s="82">
        <v>8.3000000000000004E-2</v>
      </c>
      <c r="Q507" s="1" t="s">
        <v>76</v>
      </c>
      <c r="R507" s="81" t="s">
        <v>87</v>
      </c>
      <c r="S507" s="1">
        <v>3</v>
      </c>
      <c r="T507" s="1" t="s">
        <v>78</v>
      </c>
      <c r="U507" s="1" t="s">
        <v>660</v>
      </c>
      <c r="V507" s="1" t="s">
        <v>655</v>
      </c>
      <c r="W507" s="1">
        <v>32</v>
      </c>
      <c r="X507" s="1" t="s">
        <v>76</v>
      </c>
      <c r="Y507" s="1" t="s">
        <v>644</v>
      </c>
      <c r="Z507" s="1">
        <v>2E-3</v>
      </c>
      <c r="AA507" s="1">
        <v>7.0000000000000001E-3</v>
      </c>
      <c r="AB507" s="1">
        <v>6.0000000000000001E-3</v>
      </c>
      <c r="AC507" s="1">
        <v>6.4000000000000001E-2</v>
      </c>
      <c r="AD507" s="1">
        <v>5.0000000000000001E-3</v>
      </c>
      <c r="AE507" s="1">
        <v>5.0000000000000001E-3</v>
      </c>
      <c r="AF507" s="1">
        <v>6.0000000000000001E-3</v>
      </c>
      <c r="AG507" s="1">
        <v>1E-3</v>
      </c>
      <c r="AH507" s="1">
        <v>2.5999999999999999E-2</v>
      </c>
      <c r="AI507" s="1">
        <v>2E-3</v>
      </c>
      <c r="AJ507" s="1">
        <v>3.0000000000000001E-3</v>
      </c>
      <c r="AK507" s="1">
        <v>2.8000000000000001E-2</v>
      </c>
      <c r="AL507" s="1">
        <v>1E-3</v>
      </c>
      <c r="AM507" s="1">
        <v>3.0000000000000001E-3</v>
      </c>
      <c r="AN507" s="1">
        <v>3.0000000000000001E-3</v>
      </c>
      <c r="AO507" s="1">
        <v>3.3000000000000002E-2</v>
      </c>
      <c r="AP507" s="1">
        <v>6.0000000000000001E-3</v>
      </c>
      <c r="AQ507" s="1">
        <v>5.0000000000000001E-3</v>
      </c>
      <c r="AR507" s="1">
        <v>2E-3</v>
      </c>
      <c r="AS507" s="1">
        <v>4.8000000000000001E-2</v>
      </c>
      <c r="AT507" s="1">
        <v>4.4999999999999998E-2</v>
      </c>
      <c r="AU507" s="1">
        <v>6.0000000000000001E-3</v>
      </c>
      <c r="AV507" s="1">
        <v>3.0000000000000001E-3</v>
      </c>
      <c r="AW507" s="1">
        <v>3.2000000000000001E-2</v>
      </c>
      <c r="AX507" s="1">
        <v>5.0000000000000001E-3</v>
      </c>
      <c r="AY507" s="1">
        <v>1.2E-2</v>
      </c>
      <c r="AZ507" s="1">
        <v>1.0999999999999999E-2</v>
      </c>
      <c r="BA507" s="1">
        <v>3.7999999999999999E-2</v>
      </c>
      <c r="BB507" s="1">
        <v>6.0000000000000001E-3</v>
      </c>
      <c r="BC507" s="1">
        <v>3.0000000000000001E-3</v>
      </c>
      <c r="BD507" s="1">
        <v>3.3000000000000002E-2</v>
      </c>
      <c r="BE507" s="1">
        <v>4.0000000000000001E-3</v>
      </c>
      <c r="BF507" s="1">
        <v>2E-3</v>
      </c>
      <c r="BG507" s="1">
        <v>8.9999999999999993E-3</v>
      </c>
      <c r="BH507" s="1">
        <v>7.0000000000000001E-3</v>
      </c>
      <c r="BI507" s="1">
        <v>7.0000000000000001E-3</v>
      </c>
      <c r="BJ507" s="1">
        <v>2E-3</v>
      </c>
      <c r="BK507" s="1">
        <v>4.0000000000000001E-3</v>
      </c>
      <c r="BL507" s="1">
        <v>1.6E-2</v>
      </c>
      <c r="BM507" s="1">
        <v>6.0000000000000001E-3</v>
      </c>
      <c r="BN507" s="1">
        <v>8.3000000000000004E-2</v>
      </c>
      <c r="BO507" s="1">
        <v>3.0000000000000001E-3</v>
      </c>
      <c r="BP507" s="1">
        <v>2E-3</v>
      </c>
      <c r="BQ507" s="1">
        <v>1.6E-2</v>
      </c>
      <c r="BR507" s="1">
        <v>6.0000000000000001E-3</v>
      </c>
      <c r="BS507" s="1">
        <v>4.0000000000000001E-3</v>
      </c>
      <c r="BT507" s="1">
        <v>3.0000000000000001E-3</v>
      </c>
      <c r="BU507" s="1">
        <v>2E-3</v>
      </c>
      <c r="BV507" s="1">
        <v>8.0000000000000002E-3</v>
      </c>
      <c r="BW507" s="1">
        <v>1.2E-2</v>
      </c>
      <c r="BX507" s="1">
        <v>0.02</v>
      </c>
      <c r="BY507" s="1">
        <v>3.7999999999999999E-2</v>
      </c>
      <c r="BZ507" s="1">
        <v>0.01</v>
      </c>
      <c r="CA507" s="1">
        <v>6.0000000000000001E-3</v>
      </c>
      <c r="CB507" s="1">
        <v>1E-3</v>
      </c>
      <c r="CC507" s="1">
        <v>0.01</v>
      </c>
      <c r="CD507" s="1">
        <v>1E-3</v>
      </c>
      <c r="CE507" s="1">
        <v>6.0000000000000001E-3</v>
      </c>
      <c r="CF507" s="1">
        <v>6.0000000000000001E-3</v>
      </c>
      <c r="CG507" s="1">
        <v>2.3E-2</v>
      </c>
      <c r="CH507" s="1">
        <v>4.1000000000000002E-2</v>
      </c>
      <c r="CI507" s="1">
        <v>1.9E-2</v>
      </c>
      <c r="CJ507" s="1">
        <v>6.4000000000000001E-2</v>
      </c>
      <c r="CK507" s="1">
        <v>7.0999999999999994E-2</v>
      </c>
      <c r="CL507" s="1">
        <v>3.9E-2</v>
      </c>
      <c r="CM507" s="1">
        <v>55.928548309999996</v>
      </c>
      <c r="CN507" s="83">
        <v>-70.689723330000007</v>
      </c>
    </row>
    <row r="508" spans="1:92" s="3" customFormat="1" x14ac:dyDescent="0.25">
      <c r="A508" s="72">
        <v>536</v>
      </c>
      <c r="B508" s="81" t="s">
        <v>1567</v>
      </c>
      <c r="C508" s="1" t="s">
        <v>83</v>
      </c>
      <c r="D508" s="1" t="s">
        <v>73</v>
      </c>
      <c r="E508" s="1" t="s">
        <v>99</v>
      </c>
      <c r="F508" s="1" t="s">
        <v>246</v>
      </c>
      <c r="G508" s="1" t="s">
        <v>219</v>
      </c>
      <c r="H508" s="1" t="s">
        <v>527</v>
      </c>
      <c r="I508" s="1"/>
      <c r="J508" s="9" t="s">
        <v>544</v>
      </c>
      <c r="K508" s="10">
        <v>0.43043283333333399</v>
      </c>
      <c r="L508" s="1" t="s">
        <v>641</v>
      </c>
      <c r="M508" s="1" t="s">
        <v>76</v>
      </c>
      <c r="N508" s="1" t="s">
        <v>649</v>
      </c>
      <c r="O508" s="1" t="s">
        <v>68</v>
      </c>
      <c r="P508" s="82">
        <v>0.71099999999999997</v>
      </c>
      <c r="Q508" s="1" t="s">
        <v>76</v>
      </c>
      <c r="R508" s="81" t="s">
        <v>194</v>
      </c>
      <c r="S508" s="1" t="s">
        <v>314</v>
      </c>
      <c r="T508" s="1" t="s">
        <v>120</v>
      </c>
      <c r="U508" s="1" t="s">
        <v>658</v>
      </c>
      <c r="V508" s="1" t="s">
        <v>654</v>
      </c>
      <c r="W508" s="1">
        <v>44</v>
      </c>
      <c r="X508" s="1" t="s">
        <v>76</v>
      </c>
      <c r="Y508" s="1" t="s">
        <v>649</v>
      </c>
      <c r="Z508" s="1">
        <v>1E-3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1E-3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1E-3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1E-3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1E-3</v>
      </c>
      <c r="BQ508" s="1">
        <v>0</v>
      </c>
      <c r="BR508" s="1">
        <v>0</v>
      </c>
      <c r="BS508" s="1">
        <v>0</v>
      </c>
      <c r="BT508" s="1">
        <v>0</v>
      </c>
      <c r="BU508" s="1">
        <v>1E-3</v>
      </c>
      <c r="BV508" s="1">
        <v>0</v>
      </c>
      <c r="BW508" s="1">
        <v>0</v>
      </c>
      <c r="BX508" s="1">
        <v>0</v>
      </c>
      <c r="BY508" s="1">
        <v>0</v>
      </c>
      <c r="BZ508" s="1">
        <v>1E-3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0.71099999999999997</v>
      </c>
      <c r="CL508" s="1">
        <v>0.27700000000000002</v>
      </c>
      <c r="CM508" s="1">
        <v>46.974386279999997</v>
      </c>
      <c r="CN508" s="83">
        <v>-67.101388549999996</v>
      </c>
    </row>
    <row r="509" spans="1:92" s="3" customFormat="1" x14ac:dyDescent="0.25">
      <c r="A509" s="72">
        <v>537</v>
      </c>
      <c r="B509" s="81" t="s">
        <v>1591</v>
      </c>
      <c r="C509" s="1" t="s">
        <v>83</v>
      </c>
      <c r="D509" s="1" t="s">
        <v>73</v>
      </c>
      <c r="E509" s="1" t="s">
        <v>99</v>
      </c>
      <c r="F509" s="1" t="s">
        <v>246</v>
      </c>
      <c r="G509" s="1" t="s">
        <v>219</v>
      </c>
      <c r="H509" s="1" t="s">
        <v>527</v>
      </c>
      <c r="I509" s="1"/>
      <c r="J509" s="9" t="s">
        <v>544</v>
      </c>
      <c r="K509" s="10">
        <v>0.44884799999999903</v>
      </c>
      <c r="L509" s="1" t="s">
        <v>76</v>
      </c>
      <c r="M509" s="1" t="s">
        <v>506</v>
      </c>
      <c r="N509" s="1" t="s">
        <v>645</v>
      </c>
      <c r="O509" s="1" t="s">
        <v>68</v>
      </c>
      <c r="P509" s="82">
        <v>1</v>
      </c>
      <c r="Q509" s="1" t="s">
        <v>76</v>
      </c>
      <c r="R509" s="81" t="s">
        <v>183</v>
      </c>
      <c r="S509" s="1" t="s">
        <v>314</v>
      </c>
      <c r="T509" s="1" t="s">
        <v>120</v>
      </c>
      <c r="U509" s="1" t="s">
        <v>658</v>
      </c>
      <c r="V509" s="1" t="s">
        <v>654</v>
      </c>
      <c r="W509" s="1">
        <v>77</v>
      </c>
      <c r="X509" s="1" t="s">
        <v>334</v>
      </c>
      <c r="Y509" s="1" t="s">
        <v>645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1</v>
      </c>
      <c r="CL509" s="1">
        <v>0</v>
      </c>
      <c r="CM509" s="1">
        <v>43.100349059999999</v>
      </c>
      <c r="CN509" s="83">
        <v>-75.244553490000001</v>
      </c>
    </row>
    <row r="510" spans="1:92" s="3" customFormat="1" x14ac:dyDescent="0.25">
      <c r="A510" s="72">
        <v>538</v>
      </c>
      <c r="B510" s="81" t="s">
        <v>1596</v>
      </c>
      <c r="C510" s="1" t="s">
        <v>83</v>
      </c>
      <c r="D510" s="1" t="s">
        <v>73</v>
      </c>
      <c r="E510" s="1" t="s">
        <v>99</v>
      </c>
      <c r="F510" s="1" t="s">
        <v>246</v>
      </c>
      <c r="G510" s="1" t="s">
        <v>219</v>
      </c>
      <c r="H510" s="1" t="s">
        <v>527</v>
      </c>
      <c r="I510" s="1"/>
      <c r="J510" s="9" t="s">
        <v>544</v>
      </c>
      <c r="K510" s="10">
        <v>0.42993316666666698</v>
      </c>
      <c r="L510" s="1" t="s">
        <v>641</v>
      </c>
      <c r="M510" s="1" t="s">
        <v>76</v>
      </c>
      <c r="N510" s="1" t="s">
        <v>649</v>
      </c>
      <c r="O510" s="1" t="s">
        <v>68</v>
      </c>
      <c r="P510" s="82">
        <v>0.77800000000000002</v>
      </c>
      <c r="Q510" s="1" t="s">
        <v>76</v>
      </c>
      <c r="R510" s="81" t="s">
        <v>285</v>
      </c>
      <c r="S510" s="1">
        <v>3</v>
      </c>
      <c r="T510" s="1" t="s">
        <v>120</v>
      </c>
      <c r="U510" s="1" t="s">
        <v>658</v>
      </c>
      <c r="V510" s="1" t="s">
        <v>655</v>
      </c>
      <c r="W510" s="1">
        <v>70</v>
      </c>
      <c r="X510" s="1" t="s">
        <v>76</v>
      </c>
      <c r="Y510" s="1" t="s">
        <v>649</v>
      </c>
      <c r="Z510" s="1">
        <v>1E-3</v>
      </c>
      <c r="AA510" s="1">
        <v>0</v>
      </c>
      <c r="AB510" s="1">
        <v>0</v>
      </c>
      <c r="AC510" s="1">
        <v>1E-3</v>
      </c>
      <c r="AD510" s="1">
        <v>1E-3</v>
      </c>
      <c r="AE510" s="1">
        <v>0</v>
      </c>
      <c r="AF510" s="1">
        <v>1E-3</v>
      </c>
      <c r="AG510" s="1">
        <v>0</v>
      </c>
      <c r="AH510" s="1">
        <v>1E-3</v>
      </c>
      <c r="AI510" s="1">
        <v>0</v>
      </c>
      <c r="AJ510" s="1">
        <v>0</v>
      </c>
      <c r="AK510" s="1">
        <v>1E-3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1E-3</v>
      </c>
      <c r="AS510" s="1">
        <v>1E-3</v>
      </c>
      <c r="AT510" s="1">
        <v>0</v>
      </c>
      <c r="AU510" s="1">
        <v>1E-3</v>
      </c>
      <c r="AV510" s="1">
        <v>0</v>
      </c>
      <c r="AW510" s="1">
        <v>0</v>
      </c>
      <c r="AX510" s="1">
        <v>2E-3</v>
      </c>
      <c r="AY510" s="1">
        <v>1E-3</v>
      </c>
      <c r="AZ510" s="1">
        <v>2E-3</v>
      </c>
      <c r="BA510" s="1">
        <v>2E-3</v>
      </c>
      <c r="BB510" s="1">
        <v>0</v>
      </c>
      <c r="BC510" s="1">
        <v>0</v>
      </c>
      <c r="BD510" s="1">
        <v>2E-3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1E-3</v>
      </c>
      <c r="BK510" s="1">
        <v>0</v>
      </c>
      <c r="BL510" s="1">
        <v>1E-3</v>
      </c>
      <c r="BM510" s="1">
        <v>0</v>
      </c>
      <c r="BN510" s="1">
        <v>0</v>
      </c>
      <c r="BO510" s="1">
        <v>0</v>
      </c>
      <c r="BP510" s="1">
        <v>1E-3</v>
      </c>
      <c r="BQ510" s="1">
        <v>1E-3</v>
      </c>
      <c r="BR510" s="1">
        <v>0</v>
      </c>
      <c r="BS510" s="1">
        <v>1E-3</v>
      </c>
      <c r="BT510" s="1">
        <v>0</v>
      </c>
      <c r="BU510" s="1">
        <v>3.0000000000000001E-3</v>
      </c>
      <c r="BV510" s="1">
        <v>0</v>
      </c>
      <c r="BW510" s="1">
        <v>0</v>
      </c>
      <c r="BX510" s="1">
        <v>1E-3</v>
      </c>
      <c r="BY510" s="1">
        <v>1E-3</v>
      </c>
      <c r="BZ510" s="1">
        <v>2E-3</v>
      </c>
      <c r="CA510" s="1">
        <v>1E-3</v>
      </c>
      <c r="CB510" s="1">
        <v>0</v>
      </c>
      <c r="CC510" s="1">
        <v>1E-3</v>
      </c>
      <c r="CD510" s="1">
        <v>0</v>
      </c>
      <c r="CE510" s="1">
        <v>0</v>
      </c>
      <c r="CF510" s="1">
        <v>0</v>
      </c>
      <c r="CG510" s="1">
        <v>1E-3</v>
      </c>
      <c r="CH510" s="1">
        <v>1E-3</v>
      </c>
      <c r="CI510" s="1">
        <v>0</v>
      </c>
      <c r="CJ510" s="1">
        <v>1E-3</v>
      </c>
      <c r="CK510" s="1">
        <v>0.77800000000000002</v>
      </c>
      <c r="CL510" s="1">
        <v>0.182</v>
      </c>
      <c r="CM510" s="1">
        <v>47.261006170000002</v>
      </c>
      <c r="CN510" s="83">
        <v>-76.819142319999997</v>
      </c>
    </row>
    <row r="511" spans="1:92" s="3" customFormat="1" x14ac:dyDescent="0.25">
      <c r="A511" s="72">
        <v>539</v>
      </c>
      <c r="B511" s="81" t="s">
        <v>1544</v>
      </c>
      <c r="C511" s="1" t="s">
        <v>83</v>
      </c>
      <c r="D511" s="1" t="s">
        <v>73</v>
      </c>
      <c r="E511" s="1" t="s">
        <v>74</v>
      </c>
      <c r="F511" s="1" t="s">
        <v>267</v>
      </c>
      <c r="G511" s="1" t="s">
        <v>80</v>
      </c>
      <c r="H511" s="1" t="s">
        <v>13</v>
      </c>
      <c r="I511" s="1"/>
      <c r="J511" s="9" t="s">
        <v>544</v>
      </c>
      <c r="K511" s="10">
        <v>0.38066133333333302</v>
      </c>
      <c r="L511" s="1" t="s">
        <v>76</v>
      </c>
      <c r="M511" s="1" t="s">
        <v>506</v>
      </c>
      <c r="N511" s="1" t="s">
        <v>645</v>
      </c>
      <c r="O511" s="1" t="s">
        <v>13</v>
      </c>
      <c r="P511" s="82">
        <v>0.98799999999999999</v>
      </c>
      <c r="Q511" s="1" t="s">
        <v>76</v>
      </c>
      <c r="R511" s="81" t="s">
        <v>329</v>
      </c>
      <c r="S511" s="1" t="s">
        <v>76</v>
      </c>
      <c r="T511" s="1" t="s">
        <v>78</v>
      </c>
      <c r="U511" s="1" t="s">
        <v>659</v>
      </c>
      <c r="V511" s="1" t="s">
        <v>654</v>
      </c>
      <c r="W511" s="1">
        <v>49</v>
      </c>
      <c r="X511" s="1" t="s">
        <v>335</v>
      </c>
      <c r="Y511" s="1" t="s">
        <v>645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0.98799999999999999</v>
      </c>
      <c r="AI511" s="1">
        <v>1E-3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1E-3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1E-3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1E-3</v>
      </c>
      <c r="CL511" s="1">
        <v>1E-3</v>
      </c>
      <c r="CM511" s="1">
        <v>-23.295132280000001</v>
      </c>
      <c r="CN511" s="83">
        <v>-119.66203489999999</v>
      </c>
    </row>
    <row r="512" spans="1:92" s="3" customFormat="1" x14ac:dyDescent="0.25">
      <c r="A512" s="72">
        <v>540</v>
      </c>
      <c r="B512" s="81" t="s">
        <v>1445</v>
      </c>
      <c r="C512" s="1" t="s">
        <v>83</v>
      </c>
      <c r="D512" s="1" t="s">
        <v>73</v>
      </c>
      <c r="E512" s="1" t="s">
        <v>99</v>
      </c>
      <c r="F512" s="1" t="s">
        <v>267</v>
      </c>
      <c r="G512" s="1" t="s">
        <v>80</v>
      </c>
      <c r="H512" s="1" t="s">
        <v>13</v>
      </c>
      <c r="I512" s="1"/>
      <c r="J512" s="9" t="s">
        <v>544</v>
      </c>
      <c r="K512" s="10">
        <v>0.33771000000000001</v>
      </c>
      <c r="L512" s="1" t="s">
        <v>76</v>
      </c>
      <c r="M512" s="1" t="s">
        <v>506</v>
      </c>
      <c r="N512" s="1" t="s">
        <v>645</v>
      </c>
      <c r="O512" s="1" t="s">
        <v>13</v>
      </c>
      <c r="P512" s="82">
        <v>0.98899999999999999</v>
      </c>
      <c r="Q512" s="1" t="s">
        <v>76</v>
      </c>
      <c r="R512" s="81" t="s">
        <v>100</v>
      </c>
      <c r="S512" s="1" t="s">
        <v>76</v>
      </c>
      <c r="T512" s="1" t="s">
        <v>78</v>
      </c>
      <c r="U512" s="1" t="s">
        <v>658</v>
      </c>
      <c r="V512" s="1" t="s">
        <v>655</v>
      </c>
      <c r="W512" s="1">
        <v>56</v>
      </c>
      <c r="X512" s="1" t="s">
        <v>271</v>
      </c>
      <c r="Y512" s="1" t="s">
        <v>645</v>
      </c>
      <c r="Z512" s="1">
        <v>0</v>
      </c>
      <c r="AA512" s="1">
        <v>0</v>
      </c>
      <c r="AB512" s="1">
        <v>0</v>
      </c>
      <c r="AC512" s="1">
        <v>1E-3</v>
      </c>
      <c r="AD512" s="1">
        <v>0</v>
      </c>
      <c r="AE512" s="1">
        <v>0</v>
      </c>
      <c r="AF512" s="1">
        <v>0</v>
      </c>
      <c r="AG512" s="1">
        <v>0</v>
      </c>
      <c r="AH512" s="1">
        <v>0.98899999999999999</v>
      </c>
      <c r="AI512" s="1">
        <v>2E-3</v>
      </c>
      <c r="AJ512" s="1">
        <v>0</v>
      </c>
      <c r="AK512" s="1">
        <v>0</v>
      </c>
      <c r="AL512" s="1">
        <v>0</v>
      </c>
      <c r="AM512" s="1">
        <v>0</v>
      </c>
      <c r="AN512" s="1">
        <v>1E-3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1E-3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1E-3</v>
      </c>
      <c r="CL512" s="1">
        <v>0</v>
      </c>
      <c r="CM512" s="1">
        <v>-16.894159370000001</v>
      </c>
      <c r="CN512" s="83">
        <v>-115.543595</v>
      </c>
    </row>
    <row r="513" spans="1:92" s="3" customFormat="1" x14ac:dyDescent="0.25">
      <c r="A513" s="72">
        <v>541</v>
      </c>
      <c r="B513" s="81" t="s">
        <v>1555</v>
      </c>
      <c r="C513" s="1" t="s">
        <v>83</v>
      </c>
      <c r="D513" s="1" t="s">
        <v>73</v>
      </c>
      <c r="E513" s="1" t="s">
        <v>74</v>
      </c>
      <c r="F513" s="1" t="s">
        <v>267</v>
      </c>
      <c r="G513" s="1" t="s">
        <v>80</v>
      </c>
      <c r="H513" s="1" t="s">
        <v>13</v>
      </c>
      <c r="I513" s="1"/>
      <c r="J513" s="9" t="s">
        <v>544</v>
      </c>
      <c r="K513" s="10">
        <v>0.36176766666666599</v>
      </c>
      <c r="L513" s="1" t="s">
        <v>641</v>
      </c>
      <c r="M513" s="1" t="s">
        <v>76</v>
      </c>
      <c r="N513" s="1" t="s">
        <v>644</v>
      </c>
      <c r="O513" s="1" t="s">
        <v>69</v>
      </c>
      <c r="P513" s="82">
        <v>0.59799999999999998</v>
      </c>
      <c r="Q513" s="1" t="s">
        <v>76</v>
      </c>
      <c r="R513" s="81" t="s">
        <v>336</v>
      </c>
      <c r="S513" s="1" t="s">
        <v>76</v>
      </c>
      <c r="T513" s="1" t="s">
        <v>78</v>
      </c>
      <c r="U513" s="1" t="s">
        <v>658</v>
      </c>
      <c r="V513" s="1" t="s">
        <v>655</v>
      </c>
      <c r="W513" s="1">
        <v>28</v>
      </c>
      <c r="X513" s="1" t="s">
        <v>434</v>
      </c>
      <c r="Y513" s="1" t="s">
        <v>644</v>
      </c>
      <c r="Z513" s="1">
        <v>2E-3</v>
      </c>
      <c r="AA513" s="1">
        <v>1E-3</v>
      </c>
      <c r="AB513" s="1">
        <v>1E-3</v>
      </c>
      <c r="AC513" s="1">
        <v>4.0000000000000001E-3</v>
      </c>
      <c r="AD513" s="1">
        <v>2E-3</v>
      </c>
      <c r="AE513" s="1">
        <v>1E-3</v>
      </c>
      <c r="AF513" s="1">
        <v>2E-3</v>
      </c>
      <c r="AG513" s="1">
        <v>0</v>
      </c>
      <c r="AH513" s="1">
        <v>1.4E-2</v>
      </c>
      <c r="AI513" s="1">
        <v>2E-3</v>
      </c>
      <c r="AJ513" s="1">
        <v>2E-3</v>
      </c>
      <c r="AK513" s="1">
        <v>2E-3</v>
      </c>
      <c r="AL513" s="1">
        <v>0</v>
      </c>
      <c r="AM513" s="1">
        <v>2E-3</v>
      </c>
      <c r="AN513" s="1">
        <v>1.0999999999999999E-2</v>
      </c>
      <c r="AO513" s="1">
        <v>1E-3</v>
      </c>
      <c r="AP513" s="1">
        <v>1E-3</v>
      </c>
      <c r="AQ513" s="1">
        <v>1E-3</v>
      </c>
      <c r="AR513" s="1">
        <v>2E-3</v>
      </c>
      <c r="AS513" s="1">
        <v>8.9999999999999993E-3</v>
      </c>
      <c r="AT513" s="1">
        <v>2E-3</v>
      </c>
      <c r="AU513" s="1">
        <v>1E-3</v>
      </c>
      <c r="AV513" s="1">
        <v>2E-3</v>
      </c>
      <c r="AW513" s="1">
        <v>1E-3</v>
      </c>
      <c r="AX513" s="1">
        <v>4.0000000000000001E-3</v>
      </c>
      <c r="AY513" s="1">
        <v>3.0000000000000001E-3</v>
      </c>
      <c r="AZ513" s="1">
        <v>8.9999999999999993E-3</v>
      </c>
      <c r="BA513" s="1">
        <v>4.0000000000000001E-3</v>
      </c>
      <c r="BB513" s="1">
        <v>1E-3</v>
      </c>
      <c r="BC513" s="1">
        <v>1E-3</v>
      </c>
      <c r="BD513" s="1">
        <v>7.0000000000000001E-3</v>
      </c>
      <c r="BE513" s="1">
        <v>7.0000000000000001E-3</v>
      </c>
      <c r="BF513" s="1">
        <v>1E-3</v>
      </c>
      <c r="BG513" s="1">
        <v>0</v>
      </c>
      <c r="BH513" s="1">
        <v>1E-3</v>
      </c>
      <c r="BI513" s="1">
        <v>1E-3</v>
      </c>
      <c r="BJ513" s="1">
        <v>5.0000000000000001E-3</v>
      </c>
      <c r="BK513" s="1">
        <v>1E-3</v>
      </c>
      <c r="BL513" s="1">
        <v>2E-3</v>
      </c>
      <c r="BM513" s="1">
        <v>1E-3</v>
      </c>
      <c r="BN513" s="1">
        <v>1.4999999999999999E-2</v>
      </c>
      <c r="BO513" s="1">
        <v>1E-3</v>
      </c>
      <c r="BP513" s="1">
        <v>3.0000000000000001E-3</v>
      </c>
      <c r="BQ513" s="1">
        <v>4.0000000000000001E-3</v>
      </c>
      <c r="BR513" s="1">
        <v>1E-3</v>
      </c>
      <c r="BS513" s="1">
        <v>1E-3</v>
      </c>
      <c r="BT513" s="1">
        <v>1E-3</v>
      </c>
      <c r="BU513" s="1">
        <v>8.3000000000000004E-2</v>
      </c>
      <c r="BV513" s="1">
        <v>1E-3</v>
      </c>
      <c r="BW513" s="1">
        <v>1E-3</v>
      </c>
      <c r="BX513" s="1">
        <v>2E-3</v>
      </c>
      <c r="BY513" s="1">
        <v>2E-3</v>
      </c>
      <c r="BZ513" s="1">
        <v>0.01</v>
      </c>
      <c r="CA513" s="1">
        <v>1E-3</v>
      </c>
      <c r="CB513" s="1">
        <v>0.129</v>
      </c>
      <c r="CC513" s="1">
        <v>5.0000000000000001E-3</v>
      </c>
      <c r="CD513" s="1">
        <v>0</v>
      </c>
      <c r="CE513" s="1">
        <v>1E-3</v>
      </c>
      <c r="CF513" s="1">
        <v>1E-3</v>
      </c>
      <c r="CG513" s="1">
        <v>3.0000000000000001E-3</v>
      </c>
      <c r="CH513" s="1">
        <v>1E-3</v>
      </c>
      <c r="CI513" s="1">
        <v>1E-3</v>
      </c>
      <c r="CJ513" s="1">
        <v>3.0000000000000001E-3</v>
      </c>
      <c r="CK513" s="1">
        <v>2.3E-2</v>
      </c>
      <c r="CL513" s="1">
        <v>0.59799999999999998</v>
      </c>
      <c r="CM513" s="1">
        <v>-50.147932490000002</v>
      </c>
      <c r="CN513" s="83">
        <v>-17.057405979999999</v>
      </c>
    </row>
    <row r="514" spans="1:92" s="3" customFormat="1" x14ac:dyDescent="0.25">
      <c r="A514" s="72">
        <v>542</v>
      </c>
      <c r="B514" s="81" t="s">
        <v>1558</v>
      </c>
      <c r="C514" s="1" t="s">
        <v>83</v>
      </c>
      <c r="D514" s="1" t="s">
        <v>73</v>
      </c>
      <c r="E514" s="1" t="s">
        <v>74</v>
      </c>
      <c r="F514" s="1" t="s">
        <v>267</v>
      </c>
      <c r="G514" s="1" t="s">
        <v>80</v>
      </c>
      <c r="H514" s="1" t="s">
        <v>13</v>
      </c>
      <c r="I514" s="1"/>
      <c r="J514" s="9" t="s">
        <v>544</v>
      </c>
      <c r="K514" s="10">
        <v>0.34336283333333301</v>
      </c>
      <c r="L514" s="1" t="s">
        <v>76</v>
      </c>
      <c r="M514" s="1" t="s">
        <v>506</v>
      </c>
      <c r="N514" s="1" t="s">
        <v>645</v>
      </c>
      <c r="O514" s="1" t="s">
        <v>13</v>
      </c>
      <c r="P514" s="82">
        <v>0.96499999999999997</v>
      </c>
      <c r="Q514" s="1" t="s">
        <v>76</v>
      </c>
      <c r="R514" s="81" t="s">
        <v>276</v>
      </c>
      <c r="S514" s="1" t="s">
        <v>76</v>
      </c>
      <c r="T514" s="1" t="s">
        <v>78</v>
      </c>
      <c r="U514" s="1" t="s">
        <v>658</v>
      </c>
      <c r="V514" s="1" t="s">
        <v>655</v>
      </c>
      <c r="W514" s="1">
        <v>26</v>
      </c>
      <c r="X514" s="1" t="s">
        <v>337</v>
      </c>
      <c r="Y514" s="1" t="s">
        <v>645</v>
      </c>
      <c r="Z514" s="1">
        <v>0</v>
      </c>
      <c r="AA514" s="1">
        <v>0</v>
      </c>
      <c r="AB514" s="1">
        <v>0</v>
      </c>
      <c r="AC514" s="1">
        <v>1E-3</v>
      </c>
      <c r="AD514" s="1">
        <v>1E-3</v>
      </c>
      <c r="AE514" s="1">
        <v>0</v>
      </c>
      <c r="AF514" s="1">
        <v>0</v>
      </c>
      <c r="AG514" s="1">
        <v>0</v>
      </c>
      <c r="AH514" s="1">
        <v>0.96499999999999997</v>
      </c>
      <c r="AI514" s="1">
        <v>1E-3</v>
      </c>
      <c r="AJ514" s="1">
        <v>0</v>
      </c>
      <c r="AK514" s="1">
        <v>1E-3</v>
      </c>
      <c r="AL514" s="1">
        <v>0</v>
      </c>
      <c r="AM514" s="1">
        <v>0</v>
      </c>
      <c r="AN514" s="1">
        <v>1E-3</v>
      </c>
      <c r="AO514" s="1">
        <v>0</v>
      </c>
      <c r="AP514" s="1">
        <v>0</v>
      </c>
      <c r="AQ514" s="1">
        <v>0</v>
      </c>
      <c r="AR514" s="1">
        <v>0</v>
      </c>
      <c r="AS514" s="1">
        <v>1E-3</v>
      </c>
      <c r="AT514" s="1">
        <v>0</v>
      </c>
      <c r="AU514" s="1">
        <v>0</v>
      </c>
      <c r="AV514" s="1">
        <v>0</v>
      </c>
      <c r="AW514" s="1">
        <v>0</v>
      </c>
      <c r="AX514" s="1">
        <v>1E-3</v>
      </c>
      <c r="AY514" s="1">
        <v>0</v>
      </c>
      <c r="AZ514" s="1">
        <v>1E-3</v>
      </c>
      <c r="BA514" s="1">
        <v>1E-3</v>
      </c>
      <c r="BB514" s="1">
        <v>0</v>
      </c>
      <c r="BC514" s="1">
        <v>0</v>
      </c>
      <c r="BD514" s="1">
        <v>2E-3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1E-3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1E-3</v>
      </c>
      <c r="BV514" s="1">
        <v>0</v>
      </c>
      <c r="BW514" s="1">
        <v>0</v>
      </c>
      <c r="BX514" s="1">
        <v>1E-3</v>
      </c>
      <c r="BY514" s="1">
        <v>1E-3</v>
      </c>
      <c r="BZ514" s="1">
        <v>1E-3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1E-3</v>
      </c>
      <c r="CH514" s="1">
        <v>0</v>
      </c>
      <c r="CI514" s="1">
        <v>0</v>
      </c>
      <c r="CJ514" s="1">
        <v>1E-3</v>
      </c>
      <c r="CK514" s="1">
        <v>5.0000000000000001E-3</v>
      </c>
      <c r="CL514" s="1">
        <v>3.0000000000000001E-3</v>
      </c>
      <c r="CM514" s="1">
        <v>-31.57275993</v>
      </c>
      <c r="CN514" s="83">
        <v>-117.73916389999999</v>
      </c>
    </row>
    <row r="515" spans="1:92" s="3" customFormat="1" x14ac:dyDescent="0.25">
      <c r="A515" s="72">
        <v>543</v>
      </c>
      <c r="B515" s="81" t="s">
        <v>1528</v>
      </c>
      <c r="C515" s="1" t="s">
        <v>83</v>
      </c>
      <c r="D515" s="1" t="s">
        <v>73</v>
      </c>
      <c r="E515" s="1" t="s">
        <v>74</v>
      </c>
      <c r="F515" s="1" t="s">
        <v>267</v>
      </c>
      <c r="G515" s="1" t="s">
        <v>80</v>
      </c>
      <c r="H515" s="1" t="s">
        <v>13</v>
      </c>
      <c r="I515" s="1"/>
      <c r="J515" s="9" t="s">
        <v>544</v>
      </c>
      <c r="K515" s="10">
        <v>0.46893249999999898</v>
      </c>
      <c r="L515" s="1" t="s">
        <v>76</v>
      </c>
      <c r="M515" s="1" t="s">
        <v>506</v>
      </c>
      <c r="N515" s="1" t="s">
        <v>645</v>
      </c>
      <c r="O515" s="1" t="s">
        <v>13</v>
      </c>
      <c r="P515" s="82">
        <v>0.95699999999999996</v>
      </c>
      <c r="Q515" s="1" t="s">
        <v>76</v>
      </c>
      <c r="R515" s="81" t="s">
        <v>95</v>
      </c>
      <c r="S515" s="1" t="s">
        <v>76</v>
      </c>
      <c r="T515" s="1" t="s">
        <v>78</v>
      </c>
      <c r="U515" s="1" t="s">
        <v>658</v>
      </c>
      <c r="V515" s="1" t="s">
        <v>655</v>
      </c>
      <c r="W515" s="1">
        <v>70</v>
      </c>
      <c r="X515" s="1" t="s">
        <v>434</v>
      </c>
      <c r="Y515" s="1" t="s">
        <v>645</v>
      </c>
      <c r="Z515" s="1">
        <v>0</v>
      </c>
      <c r="AA515" s="1">
        <v>0</v>
      </c>
      <c r="AB515" s="1">
        <v>0</v>
      </c>
      <c r="AC515" s="1">
        <v>3.0000000000000001E-3</v>
      </c>
      <c r="AD515" s="1">
        <v>0</v>
      </c>
      <c r="AE515" s="1">
        <v>0</v>
      </c>
      <c r="AF515" s="1">
        <v>0</v>
      </c>
      <c r="AG515" s="1">
        <v>0</v>
      </c>
      <c r="AH515" s="1">
        <v>0.95699999999999996</v>
      </c>
      <c r="AI515" s="1">
        <v>1E-3</v>
      </c>
      <c r="AJ515" s="1">
        <v>0</v>
      </c>
      <c r="AK515" s="1">
        <v>1E-3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1E-3</v>
      </c>
      <c r="AT515" s="1">
        <v>1E-3</v>
      </c>
      <c r="AU515" s="1">
        <v>0</v>
      </c>
      <c r="AV515" s="1">
        <v>0</v>
      </c>
      <c r="AW515" s="1">
        <v>1E-3</v>
      </c>
      <c r="AX515" s="1">
        <v>1E-3</v>
      </c>
      <c r="AY515" s="1">
        <v>1E-3</v>
      </c>
      <c r="AZ515" s="1">
        <v>1E-3</v>
      </c>
      <c r="BA515" s="1">
        <v>2E-3</v>
      </c>
      <c r="BB515" s="1">
        <v>0</v>
      </c>
      <c r="BC515" s="1">
        <v>0</v>
      </c>
      <c r="BD515" s="1">
        <v>2E-3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1E-3</v>
      </c>
      <c r="BM515" s="1">
        <v>0</v>
      </c>
      <c r="BN515" s="1">
        <v>1E-3</v>
      </c>
      <c r="BO515" s="1">
        <v>0</v>
      </c>
      <c r="BP515" s="1">
        <v>0</v>
      </c>
      <c r="BQ515" s="1">
        <v>1E-3</v>
      </c>
      <c r="BR515" s="1">
        <v>1E-3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1E-3</v>
      </c>
      <c r="BY515" s="1">
        <v>2E-3</v>
      </c>
      <c r="BZ515" s="1">
        <v>1E-3</v>
      </c>
      <c r="CA515" s="1">
        <v>0</v>
      </c>
      <c r="CB515" s="1">
        <v>0</v>
      </c>
      <c r="CC515" s="1">
        <v>1E-3</v>
      </c>
      <c r="CD515" s="1">
        <v>0</v>
      </c>
      <c r="CE515" s="1">
        <v>0</v>
      </c>
      <c r="CF515" s="1">
        <v>0</v>
      </c>
      <c r="CG515" s="1">
        <v>4.0000000000000001E-3</v>
      </c>
      <c r="CH515" s="1">
        <v>1E-3</v>
      </c>
      <c r="CI515" s="1">
        <v>1E-3</v>
      </c>
      <c r="CJ515" s="1">
        <v>3.0000000000000001E-3</v>
      </c>
      <c r="CK515" s="1">
        <v>3.0000000000000001E-3</v>
      </c>
      <c r="CL515" s="1">
        <v>1E-3</v>
      </c>
      <c r="CM515" s="1">
        <v>4.929874431</v>
      </c>
      <c r="CN515" s="83">
        <v>-126.2360103</v>
      </c>
    </row>
    <row r="516" spans="1:92" s="3" customFormat="1" x14ac:dyDescent="0.25">
      <c r="A516" s="72">
        <v>544</v>
      </c>
      <c r="B516" s="81" t="s">
        <v>1592</v>
      </c>
      <c r="C516" s="1" t="s">
        <v>83</v>
      </c>
      <c r="D516" s="1" t="s">
        <v>73</v>
      </c>
      <c r="E516" s="1" t="s">
        <v>99</v>
      </c>
      <c r="F516" s="1" t="s">
        <v>267</v>
      </c>
      <c r="G516" s="1" t="s">
        <v>80</v>
      </c>
      <c r="H516" s="1" t="s">
        <v>13</v>
      </c>
      <c r="I516" s="1"/>
      <c r="J516" s="9" t="s">
        <v>544</v>
      </c>
      <c r="K516" s="10">
        <v>0.33619349999999998</v>
      </c>
      <c r="L516" s="1" t="s">
        <v>76</v>
      </c>
      <c r="M516" s="1" t="s">
        <v>506</v>
      </c>
      <c r="N516" s="1" t="s">
        <v>645</v>
      </c>
      <c r="O516" s="1" t="s">
        <v>13</v>
      </c>
      <c r="P516" s="82">
        <v>0.999</v>
      </c>
      <c r="Q516" s="1" t="s">
        <v>76</v>
      </c>
      <c r="R516" s="81" t="s">
        <v>100</v>
      </c>
      <c r="S516" s="1">
        <v>2</v>
      </c>
      <c r="T516" s="1" t="s">
        <v>78</v>
      </c>
      <c r="U516" s="1" t="s">
        <v>659</v>
      </c>
      <c r="V516" s="1" t="s">
        <v>655</v>
      </c>
      <c r="W516" s="1">
        <v>49</v>
      </c>
      <c r="X516" s="1" t="s">
        <v>338</v>
      </c>
      <c r="Y516" s="1" t="s">
        <v>645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0.999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-28.388342680000001</v>
      </c>
      <c r="CN516" s="83">
        <v>-118.0792536</v>
      </c>
    </row>
    <row r="517" spans="1:92" s="3" customFormat="1" x14ac:dyDescent="0.25">
      <c r="A517" s="72">
        <v>545</v>
      </c>
      <c r="B517" s="81" t="s">
        <v>1388</v>
      </c>
      <c r="C517" s="1" t="s">
        <v>83</v>
      </c>
      <c r="D517" s="1" t="s">
        <v>73</v>
      </c>
      <c r="E517" s="1" t="s">
        <v>99</v>
      </c>
      <c r="F517" s="1" t="s">
        <v>267</v>
      </c>
      <c r="G517" s="1" t="s">
        <v>80</v>
      </c>
      <c r="H517" s="1" t="s">
        <v>13</v>
      </c>
      <c r="I517" s="1"/>
      <c r="J517" s="9" t="s">
        <v>544</v>
      </c>
      <c r="K517" s="10">
        <v>0.52649849999999998</v>
      </c>
      <c r="L517" s="1" t="s">
        <v>76</v>
      </c>
      <c r="M517" s="1" t="s">
        <v>506</v>
      </c>
      <c r="N517" s="1" t="s">
        <v>645</v>
      </c>
      <c r="O517" s="1" t="s">
        <v>13</v>
      </c>
      <c r="P517" s="82">
        <v>0.999</v>
      </c>
      <c r="Q517" s="1" t="s">
        <v>76</v>
      </c>
      <c r="R517" s="81" t="s">
        <v>95</v>
      </c>
      <c r="S517" s="1" t="s">
        <v>76</v>
      </c>
      <c r="T517" s="1" t="s">
        <v>78</v>
      </c>
      <c r="U517" s="1" t="s">
        <v>658</v>
      </c>
      <c r="V517" s="1" t="s">
        <v>655</v>
      </c>
      <c r="W517" s="1">
        <v>60</v>
      </c>
      <c r="X517" s="1" t="s">
        <v>271</v>
      </c>
      <c r="Y517" s="1" t="s">
        <v>645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0.999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-5.6755643559999998</v>
      </c>
      <c r="CN517" s="83">
        <v>-125.87395650000001</v>
      </c>
    </row>
    <row r="518" spans="1:92" s="3" customFormat="1" x14ac:dyDescent="0.25">
      <c r="A518" s="72">
        <v>546</v>
      </c>
      <c r="B518" s="81" t="s">
        <v>1358</v>
      </c>
      <c r="C518" s="1" t="s">
        <v>83</v>
      </c>
      <c r="D518" s="1" t="s">
        <v>73</v>
      </c>
      <c r="E518" s="1" t="s">
        <v>99</v>
      </c>
      <c r="F518" s="1" t="s">
        <v>267</v>
      </c>
      <c r="G518" s="1" t="s">
        <v>139</v>
      </c>
      <c r="H518" s="1" t="s">
        <v>13</v>
      </c>
      <c r="I518" s="1"/>
      <c r="J518" s="9" t="s">
        <v>544</v>
      </c>
      <c r="K518" s="10">
        <v>0.49085533333333398</v>
      </c>
      <c r="L518" s="1" t="s">
        <v>76</v>
      </c>
      <c r="M518" s="1" t="s">
        <v>506</v>
      </c>
      <c r="N518" s="1" t="s">
        <v>645</v>
      </c>
      <c r="O518" s="1" t="s">
        <v>13</v>
      </c>
      <c r="P518" s="82">
        <v>0.998</v>
      </c>
      <c r="Q518" s="1" t="s">
        <v>76</v>
      </c>
      <c r="R518" s="81" t="s">
        <v>100</v>
      </c>
      <c r="S518" s="1">
        <v>3</v>
      </c>
      <c r="T518" s="1" t="s">
        <v>78</v>
      </c>
      <c r="U518" s="1" t="s">
        <v>658</v>
      </c>
      <c r="V518" s="1" t="s">
        <v>655</v>
      </c>
      <c r="W518" s="1">
        <v>77</v>
      </c>
      <c r="X518" s="1" t="s">
        <v>315</v>
      </c>
      <c r="Y518" s="1" t="s">
        <v>645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0.998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-7.1227758349999997</v>
      </c>
      <c r="CN518" s="83">
        <v>-126.6729086</v>
      </c>
    </row>
    <row r="519" spans="1:92" s="3" customFormat="1" x14ac:dyDescent="0.25">
      <c r="A519" s="72">
        <v>547</v>
      </c>
      <c r="B519" s="81" t="s">
        <v>1328</v>
      </c>
      <c r="C519" s="1" t="s">
        <v>83</v>
      </c>
      <c r="D519" s="1" t="s">
        <v>73</v>
      </c>
      <c r="E519" s="1" t="s">
        <v>74</v>
      </c>
      <c r="F519" s="1" t="s">
        <v>339</v>
      </c>
      <c r="G519" s="1" t="s">
        <v>76</v>
      </c>
      <c r="H519" s="1" t="s">
        <v>9</v>
      </c>
      <c r="I519" s="1"/>
      <c r="J519" s="9" t="s">
        <v>544</v>
      </c>
      <c r="K519" s="10">
        <v>0.35660966666666699</v>
      </c>
      <c r="L519" s="1" t="s">
        <v>76</v>
      </c>
      <c r="M519" s="1" t="s">
        <v>506</v>
      </c>
      <c r="N519" s="1" t="s">
        <v>645</v>
      </c>
      <c r="O519" s="1" t="s">
        <v>9</v>
      </c>
      <c r="P519" s="82">
        <v>1</v>
      </c>
      <c r="Q519" s="1" t="s">
        <v>76</v>
      </c>
      <c r="R519" s="81" t="s">
        <v>114</v>
      </c>
      <c r="S519" s="1" t="s">
        <v>314</v>
      </c>
      <c r="T519" s="1" t="s">
        <v>120</v>
      </c>
      <c r="U519" s="1" t="s">
        <v>658</v>
      </c>
      <c r="V519" s="1" t="s">
        <v>655</v>
      </c>
      <c r="W519" s="1">
        <v>21</v>
      </c>
      <c r="X519" s="1" t="s">
        <v>76</v>
      </c>
      <c r="Y519" s="1" t="s">
        <v>645</v>
      </c>
      <c r="Z519" s="1">
        <v>0</v>
      </c>
      <c r="AA519" s="1">
        <v>0</v>
      </c>
      <c r="AB519" s="1">
        <v>0</v>
      </c>
      <c r="AC519" s="1">
        <v>0</v>
      </c>
      <c r="AD519" s="1">
        <v>1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-47.344503410000002</v>
      </c>
      <c r="CN519" s="83">
        <v>-22.748712130000001</v>
      </c>
    </row>
    <row r="520" spans="1:92" s="3" customFormat="1" x14ac:dyDescent="0.25">
      <c r="A520" s="72">
        <v>548</v>
      </c>
      <c r="B520" s="81" t="s">
        <v>1418</v>
      </c>
      <c r="C520" s="1" t="s">
        <v>83</v>
      </c>
      <c r="D520" s="1" t="s">
        <v>73</v>
      </c>
      <c r="E520" s="1" t="s">
        <v>74</v>
      </c>
      <c r="F520" s="1" t="s">
        <v>339</v>
      </c>
      <c r="G520" s="1" t="s">
        <v>76</v>
      </c>
      <c r="H520" s="1" t="s">
        <v>9</v>
      </c>
      <c r="I520" s="1"/>
      <c r="J520" s="9" t="s">
        <v>544</v>
      </c>
      <c r="K520" s="10">
        <v>0.25500149999999999</v>
      </c>
      <c r="L520" s="1" t="s">
        <v>553</v>
      </c>
      <c r="M520" s="1" t="s">
        <v>76</v>
      </c>
      <c r="N520" s="1" t="s">
        <v>644</v>
      </c>
      <c r="O520" s="1" t="s">
        <v>5</v>
      </c>
      <c r="P520" s="82">
        <v>0.82399999999999995</v>
      </c>
      <c r="Q520" s="1" t="s">
        <v>76</v>
      </c>
      <c r="R520" s="81" t="s">
        <v>164</v>
      </c>
      <c r="S520" s="1">
        <v>3</v>
      </c>
      <c r="T520" s="1" t="s">
        <v>120</v>
      </c>
      <c r="U520" s="1" t="s">
        <v>658</v>
      </c>
      <c r="V520" s="1" t="s">
        <v>655</v>
      </c>
      <c r="W520" s="1">
        <v>29</v>
      </c>
      <c r="X520" s="1" t="s">
        <v>76</v>
      </c>
      <c r="Y520" s="1" t="s">
        <v>644</v>
      </c>
      <c r="Z520" s="1">
        <v>0.82399999999999995</v>
      </c>
      <c r="AA520" s="1">
        <v>0</v>
      </c>
      <c r="AB520" s="1">
        <v>0</v>
      </c>
      <c r="AC520" s="1">
        <v>5.0000000000000001E-3</v>
      </c>
      <c r="AD520" s="1">
        <v>0</v>
      </c>
      <c r="AE520" s="1">
        <v>0</v>
      </c>
      <c r="AF520" s="1">
        <v>0</v>
      </c>
      <c r="AG520" s="1">
        <v>0</v>
      </c>
      <c r="AH520" s="1">
        <v>4.0000000000000001E-3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7.0000000000000001E-3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0.156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-23.431894920000001</v>
      </c>
      <c r="CN520" s="83">
        <v>-51.762918059999997</v>
      </c>
    </row>
    <row r="521" spans="1:92" s="3" customFormat="1" x14ac:dyDescent="0.25">
      <c r="A521" s="72">
        <v>549</v>
      </c>
      <c r="B521" s="81" t="s">
        <v>1433</v>
      </c>
      <c r="C521" s="1" t="s">
        <v>83</v>
      </c>
      <c r="D521" s="1" t="s">
        <v>73</v>
      </c>
      <c r="E521" s="1" t="s">
        <v>99</v>
      </c>
      <c r="F521" s="1" t="s">
        <v>339</v>
      </c>
      <c r="G521" s="1" t="s">
        <v>76</v>
      </c>
      <c r="H521" s="1" t="s">
        <v>9</v>
      </c>
      <c r="I521" s="1"/>
      <c r="J521" s="9" t="s">
        <v>544</v>
      </c>
      <c r="K521" s="10">
        <v>0.33529566666666599</v>
      </c>
      <c r="L521" s="1" t="s">
        <v>76</v>
      </c>
      <c r="M521" s="1" t="s">
        <v>506</v>
      </c>
      <c r="N521" s="1" t="s">
        <v>645</v>
      </c>
      <c r="O521" s="1" t="s">
        <v>9</v>
      </c>
      <c r="P521" s="82">
        <v>1</v>
      </c>
      <c r="Q521" s="1" t="s">
        <v>76</v>
      </c>
      <c r="R521" s="81" t="s">
        <v>164</v>
      </c>
      <c r="S521" s="1">
        <v>3</v>
      </c>
      <c r="T521" s="1" t="s">
        <v>120</v>
      </c>
      <c r="U521" s="1" t="s">
        <v>658</v>
      </c>
      <c r="V521" s="1" t="s">
        <v>655</v>
      </c>
      <c r="W521" s="1">
        <v>39</v>
      </c>
      <c r="X521" s="1" t="s">
        <v>76</v>
      </c>
      <c r="Y521" s="1" t="s">
        <v>645</v>
      </c>
      <c r="Z521" s="1">
        <v>0</v>
      </c>
      <c r="AA521" s="1">
        <v>0</v>
      </c>
      <c r="AB521" s="1">
        <v>0</v>
      </c>
      <c r="AC521" s="1">
        <v>0</v>
      </c>
      <c r="AD521" s="1">
        <v>1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-52.503196989999999</v>
      </c>
      <c r="CN521" s="83">
        <v>-9.8364968420000007</v>
      </c>
    </row>
    <row r="522" spans="1:92" s="3" customFormat="1" x14ac:dyDescent="0.25">
      <c r="A522" s="72">
        <v>552</v>
      </c>
      <c r="B522" s="81" t="s">
        <v>1586</v>
      </c>
      <c r="C522" s="1" t="s">
        <v>83</v>
      </c>
      <c r="D522" s="1" t="s">
        <v>73</v>
      </c>
      <c r="E522" s="1" t="s">
        <v>74</v>
      </c>
      <c r="F522" s="1" t="s">
        <v>340</v>
      </c>
      <c r="G522" s="1" t="s">
        <v>76</v>
      </c>
      <c r="H522" s="1" t="s">
        <v>5</v>
      </c>
      <c r="I522" s="1"/>
      <c r="J522" s="9" t="s">
        <v>544</v>
      </c>
      <c r="K522" s="10">
        <v>0.31674733333333399</v>
      </c>
      <c r="L522" s="1" t="s">
        <v>76</v>
      </c>
      <c r="M522" s="1" t="s">
        <v>506</v>
      </c>
      <c r="N522" s="1" t="s">
        <v>645</v>
      </c>
      <c r="O522" s="1" t="s">
        <v>5</v>
      </c>
      <c r="P522" s="82">
        <v>0.94299999999999995</v>
      </c>
      <c r="Q522" s="1" t="s">
        <v>76</v>
      </c>
      <c r="R522" s="81" t="s">
        <v>177</v>
      </c>
      <c r="S522" s="1" t="s">
        <v>76</v>
      </c>
      <c r="T522" s="1" t="s">
        <v>120</v>
      </c>
      <c r="U522" s="1" t="s">
        <v>658</v>
      </c>
      <c r="V522" s="1" t="s">
        <v>655</v>
      </c>
      <c r="W522" s="1">
        <v>13</v>
      </c>
      <c r="X522" s="1" t="s">
        <v>341</v>
      </c>
      <c r="Y522" s="1" t="s">
        <v>645</v>
      </c>
      <c r="Z522" s="1">
        <v>0.94299999999999995</v>
      </c>
      <c r="AA522" s="1">
        <v>0</v>
      </c>
      <c r="AB522" s="1">
        <v>0</v>
      </c>
      <c r="AC522" s="1">
        <v>3.0000000000000001E-3</v>
      </c>
      <c r="AD522" s="1">
        <v>0</v>
      </c>
      <c r="AE522" s="1">
        <v>0</v>
      </c>
      <c r="AF522" s="1">
        <v>0</v>
      </c>
      <c r="AG522" s="1">
        <v>0</v>
      </c>
      <c r="AH522" s="1">
        <v>0.01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2E-3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1E-3</v>
      </c>
      <c r="AW522" s="1">
        <v>0</v>
      </c>
      <c r="AX522" s="1">
        <v>0</v>
      </c>
      <c r="AY522" s="1">
        <v>1E-3</v>
      </c>
      <c r="AZ522" s="1">
        <v>1E-3</v>
      </c>
      <c r="BA522" s="1">
        <v>1E-3</v>
      </c>
      <c r="BB522" s="1">
        <v>0</v>
      </c>
      <c r="BC522" s="1">
        <v>0</v>
      </c>
      <c r="BD522" s="1">
        <v>2E-3</v>
      </c>
      <c r="BE522" s="1">
        <v>0</v>
      </c>
      <c r="BF522" s="1">
        <v>3.0000000000000001E-3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2E-3</v>
      </c>
      <c r="BV522" s="1">
        <v>0</v>
      </c>
      <c r="BW522" s="1">
        <v>0</v>
      </c>
      <c r="BX522" s="1">
        <v>1E-3</v>
      </c>
      <c r="BY522" s="1">
        <v>1E-3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1E-3</v>
      </c>
      <c r="CH522" s="1">
        <v>0</v>
      </c>
      <c r="CI522" s="1">
        <v>0</v>
      </c>
      <c r="CJ522" s="1">
        <v>0</v>
      </c>
      <c r="CK522" s="1">
        <v>1.0999999999999999E-2</v>
      </c>
      <c r="CL522" s="1">
        <v>7.0000000000000001E-3</v>
      </c>
      <c r="CM522" s="1">
        <v>-32.595516099999998</v>
      </c>
      <c r="CN522" s="83">
        <v>-42.681058489999998</v>
      </c>
    </row>
    <row r="523" spans="1:92" s="3" customFormat="1" x14ac:dyDescent="0.25">
      <c r="A523" s="72">
        <v>553</v>
      </c>
      <c r="B523" s="81" t="s">
        <v>1682</v>
      </c>
      <c r="C523" s="1" t="s">
        <v>83</v>
      </c>
      <c r="D523" s="1" t="s">
        <v>73</v>
      </c>
      <c r="E523" s="1" t="s">
        <v>99</v>
      </c>
      <c r="F523" s="1" t="s">
        <v>97</v>
      </c>
      <c r="G523" s="1" t="s">
        <v>76</v>
      </c>
      <c r="H523" s="1" t="s">
        <v>97</v>
      </c>
      <c r="I523" s="1"/>
      <c r="J523" s="9" t="s">
        <v>506</v>
      </c>
      <c r="K523" s="10">
        <v>0.41703583333333299</v>
      </c>
      <c r="L523" s="1" t="s">
        <v>641</v>
      </c>
      <c r="M523" s="1" t="s">
        <v>76</v>
      </c>
      <c r="N523" s="1" t="s">
        <v>644</v>
      </c>
      <c r="O523" s="1" t="s">
        <v>68</v>
      </c>
      <c r="P523" s="82">
        <v>0.22</v>
      </c>
      <c r="Q523" s="1" t="s">
        <v>76</v>
      </c>
      <c r="R523" s="81" t="s">
        <v>77</v>
      </c>
      <c r="S523" s="1">
        <v>2</v>
      </c>
      <c r="T523" s="1" t="s">
        <v>78</v>
      </c>
      <c r="U523" s="1" t="s">
        <v>658</v>
      </c>
      <c r="V523" s="1" t="s">
        <v>655</v>
      </c>
      <c r="W523" s="1">
        <v>44</v>
      </c>
      <c r="X523" s="1" t="s">
        <v>76</v>
      </c>
      <c r="Y523" s="1" t="s">
        <v>644</v>
      </c>
      <c r="Z523" s="1">
        <v>5.0000000000000001E-3</v>
      </c>
      <c r="AA523" s="1">
        <v>7.0000000000000001E-3</v>
      </c>
      <c r="AB523" s="1">
        <v>5.0000000000000001E-3</v>
      </c>
      <c r="AC523" s="1">
        <v>1.4E-2</v>
      </c>
      <c r="AD523" s="1">
        <v>6.0000000000000001E-3</v>
      </c>
      <c r="AE523" s="1">
        <v>1.7999999999999999E-2</v>
      </c>
      <c r="AF523" s="1">
        <v>7.0000000000000001E-3</v>
      </c>
      <c r="AG523" s="1">
        <v>1E-3</v>
      </c>
      <c r="AH523" s="1">
        <v>0.02</v>
      </c>
      <c r="AI523" s="1">
        <v>2E-3</v>
      </c>
      <c r="AJ523" s="1">
        <v>4.8000000000000001E-2</v>
      </c>
      <c r="AK523" s="1">
        <v>4.2000000000000003E-2</v>
      </c>
      <c r="AL523" s="1">
        <v>1E-3</v>
      </c>
      <c r="AM523" s="1">
        <v>5.0000000000000001E-3</v>
      </c>
      <c r="AN523" s="1">
        <v>1.6E-2</v>
      </c>
      <c r="AO523" s="1">
        <v>5.0000000000000001E-3</v>
      </c>
      <c r="AP523" s="1">
        <v>3.0000000000000001E-3</v>
      </c>
      <c r="AQ523" s="1">
        <v>3.0000000000000001E-3</v>
      </c>
      <c r="AR523" s="1">
        <v>1.2E-2</v>
      </c>
      <c r="AS523" s="1">
        <v>1.6E-2</v>
      </c>
      <c r="AT523" s="1">
        <v>8.0000000000000002E-3</v>
      </c>
      <c r="AU523" s="1">
        <v>0.01</v>
      </c>
      <c r="AV523" s="1">
        <v>5.0000000000000001E-3</v>
      </c>
      <c r="AW523" s="1">
        <v>7.0000000000000001E-3</v>
      </c>
      <c r="AX523" s="1">
        <v>7.0000000000000001E-3</v>
      </c>
      <c r="AY523" s="1">
        <v>8.0000000000000002E-3</v>
      </c>
      <c r="AZ523" s="1">
        <v>1.2999999999999999E-2</v>
      </c>
      <c r="BA523" s="1">
        <v>2.1999999999999999E-2</v>
      </c>
      <c r="BB523" s="1">
        <v>2.8000000000000001E-2</v>
      </c>
      <c r="BC523" s="1">
        <v>3.0000000000000001E-3</v>
      </c>
      <c r="BD523" s="1">
        <v>2.3E-2</v>
      </c>
      <c r="BE523" s="1">
        <v>3.0000000000000001E-3</v>
      </c>
      <c r="BF523" s="1">
        <v>2E-3</v>
      </c>
      <c r="BG523" s="1">
        <v>4.0000000000000001E-3</v>
      </c>
      <c r="BH523" s="1">
        <v>3.0000000000000001E-3</v>
      </c>
      <c r="BI523" s="1">
        <v>3.0000000000000001E-3</v>
      </c>
      <c r="BJ523" s="1">
        <v>2E-3</v>
      </c>
      <c r="BK523" s="1">
        <v>2E-3</v>
      </c>
      <c r="BL523" s="1">
        <v>6.0000000000000001E-3</v>
      </c>
      <c r="BM523" s="1">
        <v>4.0000000000000001E-3</v>
      </c>
      <c r="BN523" s="1">
        <v>6.0000000000000001E-3</v>
      </c>
      <c r="BO523" s="1">
        <v>2.5999999999999999E-2</v>
      </c>
      <c r="BP523" s="1">
        <v>3.0000000000000001E-3</v>
      </c>
      <c r="BQ523" s="1">
        <v>1.2E-2</v>
      </c>
      <c r="BR523" s="1">
        <v>4.0000000000000001E-3</v>
      </c>
      <c r="BS523" s="1">
        <v>1.4E-2</v>
      </c>
      <c r="BT523" s="1">
        <v>3.0000000000000001E-3</v>
      </c>
      <c r="BU523" s="1">
        <v>1.9E-2</v>
      </c>
      <c r="BV523" s="1">
        <v>2.7E-2</v>
      </c>
      <c r="BW523" s="1">
        <v>6.0000000000000001E-3</v>
      </c>
      <c r="BX523" s="1">
        <v>0.14899999999999999</v>
      </c>
      <c r="BY523" s="1">
        <v>1.0999999999999999E-2</v>
      </c>
      <c r="BZ523" s="1">
        <v>0.01</v>
      </c>
      <c r="CA523" s="1">
        <v>6.0000000000000001E-3</v>
      </c>
      <c r="CB523" s="1">
        <v>3.0000000000000001E-3</v>
      </c>
      <c r="CC523" s="1">
        <v>6.0000000000000001E-3</v>
      </c>
      <c r="CD523" s="1">
        <v>1E-3</v>
      </c>
      <c r="CE523" s="1">
        <v>4.0000000000000001E-3</v>
      </c>
      <c r="CF523" s="1">
        <v>1.7999999999999999E-2</v>
      </c>
      <c r="CG523" s="1">
        <v>8.9999999999999993E-3</v>
      </c>
      <c r="CH523" s="1">
        <v>1.0999999999999999E-2</v>
      </c>
      <c r="CI523" s="1">
        <v>7.0000000000000001E-3</v>
      </c>
      <c r="CJ523" s="1">
        <v>1.2E-2</v>
      </c>
      <c r="CK523" s="1">
        <v>0.22</v>
      </c>
      <c r="CL523" s="1">
        <v>1.6E-2</v>
      </c>
      <c r="CM523" s="1">
        <v>-4.661548593</v>
      </c>
      <c r="CN523" s="83">
        <v>9.4894405010000007</v>
      </c>
    </row>
    <row r="524" spans="1:92" s="3" customFormat="1" x14ac:dyDescent="0.25">
      <c r="A524" s="72">
        <v>554</v>
      </c>
      <c r="B524" s="81" t="s">
        <v>1306</v>
      </c>
      <c r="C524" s="1" t="s">
        <v>83</v>
      </c>
      <c r="D524" s="1" t="s">
        <v>73</v>
      </c>
      <c r="E524" s="1" t="s">
        <v>99</v>
      </c>
      <c r="F524" s="1" t="s">
        <v>97</v>
      </c>
      <c r="G524" s="1" t="s">
        <v>76</v>
      </c>
      <c r="H524" s="1" t="s">
        <v>97</v>
      </c>
      <c r="I524" s="1"/>
      <c r="J524" s="9" t="s">
        <v>506</v>
      </c>
      <c r="K524" s="10">
        <v>0.34769749999999999</v>
      </c>
      <c r="L524" s="1" t="s">
        <v>641</v>
      </c>
      <c r="M524" s="1" t="s">
        <v>76</v>
      </c>
      <c r="N524" s="1" t="s">
        <v>644</v>
      </c>
      <c r="O524" s="1" t="s">
        <v>68</v>
      </c>
      <c r="P524" s="82">
        <v>0.26200000000000001</v>
      </c>
      <c r="Q524" s="1" t="s">
        <v>76</v>
      </c>
      <c r="R524" s="81" t="s">
        <v>77</v>
      </c>
      <c r="S524" s="1" t="s">
        <v>76</v>
      </c>
      <c r="T524" s="1" t="s">
        <v>78</v>
      </c>
      <c r="U524" s="1" t="s">
        <v>658</v>
      </c>
      <c r="V524" s="1" t="s">
        <v>655</v>
      </c>
      <c r="W524" s="1">
        <v>58</v>
      </c>
      <c r="X524" s="1" t="s">
        <v>76</v>
      </c>
      <c r="Y524" s="1" t="s">
        <v>644</v>
      </c>
      <c r="Z524" s="1">
        <v>6.0000000000000001E-3</v>
      </c>
      <c r="AA524" s="1">
        <v>4.0000000000000001E-3</v>
      </c>
      <c r="AB524" s="1">
        <v>3.0000000000000001E-3</v>
      </c>
      <c r="AC524" s="1">
        <v>6.0000000000000001E-3</v>
      </c>
      <c r="AD524" s="1">
        <v>5.0000000000000001E-3</v>
      </c>
      <c r="AE524" s="1">
        <v>0.01</v>
      </c>
      <c r="AF524" s="1">
        <v>4.0000000000000001E-3</v>
      </c>
      <c r="AG524" s="1">
        <v>0</v>
      </c>
      <c r="AH524" s="1">
        <v>1.2999999999999999E-2</v>
      </c>
      <c r="AI524" s="1">
        <v>1E-3</v>
      </c>
      <c r="AJ524" s="1">
        <v>0.13300000000000001</v>
      </c>
      <c r="AK524" s="1">
        <v>7.0000000000000001E-3</v>
      </c>
      <c r="AL524" s="1">
        <v>0</v>
      </c>
      <c r="AM524" s="1">
        <v>3.0000000000000001E-3</v>
      </c>
      <c r="AN524" s="1">
        <v>2.8000000000000001E-2</v>
      </c>
      <c r="AO524" s="1">
        <v>2E-3</v>
      </c>
      <c r="AP524" s="1">
        <v>2E-3</v>
      </c>
      <c r="AQ524" s="1">
        <v>2E-3</v>
      </c>
      <c r="AR524" s="1">
        <v>1.2999999999999999E-2</v>
      </c>
      <c r="AS524" s="1">
        <v>8.9999999999999993E-3</v>
      </c>
      <c r="AT524" s="1">
        <v>4.0000000000000001E-3</v>
      </c>
      <c r="AU524" s="1">
        <v>7.0000000000000001E-3</v>
      </c>
      <c r="AV524" s="1">
        <v>3.0000000000000001E-3</v>
      </c>
      <c r="AW524" s="1">
        <v>3.0000000000000001E-3</v>
      </c>
      <c r="AX524" s="1">
        <v>7.0000000000000001E-3</v>
      </c>
      <c r="AY524" s="1">
        <v>5.0000000000000001E-3</v>
      </c>
      <c r="AZ524" s="1">
        <v>8.0000000000000002E-3</v>
      </c>
      <c r="BA524" s="1">
        <v>1.0999999999999999E-2</v>
      </c>
      <c r="BB524" s="1">
        <v>1.2999999999999999E-2</v>
      </c>
      <c r="BC524" s="1">
        <v>2E-3</v>
      </c>
      <c r="BD524" s="1">
        <v>1.4E-2</v>
      </c>
      <c r="BE524" s="1">
        <v>2E-3</v>
      </c>
      <c r="BF524" s="1">
        <v>2E-3</v>
      </c>
      <c r="BG524" s="1">
        <v>2E-3</v>
      </c>
      <c r="BH524" s="1">
        <v>2E-3</v>
      </c>
      <c r="BI524" s="1">
        <v>2E-3</v>
      </c>
      <c r="BJ524" s="1">
        <v>1E-3</v>
      </c>
      <c r="BK524" s="1">
        <v>1E-3</v>
      </c>
      <c r="BL524" s="1">
        <v>3.0000000000000001E-3</v>
      </c>
      <c r="BM524" s="1">
        <v>2E-3</v>
      </c>
      <c r="BN524" s="1">
        <v>3.0000000000000001E-3</v>
      </c>
      <c r="BO524" s="1">
        <v>2.3E-2</v>
      </c>
      <c r="BP524" s="1">
        <v>3.0000000000000001E-3</v>
      </c>
      <c r="BQ524" s="1">
        <v>5.0000000000000001E-3</v>
      </c>
      <c r="BR524" s="1">
        <v>3.0000000000000001E-3</v>
      </c>
      <c r="BS524" s="1">
        <v>0.02</v>
      </c>
      <c r="BT524" s="1">
        <v>2E-3</v>
      </c>
      <c r="BU524" s="1">
        <v>0.01</v>
      </c>
      <c r="BV524" s="1">
        <v>1.0999999999999999E-2</v>
      </c>
      <c r="BW524" s="1">
        <v>3.0000000000000001E-3</v>
      </c>
      <c r="BX524" s="1">
        <v>0.25700000000000001</v>
      </c>
      <c r="BY524" s="1">
        <v>7.0000000000000001E-3</v>
      </c>
      <c r="BZ524" s="1">
        <v>7.0000000000000001E-3</v>
      </c>
      <c r="CA524" s="1">
        <v>4.0000000000000001E-3</v>
      </c>
      <c r="CB524" s="1">
        <v>1E-3</v>
      </c>
      <c r="CC524" s="1">
        <v>3.0000000000000001E-3</v>
      </c>
      <c r="CD524" s="1">
        <v>0</v>
      </c>
      <c r="CE524" s="1">
        <v>2E-3</v>
      </c>
      <c r="CF524" s="1">
        <v>5.0000000000000001E-3</v>
      </c>
      <c r="CG524" s="1">
        <v>5.0000000000000001E-3</v>
      </c>
      <c r="CH524" s="1">
        <v>5.0000000000000001E-3</v>
      </c>
      <c r="CI524" s="1">
        <v>4.0000000000000001E-3</v>
      </c>
      <c r="CJ524" s="1">
        <v>5.0000000000000001E-3</v>
      </c>
      <c r="CK524" s="1">
        <v>0.26200000000000001</v>
      </c>
      <c r="CL524" s="1">
        <v>6.0000000000000001E-3</v>
      </c>
      <c r="CM524" s="1">
        <v>-3.244553319</v>
      </c>
      <c r="CN524" s="83">
        <v>9.7320655429999992</v>
      </c>
    </row>
    <row r="525" spans="1:92" s="3" customFormat="1" x14ac:dyDescent="0.25">
      <c r="A525" s="72">
        <v>555</v>
      </c>
      <c r="B525" s="81" t="s">
        <v>1549</v>
      </c>
      <c r="C525" s="1" t="s">
        <v>83</v>
      </c>
      <c r="D525" s="1" t="s">
        <v>73</v>
      </c>
      <c r="E525" s="1" t="s">
        <v>99</v>
      </c>
      <c r="F525" s="1" t="s">
        <v>97</v>
      </c>
      <c r="G525" s="1" t="s">
        <v>76</v>
      </c>
      <c r="H525" s="1" t="s">
        <v>97</v>
      </c>
      <c r="I525" s="1"/>
      <c r="J525" s="9" t="s">
        <v>506</v>
      </c>
      <c r="K525" s="10">
        <v>0.35401733333333302</v>
      </c>
      <c r="L525" s="1" t="s">
        <v>641</v>
      </c>
      <c r="M525" s="1" t="s">
        <v>76</v>
      </c>
      <c r="N525" s="1" t="s">
        <v>644</v>
      </c>
      <c r="O525" s="1" t="s">
        <v>33</v>
      </c>
      <c r="P525" s="82">
        <v>0.53200000000000003</v>
      </c>
      <c r="Q525" s="1" t="s">
        <v>76</v>
      </c>
      <c r="R525" s="81" t="s">
        <v>77</v>
      </c>
      <c r="S525" s="1" t="s">
        <v>76</v>
      </c>
      <c r="T525" s="1" t="s">
        <v>78</v>
      </c>
      <c r="U525" s="1" t="s">
        <v>658</v>
      </c>
      <c r="V525" s="1" t="s">
        <v>655</v>
      </c>
      <c r="W525" s="1">
        <v>24</v>
      </c>
      <c r="X525" s="1" t="s">
        <v>76</v>
      </c>
      <c r="Y525" s="1" t="s">
        <v>644</v>
      </c>
      <c r="Z525" s="1">
        <v>0</v>
      </c>
      <c r="AA525" s="1">
        <v>1E-3</v>
      </c>
      <c r="AB525" s="1">
        <v>1E-3</v>
      </c>
      <c r="AC525" s="1">
        <v>4.0000000000000001E-3</v>
      </c>
      <c r="AD525" s="1">
        <v>1E-3</v>
      </c>
      <c r="AE525" s="1">
        <v>2E-3</v>
      </c>
      <c r="AF525" s="1">
        <v>1E-3</v>
      </c>
      <c r="AG525" s="1">
        <v>0</v>
      </c>
      <c r="AH525" s="1">
        <v>3.0000000000000001E-3</v>
      </c>
      <c r="AI525" s="1">
        <v>0</v>
      </c>
      <c r="AJ525" s="1">
        <v>0.01</v>
      </c>
      <c r="AK525" s="1">
        <v>3.0000000000000001E-3</v>
      </c>
      <c r="AL525" s="1">
        <v>0</v>
      </c>
      <c r="AM525" s="1">
        <v>1E-3</v>
      </c>
      <c r="AN525" s="1">
        <v>2E-3</v>
      </c>
      <c r="AO525" s="1">
        <v>1E-3</v>
      </c>
      <c r="AP525" s="1">
        <v>1E-3</v>
      </c>
      <c r="AQ525" s="1">
        <v>0</v>
      </c>
      <c r="AR525" s="1">
        <v>1E-3</v>
      </c>
      <c r="AS525" s="1">
        <v>3.0000000000000001E-3</v>
      </c>
      <c r="AT525" s="1">
        <v>1E-3</v>
      </c>
      <c r="AU525" s="1">
        <v>1E-3</v>
      </c>
      <c r="AV525" s="1">
        <v>1E-3</v>
      </c>
      <c r="AW525" s="1">
        <v>1E-3</v>
      </c>
      <c r="AX525" s="1">
        <v>1E-3</v>
      </c>
      <c r="AY525" s="1">
        <v>1E-3</v>
      </c>
      <c r="AZ525" s="1">
        <v>1E-3</v>
      </c>
      <c r="BA525" s="1">
        <v>2E-3</v>
      </c>
      <c r="BB525" s="1">
        <v>0.53200000000000003</v>
      </c>
      <c r="BC525" s="1">
        <v>1E-3</v>
      </c>
      <c r="BD525" s="1">
        <v>3.0000000000000001E-3</v>
      </c>
      <c r="BE525" s="1">
        <v>0</v>
      </c>
      <c r="BF525" s="1">
        <v>0</v>
      </c>
      <c r="BG525" s="1">
        <v>1E-3</v>
      </c>
      <c r="BH525" s="1">
        <v>1E-3</v>
      </c>
      <c r="BI525" s="1">
        <v>0</v>
      </c>
      <c r="BJ525" s="1">
        <v>0</v>
      </c>
      <c r="BK525" s="1">
        <v>0</v>
      </c>
      <c r="BL525" s="1">
        <v>1E-3</v>
      </c>
      <c r="BM525" s="1">
        <v>1E-3</v>
      </c>
      <c r="BN525" s="1">
        <v>1E-3</v>
      </c>
      <c r="BO525" s="1">
        <v>0.01</v>
      </c>
      <c r="BP525" s="1">
        <v>0</v>
      </c>
      <c r="BQ525" s="1">
        <v>1E-3</v>
      </c>
      <c r="BR525" s="1">
        <v>1E-3</v>
      </c>
      <c r="BS525" s="1">
        <v>1E-3</v>
      </c>
      <c r="BT525" s="1">
        <v>0</v>
      </c>
      <c r="BU525" s="1">
        <v>0</v>
      </c>
      <c r="BV525" s="1">
        <v>1.2E-2</v>
      </c>
      <c r="BW525" s="1">
        <v>1E-3</v>
      </c>
      <c r="BX525" s="1">
        <v>0.35299999999999998</v>
      </c>
      <c r="BY525" s="1">
        <v>2E-3</v>
      </c>
      <c r="BZ525" s="1">
        <v>1E-3</v>
      </c>
      <c r="CA525" s="1">
        <v>1E-3</v>
      </c>
      <c r="CB525" s="1">
        <v>0</v>
      </c>
      <c r="CC525" s="1">
        <v>1E-3</v>
      </c>
      <c r="CD525" s="1">
        <v>0</v>
      </c>
      <c r="CE525" s="1">
        <v>1E-3</v>
      </c>
      <c r="CF525" s="1">
        <v>1E-3</v>
      </c>
      <c r="CG525" s="1">
        <v>1E-3</v>
      </c>
      <c r="CH525" s="1">
        <v>2E-3</v>
      </c>
      <c r="CI525" s="1">
        <v>1E-3</v>
      </c>
      <c r="CJ525" s="1">
        <v>1E-3</v>
      </c>
      <c r="CK525" s="1">
        <v>2.3E-2</v>
      </c>
      <c r="CL525" s="1">
        <v>1E-3</v>
      </c>
      <c r="CM525" s="1">
        <v>-3.5869161269999998</v>
      </c>
      <c r="CN525" s="83">
        <v>6.7442789940000001</v>
      </c>
    </row>
    <row r="526" spans="1:92" s="3" customFormat="1" x14ac:dyDescent="0.25">
      <c r="A526" s="72">
        <v>556</v>
      </c>
      <c r="B526" s="81" t="s">
        <v>1607</v>
      </c>
      <c r="C526" s="1" t="s">
        <v>83</v>
      </c>
      <c r="D526" s="1" t="s">
        <v>73</v>
      </c>
      <c r="E526" s="1" t="s">
        <v>99</v>
      </c>
      <c r="F526" s="1" t="s">
        <v>97</v>
      </c>
      <c r="G526" s="1" t="s">
        <v>76</v>
      </c>
      <c r="H526" s="1" t="s">
        <v>97</v>
      </c>
      <c r="I526" s="1"/>
      <c r="J526" s="9" t="s">
        <v>506</v>
      </c>
      <c r="K526" s="10">
        <v>0.57119750000000002</v>
      </c>
      <c r="L526" s="1" t="s">
        <v>641</v>
      </c>
      <c r="M526" s="1" t="s">
        <v>76</v>
      </c>
      <c r="N526" s="1" t="s">
        <v>644</v>
      </c>
      <c r="O526" s="1" t="s">
        <v>68</v>
      </c>
      <c r="P526" s="82">
        <v>6.9000000000000006E-2</v>
      </c>
      <c r="Q526" s="1" t="s">
        <v>76</v>
      </c>
      <c r="R526" s="81" t="s">
        <v>77</v>
      </c>
      <c r="S526" s="1" t="s">
        <v>76</v>
      </c>
      <c r="T526" s="1" t="s">
        <v>78</v>
      </c>
      <c r="U526" s="1" t="s">
        <v>658</v>
      </c>
      <c r="V526" s="1" t="s">
        <v>655</v>
      </c>
      <c r="W526" s="1">
        <v>86</v>
      </c>
      <c r="X526" s="1" t="s">
        <v>76</v>
      </c>
      <c r="Y526" s="1" t="s">
        <v>644</v>
      </c>
      <c r="Z526" s="1">
        <v>4.0000000000000001E-3</v>
      </c>
      <c r="AA526" s="1">
        <v>1.0999999999999999E-2</v>
      </c>
      <c r="AB526" s="1">
        <v>7.0000000000000001E-3</v>
      </c>
      <c r="AC526" s="1">
        <v>0.03</v>
      </c>
      <c r="AD526" s="1">
        <v>8.0000000000000002E-3</v>
      </c>
      <c r="AE526" s="1">
        <v>8.0000000000000002E-3</v>
      </c>
      <c r="AF526" s="1">
        <v>8.0000000000000002E-3</v>
      </c>
      <c r="AG526" s="1">
        <v>1E-3</v>
      </c>
      <c r="AH526" s="1">
        <v>2.5000000000000001E-2</v>
      </c>
      <c r="AI526" s="1">
        <v>5.0000000000000001E-3</v>
      </c>
      <c r="AJ526" s="1">
        <v>8.0000000000000002E-3</v>
      </c>
      <c r="AK526" s="1">
        <v>3.4000000000000002E-2</v>
      </c>
      <c r="AL526" s="1">
        <v>2E-3</v>
      </c>
      <c r="AM526" s="1">
        <v>4.0000000000000001E-3</v>
      </c>
      <c r="AN526" s="1">
        <v>0.01</v>
      </c>
      <c r="AO526" s="1">
        <v>8.0000000000000002E-3</v>
      </c>
      <c r="AP526" s="1">
        <v>5.0000000000000001E-3</v>
      </c>
      <c r="AQ526" s="1">
        <v>5.0000000000000001E-3</v>
      </c>
      <c r="AR526" s="1">
        <v>5.0000000000000001E-3</v>
      </c>
      <c r="AS526" s="1">
        <v>2.5999999999999999E-2</v>
      </c>
      <c r="AT526" s="1">
        <v>1.6E-2</v>
      </c>
      <c r="AU526" s="1">
        <v>8.9999999999999993E-3</v>
      </c>
      <c r="AV526" s="1">
        <v>5.0000000000000001E-3</v>
      </c>
      <c r="AW526" s="1">
        <v>1.2999999999999999E-2</v>
      </c>
      <c r="AX526" s="1">
        <v>8.9999999999999993E-3</v>
      </c>
      <c r="AY526" s="1">
        <v>1.6E-2</v>
      </c>
      <c r="AZ526" s="1">
        <v>2.4E-2</v>
      </c>
      <c r="BA526" s="1">
        <v>5.7000000000000002E-2</v>
      </c>
      <c r="BB526" s="1">
        <v>1.2E-2</v>
      </c>
      <c r="BC526" s="1">
        <v>4.0000000000000001E-3</v>
      </c>
      <c r="BD526" s="1">
        <v>4.3999999999999997E-2</v>
      </c>
      <c r="BE526" s="1">
        <v>6.0000000000000001E-3</v>
      </c>
      <c r="BF526" s="1">
        <v>3.0000000000000001E-3</v>
      </c>
      <c r="BG526" s="1">
        <v>7.0000000000000001E-3</v>
      </c>
      <c r="BH526" s="1">
        <v>5.0000000000000001E-3</v>
      </c>
      <c r="BI526" s="1">
        <v>5.0000000000000001E-3</v>
      </c>
      <c r="BJ526" s="1">
        <v>3.0000000000000001E-3</v>
      </c>
      <c r="BK526" s="1">
        <v>3.0000000000000001E-3</v>
      </c>
      <c r="BL526" s="1">
        <v>1.7000000000000001E-2</v>
      </c>
      <c r="BM526" s="1">
        <v>7.0000000000000001E-3</v>
      </c>
      <c r="BN526" s="1">
        <v>1.4999999999999999E-2</v>
      </c>
      <c r="BO526" s="1">
        <v>6.0000000000000001E-3</v>
      </c>
      <c r="BP526" s="1">
        <v>2E-3</v>
      </c>
      <c r="BQ526" s="1">
        <v>3.5000000000000003E-2</v>
      </c>
      <c r="BR526" s="1">
        <v>1.0999999999999999E-2</v>
      </c>
      <c r="BS526" s="1">
        <v>5.0000000000000001E-3</v>
      </c>
      <c r="BT526" s="1">
        <v>4.0000000000000001E-3</v>
      </c>
      <c r="BU526" s="1">
        <v>1.4999999999999999E-2</v>
      </c>
      <c r="BV526" s="1">
        <v>7.0000000000000001E-3</v>
      </c>
      <c r="BW526" s="1">
        <v>8.9999999999999993E-3</v>
      </c>
      <c r="BX526" s="1">
        <v>2.5000000000000001E-2</v>
      </c>
      <c r="BY526" s="1">
        <v>0.02</v>
      </c>
      <c r="BZ526" s="1">
        <v>2.3E-2</v>
      </c>
      <c r="CA526" s="1">
        <v>1.2E-2</v>
      </c>
      <c r="CB526" s="1">
        <v>7.0000000000000001E-3</v>
      </c>
      <c r="CC526" s="1">
        <v>1.9E-2</v>
      </c>
      <c r="CD526" s="1">
        <v>1E-3</v>
      </c>
      <c r="CE526" s="1">
        <v>6.0000000000000001E-3</v>
      </c>
      <c r="CF526" s="1">
        <v>6.7000000000000004E-2</v>
      </c>
      <c r="CG526" s="1">
        <v>2.9000000000000001E-2</v>
      </c>
      <c r="CH526" s="1">
        <v>1.7999999999999999E-2</v>
      </c>
      <c r="CI526" s="1">
        <v>0.01</v>
      </c>
      <c r="CJ526" s="1">
        <v>4.2999999999999997E-2</v>
      </c>
      <c r="CK526" s="1">
        <v>6.9000000000000006E-2</v>
      </c>
      <c r="CL526" s="1">
        <v>6.7000000000000004E-2</v>
      </c>
      <c r="CM526" s="1">
        <v>-60.981339740000003</v>
      </c>
      <c r="CN526" s="83">
        <v>5.200707499</v>
      </c>
    </row>
    <row r="527" spans="1:92" s="3" customFormat="1" x14ac:dyDescent="0.25">
      <c r="A527" s="72">
        <v>557</v>
      </c>
      <c r="B527" s="81" t="s">
        <v>1080</v>
      </c>
      <c r="C527" s="1" t="s">
        <v>83</v>
      </c>
      <c r="D527" s="1" t="s">
        <v>73</v>
      </c>
      <c r="E527" s="1" t="s">
        <v>74</v>
      </c>
      <c r="F527" s="1" t="s">
        <v>97</v>
      </c>
      <c r="G527" s="1" t="s">
        <v>76</v>
      </c>
      <c r="H527" s="1" t="s">
        <v>97</v>
      </c>
      <c r="I527" s="1"/>
      <c r="J527" s="9" t="s">
        <v>506</v>
      </c>
      <c r="K527" s="10">
        <v>0.39757266666666702</v>
      </c>
      <c r="L527" s="1" t="s">
        <v>641</v>
      </c>
      <c r="M527" s="1" t="s">
        <v>76</v>
      </c>
      <c r="N527" s="1" t="s">
        <v>644</v>
      </c>
      <c r="O527" s="1" t="s">
        <v>55</v>
      </c>
      <c r="P527" s="82">
        <v>0.57399999999999995</v>
      </c>
      <c r="Q527" s="1" t="s">
        <v>76</v>
      </c>
      <c r="R527" s="81" t="s">
        <v>77</v>
      </c>
      <c r="S527" s="1" t="s">
        <v>76</v>
      </c>
      <c r="T527" s="1" t="s">
        <v>78</v>
      </c>
      <c r="U527" s="1" t="s">
        <v>658</v>
      </c>
      <c r="V527" s="1" t="s">
        <v>655</v>
      </c>
      <c r="W527" s="1">
        <v>1</v>
      </c>
      <c r="X527" s="1" t="s">
        <v>76</v>
      </c>
      <c r="Y527" s="1" t="s">
        <v>644</v>
      </c>
      <c r="Z527" s="1">
        <v>2E-3</v>
      </c>
      <c r="AA527" s="1">
        <v>2E-3</v>
      </c>
      <c r="AB527" s="1">
        <v>2E-3</v>
      </c>
      <c r="AC527" s="1">
        <v>5.0000000000000001E-3</v>
      </c>
      <c r="AD527" s="1">
        <v>2E-3</v>
      </c>
      <c r="AE527" s="1">
        <v>6.0000000000000001E-3</v>
      </c>
      <c r="AF527" s="1">
        <v>2E-3</v>
      </c>
      <c r="AG527" s="1">
        <v>0</v>
      </c>
      <c r="AH527" s="1">
        <v>7.0000000000000001E-3</v>
      </c>
      <c r="AI527" s="1">
        <v>0</v>
      </c>
      <c r="AJ527" s="1">
        <v>0.14299999999999999</v>
      </c>
      <c r="AK527" s="1">
        <v>5.0000000000000001E-3</v>
      </c>
      <c r="AL527" s="1">
        <v>0</v>
      </c>
      <c r="AM527" s="1">
        <v>1E-3</v>
      </c>
      <c r="AN527" s="1">
        <v>1.4E-2</v>
      </c>
      <c r="AO527" s="1">
        <v>1E-3</v>
      </c>
      <c r="AP527" s="1">
        <v>1E-3</v>
      </c>
      <c r="AQ527" s="1">
        <v>1E-3</v>
      </c>
      <c r="AR527" s="1">
        <v>5.0000000000000001E-3</v>
      </c>
      <c r="AS527" s="1">
        <v>5.0000000000000001E-3</v>
      </c>
      <c r="AT527" s="1">
        <v>2E-3</v>
      </c>
      <c r="AU527" s="1">
        <v>3.0000000000000001E-3</v>
      </c>
      <c r="AV527" s="1">
        <v>2E-3</v>
      </c>
      <c r="AW527" s="1">
        <v>2E-3</v>
      </c>
      <c r="AX527" s="1">
        <v>3.0000000000000001E-3</v>
      </c>
      <c r="AY527" s="1">
        <v>2E-3</v>
      </c>
      <c r="AZ527" s="1">
        <v>4.0000000000000001E-3</v>
      </c>
      <c r="BA527" s="1">
        <v>5.0000000000000001E-3</v>
      </c>
      <c r="BB527" s="1">
        <v>0.04</v>
      </c>
      <c r="BC527" s="1">
        <v>1E-3</v>
      </c>
      <c r="BD527" s="1">
        <v>8.0000000000000002E-3</v>
      </c>
      <c r="BE527" s="1">
        <v>1E-3</v>
      </c>
      <c r="BF527" s="1">
        <v>1E-3</v>
      </c>
      <c r="BG527" s="1">
        <v>1E-3</v>
      </c>
      <c r="BH527" s="1">
        <v>1E-3</v>
      </c>
      <c r="BI527" s="1">
        <v>1E-3</v>
      </c>
      <c r="BJ527" s="1">
        <v>1E-3</v>
      </c>
      <c r="BK527" s="1">
        <v>1E-3</v>
      </c>
      <c r="BL527" s="1">
        <v>2E-3</v>
      </c>
      <c r="BM527" s="1">
        <v>1E-3</v>
      </c>
      <c r="BN527" s="1">
        <v>2E-3</v>
      </c>
      <c r="BO527" s="1">
        <v>2.5999999999999999E-2</v>
      </c>
      <c r="BP527" s="1">
        <v>1E-3</v>
      </c>
      <c r="BQ527" s="1">
        <v>3.0000000000000001E-3</v>
      </c>
      <c r="BR527" s="1">
        <v>2E-3</v>
      </c>
      <c r="BS527" s="1">
        <v>7.0000000000000001E-3</v>
      </c>
      <c r="BT527" s="1">
        <v>1E-3</v>
      </c>
      <c r="BU527" s="1">
        <v>2E-3</v>
      </c>
      <c r="BV527" s="1">
        <v>1.2999999999999999E-2</v>
      </c>
      <c r="BW527" s="1">
        <v>2E-3</v>
      </c>
      <c r="BX527" s="1">
        <v>0.57399999999999995</v>
      </c>
      <c r="BY527" s="1">
        <v>4.0000000000000001E-3</v>
      </c>
      <c r="BZ527" s="1">
        <v>4.0000000000000001E-3</v>
      </c>
      <c r="CA527" s="1">
        <v>2E-3</v>
      </c>
      <c r="CB527" s="1">
        <v>1E-3</v>
      </c>
      <c r="CC527" s="1">
        <v>2E-3</v>
      </c>
      <c r="CD527" s="1">
        <v>0</v>
      </c>
      <c r="CE527" s="1">
        <v>1E-3</v>
      </c>
      <c r="CF527" s="1">
        <v>1E-3</v>
      </c>
      <c r="CG527" s="1">
        <v>3.0000000000000001E-3</v>
      </c>
      <c r="CH527" s="1">
        <v>3.0000000000000001E-3</v>
      </c>
      <c r="CI527" s="1">
        <v>2E-3</v>
      </c>
      <c r="CJ527" s="1">
        <v>3.0000000000000001E-3</v>
      </c>
      <c r="CK527" s="1">
        <v>5.0999999999999997E-2</v>
      </c>
      <c r="CL527" s="1">
        <v>4.0000000000000001E-3</v>
      </c>
      <c r="CM527" s="1">
        <v>-7.2971103509999997</v>
      </c>
      <c r="CN527" s="83">
        <v>6.1034220389999998</v>
      </c>
    </row>
    <row r="528" spans="1:92" s="3" customFormat="1" x14ac:dyDescent="0.25">
      <c r="A528" s="72">
        <v>558</v>
      </c>
      <c r="B528" s="81" t="s">
        <v>871</v>
      </c>
      <c r="C528" s="1" t="s">
        <v>83</v>
      </c>
      <c r="D528" s="1" t="s">
        <v>73</v>
      </c>
      <c r="E528" s="1" t="s">
        <v>99</v>
      </c>
      <c r="F528" s="1" t="s">
        <v>97</v>
      </c>
      <c r="G528" s="1" t="s">
        <v>76</v>
      </c>
      <c r="H528" s="1" t="s">
        <v>97</v>
      </c>
      <c r="I528" s="1"/>
      <c r="J528" s="9" t="s">
        <v>506</v>
      </c>
      <c r="K528" s="10">
        <v>0.34549550000000001</v>
      </c>
      <c r="L528" s="1" t="s">
        <v>641</v>
      </c>
      <c r="M528" s="1" t="s">
        <v>76</v>
      </c>
      <c r="N528" s="1" t="s">
        <v>644</v>
      </c>
      <c r="O528" s="1" t="s">
        <v>15</v>
      </c>
      <c r="P528" s="82">
        <v>0.66900000000000004</v>
      </c>
      <c r="Q528" s="1" t="s">
        <v>76</v>
      </c>
      <c r="R528" s="81" t="s">
        <v>77</v>
      </c>
      <c r="S528" s="1" t="s">
        <v>76</v>
      </c>
      <c r="T528" s="1" t="s">
        <v>78</v>
      </c>
      <c r="U528" s="1" t="s">
        <v>658</v>
      </c>
      <c r="V528" s="1" t="s">
        <v>655</v>
      </c>
      <c r="W528" s="1">
        <v>25</v>
      </c>
      <c r="X528" s="1" t="s">
        <v>76</v>
      </c>
      <c r="Y528" s="1" t="s">
        <v>644</v>
      </c>
      <c r="Z528" s="1">
        <v>4.0000000000000001E-3</v>
      </c>
      <c r="AA528" s="1">
        <v>2E-3</v>
      </c>
      <c r="AB528" s="1">
        <v>2E-3</v>
      </c>
      <c r="AC528" s="1">
        <v>2E-3</v>
      </c>
      <c r="AD528" s="1">
        <v>3.0000000000000001E-3</v>
      </c>
      <c r="AE528" s="1">
        <v>5.0000000000000001E-3</v>
      </c>
      <c r="AF528" s="1">
        <v>2E-3</v>
      </c>
      <c r="AG528" s="1">
        <v>0</v>
      </c>
      <c r="AH528" s="1">
        <v>8.9999999999999993E-3</v>
      </c>
      <c r="AI528" s="1">
        <v>0</v>
      </c>
      <c r="AJ528" s="1">
        <v>0.66900000000000004</v>
      </c>
      <c r="AK528" s="1">
        <v>3.0000000000000001E-3</v>
      </c>
      <c r="AL528" s="1">
        <v>0</v>
      </c>
      <c r="AM528" s="1">
        <v>2E-3</v>
      </c>
      <c r="AN528" s="1">
        <v>6.7000000000000004E-2</v>
      </c>
      <c r="AO528" s="1">
        <v>1E-3</v>
      </c>
      <c r="AP528" s="1">
        <v>1E-3</v>
      </c>
      <c r="AQ528" s="1">
        <v>1E-3</v>
      </c>
      <c r="AR528" s="1">
        <v>6.0000000000000001E-3</v>
      </c>
      <c r="AS528" s="1">
        <v>5.0000000000000001E-3</v>
      </c>
      <c r="AT528" s="1">
        <v>2E-3</v>
      </c>
      <c r="AU528" s="1">
        <v>2E-3</v>
      </c>
      <c r="AV528" s="1">
        <v>3.0000000000000001E-3</v>
      </c>
      <c r="AW528" s="1">
        <v>1E-3</v>
      </c>
      <c r="AX528" s="1">
        <v>4.0000000000000001E-3</v>
      </c>
      <c r="AY528" s="1">
        <v>3.0000000000000001E-3</v>
      </c>
      <c r="AZ528" s="1">
        <v>7.0000000000000001E-3</v>
      </c>
      <c r="BA528" s="1">
        <v>6.0000000000000001E-3</v>
      </c>
      <c r="BB528" s="1">
        <v>4.0000000000000001E-3</v>
      </c>
      <c r="BC528" s="1">
        <v>1E-3</v>
      </c>
      <c r="BD528" s="1">
        <v>8.9999999999999993E-3</v>
      </c>
      <c r="BE528" s="1">
        <v>1E-3</v>
      </c>
      <c r="BF528" s="1">
        <v>1E-3</v>
      </c>
      <c r="BG528" s="1">
        <v>0</v>
      </c>
      <c r="BH528" s="1">
        <v>1E-3</v>
      </c>
      <c r="BI528" s="1">
        <v>1E-3</v>
      </c>
      <c r="BJ528" s="1">
        <v>3.0000000000000001E-3</v>
      </c>
      <c r="BK528" s="1">
        <v>1E-3</v>
      </c>
      <c r="BL528" s="1">
        <v>1E-3</v>
      </c>
      <c r="BM528" s="1">
        <v>1E-3</v>
      </c>
      <c r="BN528" s="1">
        <v>2E-3</v>
      </c>
      <c r="BO528" s="1">
        <v>4.0000000000000001E-3</v>
      </c>
      <c r="BP528" s="1">
        <v>3.0000000000000001E-3</v>
      </c>
      <c r="BQ528" s="1">
        <v>2E-3</v>
      </c>
      <c r="BR528" s="1">
        <v>1E-3</v>
      </c>
      <c r="BS528" s="1">
        <v>6.0000000000000001E-3</v>
      </c>
      <c r="BT528" s="1">
        <v>1E-3</v>
      </c>
      <c r="BU528" s="1">
        <v>1.7999999999999999E-2</v>
      </c>
      <c r="BV528" s="1">
        <v>5.0000000000000001E-3</v>
      </c>
      <c r="BW528" s="1">
        <v>2E-3</v>
      </c>
      <c r="BX528" s="1">
        <v>4.2999999999999997E-2</v>
      </c>
      <c r="BY528" s="1">
        <v>3.0000000000000001E-3</v>
      </c>
      <c r="BZ528" s="1">
        <v>6.0000000000000001E-3</v>
      </c>
      <c r="CA528" s="1">
        <v>2E-3</v>
      </c>
      <c r="CB528" s="1">
        <v>1E-3</v>
      </c>
      <c r="CC528" s="1">
        <v>2E-3</v>
      </c>
      <c r="CD528" s="1">
        <v>0</v>
      </c>
      <c r="CE528" s="1">
        <v>1E-3</v>
      </c>
      <c r="CF528" s="1">
        <v>1E-3</v>
      </c>
      <c r="CG528" s="1">
        <v>3.0000000000000001E-3</v>
      </c>
      <c r="CH528" s="1">
        <v>2E-3</v>
      </c>
      <c r="CI528" s="1">
        <v>2E-3</v>
      </c>
      <c r="CJ528" s="1">
        <v>2E-3</v>
      </c>
      <c r="CK528" s="1">
        <v>3.6999999999999998E-2</v>
      </c>
      <c r="CL528" s="1">
        <v>1.4999999999999999E-2</v>
      </c>
      <c r="CM528" s="1">
        <v>-6.9488941430000004</v>
      </c>
      <c r="CN528" s="83">
        <v>8.3270477239999998</v>
      </c>
    </row>
    <row r="529" spans="1:92" s="3" customFormat="1" x14ac:dyDescent="0.25">
      <c r="A529" s="72">
        <v>559</v>
      </c>
      <c r="B529" s="81" t="s">
        <v>950</v>
      </c>
      <c r="C529" s="1" t="s">
        <v>83</v>
      </c>
      <c r="D529" s="1" t="s">
        <v>73</v>
      </c>
      <c r="E529" s="1" t="s">
        <v>74</v>
      </c>
      <c r="F529" s="1" t="s">
        <v>97</v>
      </c>
      <c r="G529" s="1" t="s">
        <v>98</v>
      </c>
      <c r="H529" s="1" t="s">
        <v>97</v>
      </c>
      <c r="I529" s="1"/>
      <c r="J529" s="9" t="s">
        <v>506</v>
      </c>
      <c r="K529" s="10">
        <v>0.41571033333333401</v>
      </c>
      <c r="L529" s="1" t="s">
        <v>641</v>
      </c>
      <c r="M529" s="1" t="s">
        <v>76</v>
      </c>
      <c r="N529" s="1" t="s">
        <v>644</v>
      </c>
      <c r="O529" s="1" t="s">
        <v>68</v>
      </c>
      <c r="P529" s="82">
        <v>0.26800000000000002</v>
      </c>
      <c r="Q529" s="1" t="s">
        <v>76</v>
      </c>
      <c r="R529" s="81" t="s">
        <v>77</v>
      </c>
      <c r="S529" s="1" t="s">
        <v>76</v>
      </c>
      <c r="T529" s="1" t="s">
        <v>342</v>
      </c>
      <c r="U529" s="1" t="s">
        <v>658</v>
      </c>
      <c r="V529" s="1" t="s">
        <v>655</v>
      </c>
      <c r="W529" s="1">
        <v>39</v>
      </c>
      <c r="X529" s="1" t="s">
        <v>76</v>
      </c>
      <c r="Y529" s="1" t="s">
        <v>644</v>
      </c>
      <c r="Z529" s="1">
        <v>4.0000000000000001E-3</v>
      </c>
      <c r="AA529" s="1">
        <v>8.0000000000000002E-3</v>
      </c>
      <c r="AB529" s="1">
        <v>6.0000000000000001E-3</v>
      </c>
      <c r="AC529" s="1">
        <v>1.4999999999999999E-2</v>
      </c>
      <c r="AD529" s="1">
        <v>7.0000000000000001E-3</v>
      </c>
      <c r="AE529" s="1">
        <v>0.02</v>
      </c>
      <c r="AF529" s="1">
        <v>8.0000000000000002E-3</v>
      </c>
      <c r="AG529" s="1">
        <v>1E-3</v>
      </c>
      <c r="AH529" s="1">
        <v>0.02</v>
      </c>
      <c r="AI529" s="1">
        <v>2E-3</v>
      </c>
      <c r="AJ529" s="1">
        <v>2.3E-2</v>
      </c>
      <c r="AK529" s="1">
        <v>3.6999999999999998E-2</v>
      </c>
      <c r="AL529" s="1">
        <v>1E-3</v>
      </c>
      <c r="AM529" s="1">
        <v>4.0000000000000001E-3</v>
      </c>
      <c r="AN529" s="1">
        <v>1.0999999999999999E-2</v>
      </c>
      <c r="AO529" s="1">
        <v>7.0000000000000001E-3</v>
      </c>
      <c r="AP529" s="1">
        <v>4.0000000000000001E-3</v>
      </c>
      <c r="AQ529" s="1">
        <v>3.0000000000000001E-3</v>
      </c>
      <c r="AR529" s="1">
        <v>1.4E-2</v>
      </c>
      <c r="AS529" s="1">
        <v>1.7999999999999999E-2</v>
      </c>
      <c r="AT529" s="1">
        <v>0.01</v>
      </c>
      <c r="AU529" s="1">
        <v>2.1000000000000001E-2</v>
      </c>
      <c r="AV529" s="1">
        <v>5.0000000000000001E-3</v>
      </c>
      <c r="AW529" s="1">
        <v>7.0000000000000001E-3</v>
      </c>
      <c r="AX529" s="1">
        <v>8.0000000000000002E-3</v>
      </c>
      <c r="AY529" s="1">
        <v>0.01</v>
      </c>
      <c r="AZ529" s="1">
        <v>1.4999999999999999E-2</v>
      </c>
      <c r="BA529" s="1">
        <v>2.5999999999999999E-2</v>
      </c>
      <c r="BB529" s="1">
        <v>1.7000000000000001E-2</v>
      </c>
      <c r="BC529" s="1">
        <v>3.0000000000000001E-3</v>
      </c>
      <c r="BD529" s="1">
        <v>2.4E-2</v>
      </c>
      <c r="BE529" s="1">
        <v>4.0000000000000001E-3</v>
      </c>
      <c r="BF529" s="1">
        <v>3.0000000000000001E-3</v>
      </c>
      <c r="BG529" s="1">
        <v>5.0000000000000001E-3</v>
      </c>
      <c r="BH529" s="1">
        <v>3.0000000000000001E-3</v>
      </c>
      <c r="BI529" s="1">
        <v>3.0000000000000001E-3</v>
      </c>
      <c r="BJ529" s="1">
        <v>2E-3</v>
      </c>
      <c r="BK529" s="1">
        <v>3.0000000000000001E-3</v>
      </c>
      <c r="BL529" s="1">
        <v>8.0000000000000002E-3</v>
      </c>
      <c r="BM529" s="1">
        <v>4.0000000000000001E-3</v>
      </c>
      <c r="BN529" s="1">
        <v>7.0000000000000001E-3</v>
      </c>
      <c r="BO529" s="1">
        <v>3.2000000000000001E-2</v>
      </c>
      <c r="BP529" s="1">
        <v>4.0000000000000001E-3</v>
      </c>
      <c r="BQ529" s="1">
        <v>1.6E-2</v>
      </c>
      <c r="BR529" s="1">
        <v>5.0000000000000001E-3</v>
      </c>
      <c r="BS529" s="1">
        <v>1.4999999999999999E-2</v>
      </c>
      <c r="BT529" s="1">
        <v>4.0000000000000001E-3</v>
      </c>
      <c r="BU529" s="1">
        <v>2.5000000000000001E-2</v>
      </c>
      <c r="BV529" s="1">
        <v>0.02</v>
      </c>
      <c r="BW529" s="1">
        <v>7.0000000000000001E-3</v>
      </c>
      <c r="BX529" s="1">
        <v>7.6999999999999999E-2</v>
      </c>
      <c r="BY529" s="1">
        <v>1.2999999999999999E-2</v>
      </c>
      <c r="BZ529" s="1">
        <v>1.2E-2</v>
      </c>
      <c r="CA529" s="1">
        <v>7.0000000000000001E-3</v>
      </c>
      <c r="CB529" s="1">
        <v>3.0000000000000001E-3</v>
      </c>
      <c r="CC529" s="1">
        <v>6.0000000000000001E-3</v>
      </c>
      <c r="CD529" s="1">
        <v>1E-3</v>
      </c>
      <c r="CE529" s="1">
        <v>4.0000000000000001E-3</v>
      </c>
      <c r="CF529" s="1">
        <v>2.4E-2</v>
      </c>
      <c r="CG529" s="1">
        <v>0.01</v>
      </c>
      <c r="CH529" s="1">
        <v>1.0999999999999999E-2</v>
      </c>
      <c r="CI529" s="1">
        <v>8.0000000000000002E-3</v>
      </c>
      <c r="CJ529" s="1">
        <v>1.2E-2</v>
      </c>
      <c r="CK529" s="1">
        <v>0.26800000000000002</v>
      </c>
      <c r="CL529" s="1">
        <v>1.7999999999999999E-2</v>
      </c>
      <c r="CM529" s="1">
        <v>-5.9870646780000003</v>
      </c>
      <c r="CN529" s="83">
        <v>9.091975412</v>
      </c>
    </row>
    <row r="530" spans="1:92" s="3" customFormat="1" x14ac:dyDescent="0.25">
      <c r="A530" s="72">
        <v>560</v>
      </c>
      <c r="B530" s="81" t="s">
        <v>1613</v>
      </c>
      <c r="C530" s="1" t="s">
        <v>83</v>
      </c>
      <c r="D530" s="1" t="s">
        <v>73</v>
      </c>
      <c r="E530" s="1" t="s">
        <v>99</v>
      </c>
      <c r="F530" s="1" t="s">
        <v>267</v>
      </c>
      <c r="G530" s="1" t="s">
        <v>80</v>
      </c>
      <c r="H530" s="1" t="s">
        <v>13</v>
      </c>
      <c r="I530" s="1"/>
      <c r="J530" s="9" t="s">
        <v>544</v>
      </c>
      <c r="K530" s="10">
        <v>0.49876699999999902</v>
      </c>
      <c r="L530" s="1" t="s">
        <v>76</v>
      </c>
      <c r="M530" s="1" t="s">
        <v>506</v>
      </c>
      <c r="N530" s="1" t="s">
        <v>645</v>
      </c>
      <c r="O530" s="1" t="s">
        <v>13</v>
      </c>
      <c r="P530" s="82">
        <v>0.99299999999999999</v>
      </c>
      <c r="Q530" s="1" t="s">
        <v>76</v>
      </c>
      <c r="R530" s="81" t="s">
        <v>100</v>
      </c>
      <c r="S530" s="1" t="s">
        <v>76</v>
      </c>
      <c r="T530" s="1" t="s">
        <v>78</v>
      </c>
      <c r="U530" s="1" t="s">
        <v>658</v>
      </c>
      <c r="V530" s="1" t="s">
        <v>655</v>
      </c>
      <c r="W530" s="1">
        <v>55</v>
      </c>
      <c r="X530" s="1" t="s">
        <v>343</v>
      </c>
      <c r="Y530" s="1" t="s">
        <v>645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0.99299999999999999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1E-3</v>
      </c>
      <c r="CL530" s="1">
        <v>0</v>
      </c>
      <c r="CM530" s="1">
        <v>3.1589468840000001</v>
      </c>
      <c r="CN530" s="83">
        <v>-127.7435153</v>
      </c>
    </row>
    <row r="531" spans="1:92" s="3" customFormat="1" x14ac:dyDescent="0.25">
      <c r="A531" s="72">
        <v>561</v>
      </c>
      <c r="B531" s="81" t="s">
        <v>1615</v>
      </c>
      <c r="C531" s="1" t="s">
        <v>83</v>
      </c>
      <c r="D531" s="1" t="s">
        <v>73</v>
      </c>
      <c r="E531" s="1" t="s">
        <v>74</v>
      </c>
      <c r="F531" s="1" t="s">
        <v>267</v>
      </c>
      <c r="G531" s="1" t="s">
        <v>80</v>
      </c>
      <c r="H531" s="1" t="s">
        <v>13</v>
      </c>
      <c r="I531" s="1"/>
      <c r="J531" s="9" t="s">
        <v>544</v>
      </c>
      <c r="K531" s="10">
        <v>0.280959666666667</v>
      </c>
      <c r="L531" s="1" t="s">
        <v>76</v>
      </c>
      <c r="M531" s="1" t="s">
        <v>506</v>
      </c>
      <c r="N531" s="1" t="s">
        <v>645</v>
      </c>
      <c r="O531" s="1" t="s">
        <v>13</v>
      </c>
      <c r="P531" s="82">
        <v>0.96199999999999997</v>
      </c>
      <c r="Q531" s="1" t="s">
        <v>76</v>
      </c>
      <c r="R531" s="81" t="s">
        <v>344</v>
      </c>
      <c r="S531" s="1" t="s">
        <v>76</v>
      </c>
      <c r="T531" s="1" t="s">
        <v>120</v>
      </c>
      <c r="U531" s="1" t="s">
        <v>659</v>
      </c>
      <c r="V531" s="1" t="s">
        <v>655</v>
      </c>
      <c r="W531" s="1">
        <v>48</v>
      </c>
      <c r="X531" s="1" t="s">
        <v>434</v>
      </c>
      <c r="Y531" s="1" t="s">
        <v>645</v>
      </c>
      <c r="Z531" s="1">
        <v>1E-3</v>
      </c>
      <c r="AA531" s="1">
        <v>0</v>
      </c>
      <c r="AB531" s="1">
        <v>0</v>
      </c>
      <c r="AC531" s="1">
        <v>2E-3</v>
      </c>
      <c r="AD531" s="1">
        <v>0</v>
      </c>
      <c r="AE531" s="1">
        <v>0</v>
      </c>
      <c r="AF531" s="1">
        <v>0</v>
      </c>
      <c r="AG531" s="1">
        <v>0</v>
      </c>
      <c r="AH531" s="1">
        <v>0.96199999999999997</v>
      </c>
      <c r="AI531" s="1">
        <v>6.0000000000000001E-3</v>
      </c>
      <c r="AJ531" s="1">
        <v>0</v>
      </c>
      <c r="AK531" s="1">
        <v>1E-3</v>
      </c>
      <c r="AL531" s="1">
        <v>0</v>
      </c>
      <c r="AM531" s="1">
        <v>0</v>
      </c>
      <c r="AN531" s="1">
        <v>8.9999999999999993E-3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1E-3</v>
      </c>
      <c r="AY531" s="1">
        <v>0</v>
      </c>
      <c r="AZ531" s="1">
        <v>0</v>
      </c>
      <c r="BA531" s="1">
        <v>1E-3</v>
      </c>
      <c r="BB531" s="1">
        <v>0</v>
      </c>
      <c r="BC531" s="1">
        <v>0</v>
      </c>
      <c r="BD531" s="1">
        <v>2E-3</v>
      </c>
      <c r="BE531" s="1">
        <v>0</v>
      </c>
      <c r="BF531" s="1">
        <v>1E-3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1E-3</v>
      </c>
      <c r="BY531" s="1">
        <v>1E-3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1E-3</v>
      </c>
      <c r="CH531" s="1">
        <v>0</v>
      </c>
      <c r="CI531" s="1">
        <v>0</v>
      </c>
      <c r="CJ531" s="1">
        <v>1E-3</v>
      </c>
      <c r="CK531" s="1">
        <v>1E-3</v>
      </c>
      <c r="CL531" s="1">
        <v>1E-3</v>
      </c>
      <c r="CM531" s="1">
        <v>-22.192508920000002</v>
      </c>
      <c r="CN531" s="83">
        <v>-110.8468147</v>
      </c>
    </row>
    <row r="532" spans="1:92" s="3" customFormat="1" x14ac:dyDescent="0.25">
      <c r="A532" s="72">
        <v>562</v>
      </c>
      <c r="B532" s="81" t="s">
        <v>1622</v>
      </c>
      <c r="C532" s="1" t="s">
        <v>83</v>
      </c>
      <c r="D532" s="1" t="s">
        <v>73</v>
      </c>
      <c r="E532" s="1" t="s">
        <v>74</v>
      </c>
      <c r="F532" s="1" t="s">
        <v>267</v>
      </c>
      <c r="G532" s="1" t="s">
        <v>80</v>
      </c>
      <c r="H532" s="1" t="s">
        <v>13</v>
      </c>
      <c r="I532" s="1"/>
      <c r="J532" s="9" t="s">
        <v>544</v>
      </c>
      <c r="K532" s="10">
        <v>0.46412049999999999</v>
      </c>
      <c r="L532" s="1" t="s">
        <v>76</v>
      </c>
      <c r="M532" s="1" t="s">
        <v>506</v>
      </c>
      <c r="N532" s="1" t="s">
        <v>645</v>
      </c>
      <c r="O532" s="1" t="s">
        <v>13</v>
      </c>
      <c r="P532" s="82">
        <v>0.998</v>
      </c>
      <c r="Q532" s="1" t="s">
        <v>76</v>
      </c>
      <c r="R532" s="81" t="s">
        <v>100</v>
      </c>
      <c r="S532" s="1">
        <v>2</v>
      </c>
      <c r="T532" s="1" t="s">
        <v>78</v>
      </c>
      <c r="U532" s="1" t="s">
        <v>658</v>
      </c>
      <c r="V532" s="1" t="s">
        <v>655</v>
      </c>
      <c r="W532" s="1">
        <v>74</v>
      </c>
      <c r="X532" s="1" t="s">
        <v>313</v>
      </c>
      <c r="Y532" s="1" t="s">
        <v>645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0.998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-7.6366151340000004</v>
      </c>
      <c r="CN532" s="83">
        <v>-127.75499499999999</v>
      </c>
    </row>
    <row r="533" spans="1:92" s="3" customFormat="1" x14ac:dyDescent="0.25">
      <c r="A533" s="72">
        <v>563</v>
      </c>
      <c r="B533" s="81" t="s">
        <v>1680</v>
      </c>
      <c r="C533" s="1" t="s">
        <v>83</v>
      </c>
      <c r="D533" s="1" t="s">
        <v>73</v>
      </c>
      <c r="E533" s="1" t="s">
        <v>74</v>
      </c>
      <c r="F533" s="1" t="s">
        <v>267</v>
      </c>
      <c r="G533" s="1" t="s">
        <v>80</v>
      </c>
      <c r="H533" s="1" t="s">
        <v>13</v>
      </c>
      <c r="I533" s="1"/>
      <c r="J533" s="9" t="s">
        <v>544</v>
      </c>
      <c r="K533" s="10">
        <v>0.43994433333333299</v>
      </c>
      <c r="L533" s="1" t="s">
        <v>76</v>
      </c>
      <c r="M533" s="1" t="s">
        <v>506</v>
      </c>
      <c r="N533" s="1" t="s">
        <v>645</v>
      </c>
      <c r="O533" s="1" t="s">
        <v>13</v>
      </c>
      <c r="P533" s="82">
        <v>0.999</v>
      </c>
      <c r="Q533" s="1" t="s">
        <v>76</v>
      </c>
      <c r="R533" s="81" t="s">
        <v>100</v>
      </c>
      <c r="S533" s="1" t="s">
        <v>76</v>
      </c>
      <c r="T533" s="1" t="s">
        <v>78</v>
      </c>
      <c r="U533" s="1" t="s">
        <v>658</v>
      </c>
      <c r="V533" s="1" t="s">
        <v>655</v>
      </c>
      <c r="W533" s="1">
        <v>52</v>
      </c>
      <c r="X533" s="1" t="s">
        <v>434</v>
      </c>
      <c r="Y533" s="1" t="s">
        <v>645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0.999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-32.541526359999999</v>
      </c>
      <c r="CN533" s="83">
        <v>-121.698362</v>
      </c>
    </row>
    <row r="534" spans="1:92" s="3" customFormat="1" x14ac:dyDescent="0.25">
      <c r="A534" s="72">
        <v>564</v>
      </c>
      <c r="B534" s="81" t="s">
        <v>1309</v>
      </c>
      <c r="C534" s="1" t="s">
        <v>83</v>
      </c>
      <c r="D534" s="1" t="s">
        <v>73</v>
      </c>
      <c r="E534" s="1" t="s">
        <v>99</v>
      </c>
      <c r="F534" s="1" t="s">
        <v>267</v>
      </c>
      <c r="G534" s="1" t="s">
        <v>80</v>
      </c>
      <c r="H534" s="1" t="s">
        <v>13</v>
      </c>
      <c r="I534" s="1"/>
      <c r="J534" s="9" t="s">
        <v>544</v>
      </c>
      <c r="K534" s="10">
        <v>0.48744216666666701</v>
      </c>
      <c r="L534" s="1" t="s">
        <v>76</v>
      </c>
      <c r="M534" s="1" t="s">
        <v>506</v>
      </c>
      <c r="N534" s="1" t="s">
        <v>645</v>
      </c>
      <c r="O534" s="1" t="s">
        <v>13</v>
      </c>
      <c r="P534" s="82">
        <v>0.999</v>
      </c>
      <c r="Q534" s="1" t="s">
        <v>76</v>
      </c>
      <c r="R534" s="81" t="s">
        <v>100</v>
      </c>
      <c r="S534" s="1" t="s">
        <v>76</v>
      </c>
      <c r="T534" s="1" t="s">
        <v>78</v>
      </c>
      <c r="U534" s="1" t="s">
        <v>658</v>
      </c>
      <c r="V534" s="1" t="s">
        <v>655</v>
      </c>
      <c r="W534" s="1">
        <v>77</v>
      </c>
      <c r="X534" s="1" t="s">
        <v>271</v>
      </c>
      <c r="Y534" s="1" t="s">
        <v>645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0.999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-26.78207029</v>
      </c>
      <c r="CN534" s="83">
        <v>-131.99633</v>
      </c>
    </row>
    <row r="535" spans="1:92" s="3" customFormat="1" x14ac:dyDescent="0.25">
      <c r="A535" s="72">
        <v>565</v>
      </c>
      <c r="B535" s="81" t="s">
        <v>1627</v>
      </c>
      <c r="C535" s="1" t="s">
        <v>83</v>
      </c>
      <c r="D535" s="1" t="s">
        <v>73</v>
      </c>
      <c r="E535" s="1" t="s">
        <v>99</v>
      </c>
      <c r="F535" s="1" t="s">
        <v>267</v>
      </c>
      <c r="G535" s="1" t="s">
        <v>139</v>
      </c>
      <c r="H535" s="1" t="s">
        <v>13</v>
      </c>
      <c r="I535" s="1"/>
      <c r="J535" s="9" t="s">
        <v>544</v>
      </c>
      <c r="K535" s="10">
        <v>0.49222050000000001</v>
      </c>
      <c r="L535" s="1" t="s">
        <v>76</v>
      </c>
      <c r="M535" s="1" t="s">
        <v>506</v>
      </c>
      <c r="N535" s="1" t="s">
        <v>645</v>
      </c>
      <c r="O535" s="1" t="s">
        <v>13</v>
      </c>
      <c r="P535" s="82">
        <v>0.98299999999999998</v>
      </c>
      <c r="Q535" s="1" t="s">
        <v>76</v>
      </c>
      <c r="R535" s="81" t="s">
        <v>276</v>
      </c>
      <c r="S535" s="1" t="s">
        <v>76</v>
      </c>
      <c r="T535" s="1" t="s">
        <v>78</v>
      </c>
      <c r="U535" s="1" t="s">
        <v>658</v>
      </c>
      <c r="V535" s="1" t="s">
        <v>655</v>
      </c>
      <c r="W535" s="1">
        <v>82</v>
      </c>
      <c r="X535" s="1" t="s">
        <v>1788</v>
      </c>
      <c r="Y535" s="1" t="s">
        <v>645</v>
      </c>
      <c r="Z535" s="1">
        <v>0</v>
      </c>
      <c r="AA535" s="1">
        <v>0</v>
      </c>
      <c r="AB535" s="1">
        <v>0</v>
      </c>
      <c r="AC535" s="1">
        <v>1E-3</v>
      </c>
      <c r="AD535" s="1">
        <v>0</v>
      </c>
      <c r="AE535" s="1">
        <v>0</v>
      </c>
      <c r="AF535" s="1">
        <v>0</v>
      </c>
      <c r="AG535" s="1">
        <v>0</v>
      </c>
      <c r="AH535" s="1">
        <v>0.98299999999999998</v>
      </c>
      <c r="AI535" s="1">
        <v>0</v>
      </c>
      <c r="AJ535" s="1">
        <v>0</v>
      </c>
      <c r="AK535" s="1">
        <v>1E-3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1E-3</v>
      </c>
      <c r="AT535" s="1">
        <v>1E-3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1E-3</v>
      </c>
      <c r="BB535" s="1">
        <v>0</v>
      </c>
      <c r="BC535" s="1">
        <v>0</v>
      </c>
      <c r="BD535" s="1">
        <v>1E-3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1E-3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1E-3</v>
      </c>
      <c r="CK535" s="1">
        <v>1E-3</v>
      </c>
      <c r="CL535" s="1">
        <v>0</v>
      </c>
      <c r="CM535" s="1">
        <v>3.8280619630000001</v>
      </c>
      <c r="CN535" s="83">
        <v>-126.5030926</v>
      </c>
    </row>
    <row r="536" spans="1:92" s="3" customFormat="1" x14ac:dyDescent="0.25">
      <c r="A536" s="72">
        <v>566</v>
      </c>
      <c r="B536" s="81" t="s">
        <v>1492</v>
      </c>
      <c r="C536" s="1" t="s">
        <v>83</v>
      </c>
      <c r="D536" s="1" t="s">
        <v>73</v>
      </c>
      <c r="E536" s="1" t="s">
        <v>74</v>
      </c>
      <c r="F536" s="1" t="s">
        <v>97</v>
      </c>
      <c r="G536" s="1" t="s">
        <v>126</v>
      </c>
      <c r="H536" s="1" t="s">
        <v>97</v>
      </c>
      <c r="I536" s="1"/>
      <c r="J536" s="9" t="s">
        <v>506</v>
      </c>
      <c r="K536" s="10">
        <v>0.30343833333333298</v>
      </c>
      <c r="L536" s="1" t="s">
        <v>641</v>
      </c>
      <c r="M536" s="1" t="s">
        <v>76</v>
      </c>
      <c r="N536" s="1" t="s">
        <v>644</v>
      </c>
      <c r="O536" s="1" t="s">
        <v>55</v>
      </c>
      <c r="P536" s="82">
        <v>0.70599999999999996</v>
      </c>
      <c r="Q536" s="1" t="s">
        <v>76</v>
      </c>
      <c r="R536" s="81" t="s">
        <v>77</v>
      </c>
      <c r="S536" s="1" t="s">
        <v>76</v>
      </c>
      <c r="T536" s="1" t="s">
        <v>78</v>
      </c>
      <c r="U536" s="1" t="s">
        <v>658</v>
      </c>
      <c r="V536" s="1" t="s">
        <v>655</v>
      </c>
      <c r="W536" s="1">
        <v>51</v>
      </c>
      <c r="X536" s="1" t="s">
        <v>76</v>
      </c>
      <c r="Y536" s="1" t="s">
        <v>644</v>
      </c>
      <c r="Z536" s="1">
        <v>2E-3</v>
      </c>
      <c r="AA536" s="1">
        <v>1E-3</v>
      </c>
      <c r="AB536" s="1">
        <v>1E-3</v>
      </c>
      <c r="AC536" s="1">
        <v>4.0000000000000001E-3</v>
      </c>
      <c r="AD536" s="1">
        <v>1E-3</v>
      </c>
      <c r="AE536" s="1">
        <v>4.0000000000000001E-3</v>
      </c>
      <c r="AF536" s="1">
        <v>1E-3</v>
      </c>
      <c r="AG536" s="1">
        <v>0</v>
      </c>
      <c r="AH536" s="1">
        <v>6.0000000000000001E-3</v>
      </c>
      <c r="AI536" s="1">
        <v>0</v>
      </c>
      <c r="AJ536" s="1">
        <v>0.14000000000000001</v>
      </c>
      <c r="AK536" s="1">
        <v>2E-3</v>
      </c>
      <c r="AL536" s="1">
        <v>0</v>
      </c>
      <c r="AM536" s="1">
        <v>1E-3</v>
      </c>
      <c r="AN536" s="1">
        <v>2.1999999999999999E-2</v>
      </c>
      <c r="AO536" s="1">
        <v>1E-3</v>
      </c>
      <c r="AP536" s="1">
        <v>1E-3</v>
      </c>
      <c r="AQ536" s="1">
        <v>1E-3</v>
      </c>
      <c r="AR536" s="1">
        <v>1E-3</v>
      </c>
      <c r="AS536" s="1">
        <v>3.0000000000000001E-3</v>
      </c>
      <c r="AT536" s="1">
        <v>1E-3</v>
      </c>
      <c r="AU536" s="1">
        <v>1E-3</v>
      </c>
      <c r="AV536" s="1">
        <v>1E-3</v>
      </c>
      <c r="AW536" s="1">
        <v>1E-3</v>
      </c>
      <c r="AX536" s="1">
        <v>1E-3</v>
      </c>
      <c r="AY536" s="1">
        <v>1E-3</v>
      </c>
      <c r="AZ536" s="1">
        <v>2E-3</v>
      </c>
      <c r="BA536" s="1">
        <v>3.0000000000000001E-3</v>
      </c>
      <c r="BB536" s="1">
        <v>1.4E-2</v>
      </c>
      <c r="BC536" s="1">
        <v>1E-3</v>
      </c>
      <c r="BD536" s="1">
        <v>5.0000000000000001E-3</v>
      </c>
      <c r="BE536" s="1">
        <v>1E-3</v>
      </c>
      <c r="BF536" s="1">
        <v>1E-3</v>
      </c>
      <c r="BG536" s="1">
        <v>0</v>
      </c>
      <c r="BH536" s="1">
        <v>1E-3</v>
      </c>
      <c r="BI536" s="1">
        <v>1E-3</v>
      </c>
      <c r="BJ536" s="1">
        <v>0</v>
      </c>
      <c r="BK536" s="1">
        <v>0</v>
      </c>
      <c r="BL536" s="1">
        <v>1E-3</v>
      </c>
      <c r="BM536" s="1">
        <v>1E-3</v>
      </c>
      <c r="BN536" s="1">
        <v>1E-3</v>
      </c>
      <c r="BO536" s="1">
        <v>8.0000000000000002E-3</v>
      </c>
      <c r="BP536" s="1">
        <v>0</v>
      </c>
      <c r="BQ536" s="1">
        <v>1E-3</v>
      </c>
      <c r="BR536" s="1">
        <v>1E-3</v>
      </c>
      <c r="BS536" s="1">
        <v>2E-3</v>
      </c>
      <c r="BT536" s="1">
        <v>0</v>
      </c>
      <c r="BU536" s="1">
        <v>2E-3</v>
      </c>
      <c r="BV536" s="1">
        <v>7.0000000000000001E-3</v>
      </c>
      <c r="BW536" s="1">
        <v>1E-3</v>
      </c>
      <c r="BX536" s="1">
        <v>0.70599999999999996</v>
      </c>
      <c r="BY536" s="1">
        <v>2E-3</v>
      </c>
      <c r="BZ536" s="1">
        <v>2E-3</v>
      </c>
      <c r="CA536" s="1">
        <v>1E-3</v>
      </c>
      <c r="CB536" s="1">
        <v>0</v>
      </c>
      <c r="CC536" s="1">
        <v>1E-3</v>
      </c>
      <c r="CD536" s="1">
        <v>0</v>
      </c>
      <c r="CE536" s="1">
        <v>1E-3</v>
      </c>
      <c r="CF536" s="1">
        <v>1E-3</v>
      </c>
      <c r="CG536" s="1">
        <v>2E-3</v>
      </c>
      <c r="CH536" s="1">
        <v>2E-3</v>
      </c>
      <c r="CI536" s="1">
        <v>1E-3</v>
      </c>
      <c r="CJ536" s="1">
        <v>2E-3</v>
      </c>
      <c r="CK536" s="1">
        <v>2.3E-2</v>
      </c>
      <c r="CL536" s="1">
        <v>1E-3</v>
      </c>
      <c r="CM536" s="1">
        <v>-21.603016050000001</v>
      </c>
      <c r="CN536" s="83">
        <v>-9.7549653809999999</v>
      </c>
    </row>
    <row r="537" spans="1:92" s="3" customFormat="1" x14ac:dyDescent="0.25">
      <c r="A537" s="72">
        <v>567</v>
      </c>
      <c r="B537" s="81" t="s">
        <v>1439</v>
      </c>
      <c r="C537" s="1" t="s">
        <v>83</v>
      </c>
      <c r="D537" s="1" t="s">
        <v>73</v>
      </c>
      <c r="E537" s="1" t="s">
        <v>99</v>
      </c>
      <c r="F537" s="1" t="s">
        <v>97</v>
      </c>
      <c r="G537" s="1" t="s">
        <v>80</v>
      </c>
      <c r="H537" s="1" t="s">
        <v>97</v>
      </c>
      <c r="I537" s="1"/>
      <c r="J537" s="9" t="s">
        <v>506</v>
      </c>
      <c r="K537" s="10">
        <v>0.60624049999999896</v>
      </c>
      <c r="L537" s="1" t="s">
        <v>641</v>
      </c>
      <c r="M537" s="1" t="s">
        <v>76</v>
      </c>
      <c r="N537" s="1" t="s">
        <v>644</v>
      </c>
      <c r="O537" s="1" t="s">
        <v>63</v>
      </c>
      <c r="P537" s="82">
        <v>0.128</v>
      </c>
      <c r="Q537" s="1" t="s">
        <v>76</v>
      </c>
      <c r="R537" s="81" t="s">
        <v>345</v>
      </c>
      <c r="S537" s="1">
        <v>3</v>
      </c>
      <c r="T537" s="1" t="s">
        <v>78</v>
      </c>
      <c r="U537" s="1" t="s">
        <v>660</v>
      </c>
      <c r="V537" s="1" t="s">
        <v>655</v>
      </c>
      <c r="W537" s="1">
        <v>38</v>
      </c>
      <c r="X537" s="1" t="s">
        <v>76</v>
      </c>
      <c r="Y537" s="1" t="s">
        <v>644</v>
      </c>
      <c r="Z537" s="1">
        <v>2E-3</v>
      </c>
      <c r="AA537" s="1">
        <v>8.9999999999999993E-3</v>
      </c>
      <c r="AB537" s="1">
        <v>7.0000000000000001E-3</v>
      </c>
      <c r="AC537" s="1">
        <v>2.9000000000000001E-2</v>
      </c>
      <c r="AD537" s="1">
        <v>6.0000000000000001E-3</v>
      </c>
      <c r="AE537" s="1">
        <v>6.0000000000000001E-3</v>
      </c>
      <c r="AF537" s="1">
        <v>5.0000000000000001E-3</v>
      </c>
      <c r="AG537" s="1">
        <v>1E-3</v>
      </c>
      <c r="AH537" s="1">
        <v>1.9E-2</v>
      </c>
      <c r="AI537" s="1">
        <v>2E-3</v>
      </c>
      <c r="AJ537" s="1">
        <v>3.0000000000000001E-3</v>
      </c>
      <c r="AK537" s="1">
        <v>4.3999999999999997E-2</v>
      </c>
      <c r="AL537" s="1">
        <v>1E-3</v>
      </c>
      <c r="AM537" s="1">
        <v>3.0000000000000001E-3</v>
      </c>
      <c r="AN537" s="1">
        <v>4.0000000000000001E-3</v>
      </c>
      <c r="AO537" s="1">
        <v>1.0999999999999999E-2</v>
      </c>
      <c r="AP537" s="1">
        <v>4.0000000000000001E-3</v>
      </c>
      <c r="AQ537" s="1">
        <v>4.0000000000000001E-3</v>
      </c>
      <c r="AR537" s="1">
        <v>3.0000000000000001E-3</v>
      </c>
      <c r="AS537" s="1">
        <v>3.5000000000000003E-2</v>
      </c>
      <c r="AT537" s="1">
        <v>2.4E-2</v>
      </c>
      <c r="AU537" s="1">
        <v>6.0000000000000001E-3</v>
      </c>
      <c r="AV537" s="1">
        <v>3.0000000000000001E-3</v>
      </c>
      <c r="AW537" s="1">
        <v>2.8000000000000001E-2</v>
      </c>
      <c r="AX537" s="1">
        <v>5.0000000000000001E-3</v>
      </c>
      <c r="AY537" s="1">
        <v>1.4E-2</v>
      </c>
      <c r="AZ537" s="1">
        <v>2.1999999999999999E-2</v>
      </c>
      <c r="BA537" s="1">
        <v>6.9000000000000006E-2</v>
      </c>
      <c r="BB537" s="1">
        <v>8.0000000000000002E-3</v>
      </c>
      <c r="BC537" s="1">
        <v>3.0000000000000001E-3</v>
      </c>
      <c r="BD537" s="1">
        <v>5.0999999999999997E-2</v>
      </c>
      <c r="BE537" s="1">
        <v>6.0000000000000001E-3</v>
      </c>
      <c r="BF537" s="1">
        <v>2E-3</v>
      </c>
      <c r="BG537" s="1">
        <v>1.2999999999999999E-2</v>
      </c>
      <c r="BH537" s="1">
        <v>4.0000000000000001E-3</v>
      </c>
      <c r="BI537" s="1">
        <v>5.0000000000000001E-3</v>
      </c>
      <c r="BJ537" s="1">
        <v>2E-3</v>
      </c>
      <c r="BK537" s="1">
        <v>4.0000000000000001E-3</v>
      </c>
      <c r="BL537" s="1">
        <v>1.9E-2</v>
      </c>
      <c r="BM537" s="1">
        <v>6.0000000000000001E-3</v>
      </c>
      <c r="BN537" s="1">
        <v>1.4999999999999999E-2</v>
      </c>
      <c r="BO537" s="1">
        <v>3.0000000000000001E-3</v>
      </c>
      <c r="BP537" s="1">
        <v>2E-3</v>
      </c>
      <c r="BQ537" s="1">
        <v>2.9000000000000001E-2</v>
      </c>
      <c r="BR537" s="1">
        <v>8.9999999999999993E-3</v>
      </c>
      <c r="BS537" s="1">
        <v>4.0000000000000001E-3</v>
      </c>
      <c r="BT537" s="1">
        <v>4.0000000000000001E-3</v>
      </c>
      <c r="BU537" s="1">
        <v>4.0000000000000001E-3</v>
      </c>
      <c r="BV537" s="1">
        <v>5.0000000000000001E-3</v>
      </c>
      <c r="BW537" s="1">
        <v>8.0000000000000002E-3</v>
      </c>
      <c r="BX537" s="1">
        <v>2.1000000000000001E-2</v>
      </c>
      <c r="BY537" s="1">
        <v>2.3E-2</v>
      </c>
      <c r="BZ537" s="1">
        <v>0.02</v>
      </c>
      <c r="CA537" s="1">
        <v>1.2999999999999999E-2</v>
      </c>
      <c r="CB537" s="1">
        <v>4.0000000000000001E-3</v>
      </c>
      <c r="CC537" s="1">
        <v>1.9E-2</v>
      </c>
      <c r="CD537" s="1">
        <v>1E-3</v>
      </c>
      <c r="CE537" s="1">
        <v>5.0000000000000001E-3</v>
      </c>
      <c r="CF537" s="1">
        <v>0.128</v>
      </c>
      <c r="CG537" s="1">
        <v>2.5999999999999999E-2</v>
      </c>
      <c r="CH537" s="1">
        <v>2.1999999999999999E-2</v>
      </c>
      <c r="CI537" s="1">
        <v>0.01</v>
      </c>
      <c r="CJ537" s="1">
        <v>6.0999999999999999E-2</v>
      </c>
      <c r="CK537" s="1">
        <v>4.4999999999999998E-2</v>
      </c>
      <c r="CL537" s="1">
        <v>2.9000000000000001E-2</v>
      </c>
      <c r="CM537" s="1">
        <v>-59.42812619</v>
      </c>
      <c r="CN537" s="83">
        <v>5.003369921</v>
      </c>
    </row>
    <row r="538" spans="1:92" s="3" customFormat="1" x14ac:dyDescent="0.25">
      <c r="A538" s="72">
        <v>568</v>
      </c>
      <c r="B538" s="81" t="s">
        <v>1626</v>
      </c>
      <c r="C538" s="1" t="s">
        <v>83</v>
      </c>
      <c r="D538" s="1" t="s">
        <v>73</v>
      </c>
      <c r="E538" s="1" t="s">
        <v>99</v>
      </c>
      <c r="F538" s="1" t="s">
        <v>246</v>
      </c>
      <c r="G538" s="1" t="s">
        <v>219</v>
      </c>
      <c r="H538" s="1" t="s">
        <v>527</v>
      </c>
      <c r="I538" s="1"/>
      <c r="J538" s="9" t="s">
        <v>544</v>
      </c>
      <c r="K538" s="10">
        <v>0.344028</v>
      </c>
      <c r="L538" s="1" t="s">
        <v>641</v>
      </c>
      <c r="M538" s="1" t="s">
        <v>76</v>
      </c>
      <c r="N538" s="1" t="s">
        <v>649</v>
      </c>
      <c r="O538" s="1" t="s">
        <v>68</v>
      </c>
      <c r="P538" s="82">
        <v>0.54300000000000004</v>
      </c>
      <c r="Q538" s="1" t="s">
        <v>76</v>
      </c>
      <c r="R538" s="81" t="s">
        <v>169</v>
      </c>
      <c r="S538" s="1">
        <v>3</v>
      </c>
      <c r="T538" s="1" t="s">
        <v>120</v>
      </c>
      <c r="U538" s="1" t="s">
        <v>658</v>
      </c>
      <c r="V538" s="1" t="s">
        <v>655</v>
      </c>
      <c r="W538" s="1">
        <v>69</v>
      </c>
      <c r="X538" s="1" t="s">
        <v>76</v>
      </c>
      <c r="Y538" s="1" t="s">
        <v>649</v>
      </c>
      <c r="Z538" s="1">
        <v>4.3999999999999997E-2</v>
      </c>
      <c r="AA538" s="1">
        <v>3.0000000000000001E-3</v>
      </c>
      <c r="AB538" s="1">
        <v>1E-3</v>
      </c>
      <c r="AC538" s="1">
        <v>1.2E-2</v>
      </c>
      <c r="AD538" s="1">
        <v>4.0000000000000001E-3</v>
      </c>
      <c r="AE538" s="1">
        <v>2E-3</v>
      </c>
      <c r="AF538" s="1">
        <v>2E-3</v>
      </c>
      <c r="AG538" s="1">
        <v>0</v>
      </c>
      <c r="AH538" s="1">
        <v>1.2999999999999999E-2</v>
      </c>
      <c r="AI538" s="1">
        <v>6.0000000000000001E-3</v>
      </c>
      <c r="AJ538" s="1">
        <v>1E-3</v>
      </c>
      <c r="AK538" s="1">
        <v>1E-3</v>
      </c>
      <c r="AL538" s="1">
        <v>0</v>
      </c>
      <c r="AM538" s="1">
        <v>1E-3</v>
      </c>
      <c r="AN538" s="1">
        <v>0.02</v>
      </c>
      <c r="AO538" s="1">
        <v>1E-3</v>
      </c>
      <c r="AP538" s="1">
        <v>2E-3</v>
      </c>
      <c r="AQ538" s="1">
        <v>1E-3</v>
      </c>
      <c r="AR538" s="1">
        <v>3.0000000000000001E-3</v>
      </c>
      <c r="AS538" s="1">
        <v>2E-3</v>
      </c>
      <c r="AT538" s="1">
        <v>2E-3</v>
      </c>
      <c r="AU538" s="1">
        <v>3.0000000000000001E-3</v>
      </c>
      <c r="AV538" s="1">
        <v>3.0000000000000001E-3</v>
      </c>
      <c r="AW538" s="1">
        <v>2E-3</v>
      </c>
      <c r="AX538" s="1">
        <v>8.9999999999999993E-3</v>
      </c>
      <c r="AY538" s="1">
        <v>5.0000000000000001E-3</v>
      </c>
      <c r="AZ538" s="1">
        <v>4.0000000000000001E-3</v>
      </c>
      <c r="BA538" s="1">
        <v>6.0000000000000001E-3</v>
      </c>
      <c r="BB538" s="1">
        <v>1E-3</v>
      </c>
      <c r="BC538" s="1">
        <v>1E-3</v>
      </c>
      <c r="BD538" s="1">
        <v>8.9999999999999993E-3</v>
      </c>
      <c r="BE538" s="1">
        <v>1E-3</v>
      </c>
      <c r="BF538" s="1">
        <v>0.127</v>
      </c>
      <c r="BG538" s="1">
        <v>0</v>
      </c>
      <c r="BH538" s="1">
        <v>5.0000000000000001E-3</v>
      </c>
      <c r="BI538" s="1">
        <v>1E-3</v>
      </c>
      <c r="BJ538" s="1">
        <v>2E-3</v>
      </c>
      <c r="BK538" s="1">
        <v>1E-3</v>
      </c>
      <c r="BL538" s="1">
        <v>4.0000000000000001E-3</v>
      </c>
      <c r="BM538" s="1">
        <v>1E-3</v>
      </c>
      <c r="BN538" s="1">
        <v>1E-3</v>
      </c>
      <c r="BO538" s="1">
        <v>1E-3</v>
      </c>
      <c r="BP538" s="1">
        <v>1E-3</v>
      </c>
      <c r="BQ538" s="1">
        <v>2E-3</v>
      </c>
      <c r="BR538" s="1">
        <v>3.0000000000000001E-3</v>
      </c>
      <c r="BS538" s="1">
        <v>4.0000000000000001E-3</v>
      </c>
      <c r="BT538" s="1">
        <v>1E-3</v>
      </c>
      <c r="BU538" s="1">
        <v>3.0000000000000001E-3</v>
      </c>
      <c r="BV538" s="1">
        <v>1E-3</v>
      </c>
      <c r="BW538" s="1">
        <v>2E-3</v>
      </c>
      <c r="BX538" s="1">
        <v>1.2999999999999999E-2</v>
      </c>
      <c r="BY538" s="1">
        <v>4.0000000000000001E-3</v>
      </c>
      <c r="BZ538" s="1">
        <v>4.0000000000000001E-3</v>
      </c>
      <c r="CA538" s="1">
        <v>3.0000000000000001E-3</v>
      </c>
      <c r="CB538" s="1">
        <v>1E-3</v>
      </c>
      <c r="CC538" s="1">
        <v>2E-3</v>
      </c>
      <c r="CD538" s="1">
        <v>0</v>
      </c>
      <c r="CE538" s="1">
        <v>2E-3</v>
      </c>
      <c r="CF538" s="1">
        <v>3.0000000000000001E-3</v>
      </c>
      <c r="CG538" s="1">
        <v>4.0000000000000001E-3</v>
      </c>
      <c r="CH538" s="1">
        <v>2E-3</v>
      </c>
      <c r="CI538" s="1">
        <v>2E-3</v>
      </c>
      <c r="CJ538" s="1">
        <v>3.0000000000000001E-3</v>
      </c>
      <c r="CK538" s="1">
        <v>0.54300000000000004</v>
      </c>
      <c r="CL538" s="1">
        <v>8.7999999999999995E-2</v>
      </c>
      <c r="CM538" s="1">
        <v>6.0389593970000002</v>
      </c>
      <c r="CN538" s="83">
        <v>-31.872443229999998</v>
      </c>
    </row>
    <row r="539" spans="1:92" s="3" customFormat="1" x14ac:dyDescent="0.25">
      <c r="A539" s="72">
        <v>569</v>
      </c>
      <c r="B539" s="81" t="s">
        <v>1288</v>
      </c>
      <c r="C539" s="1" t="s">
        <v>83</v>
      </c>
      <c r="D539" s="1" t="s">
        <v>73</v>
      </c>
      <c r="E539" s="1" t="s">
        <v>99</v>
      </c>
      <c r="F539" s="1" t="s">
        <v>246</v>
      </c>
      <c r="G539" s="1" t="s">
        <v>219</v>
      </c>
      <c r="H539" s="1" t="s">
        <v>527</v>
      </c>
      <c r="I539" s="1"/>
      <c r="J539" s="9" t="s">
        <v>544</v>
      </c>
      <c r="K539" s="10">
        <v>0.52600000000000002</v>
      </c>
      <c r="L539" s="1" t="s">
        <v>641</v>
      </c>
      <c r="M539" s="1" t="s">
        <v>76</v>
      </c>
      <c r="N539" s="1" t="s">
        <v>644</v>
      </c>
      <c r="O539" s="1" t="s">
        <v>45</v>
      </c>
      <c r="P539" s="82">
        <v>0.19800000000000001</v>
      </c>
      <c r="Q539" s="1" t="s">
        <v>76</v>
      </c>
      <c r="R539" s="81" t="s">
        <v>222</v>
      </c>
      <c r="S539" s="1">
        <v>3</v>
      </c>
      <c r="T539" s="1" t="s">
        <v>120</v>
      </c>
      <c r="U539" s="1" t="s">
        <v>659</v>
      </c>
      <c r="V539" s="1" t="s">
        <v>655</v>
      </c>
      <c r="W539" s="1">
        <v>53</v>
      </c>
      <c r="X539" s="1" t="s">
        <v>76</v>
      </c>
      <c r="Y539" s="1" t="s">
        <v>644</v>
      </c>
      <c r="Z539" s="1">
        <v>2E-3</v>
      </c>
      <c r="AA539" s="1">
        <v>5.0000000000000001E-3</v>
      </c>
      <c r="AB539" s="1">
        <v>7.0000000000000001E-3</v>
      </c>
      <c r="AC539" s="1">
        <v>0.03</v>
      </c>
      <c r="AD539" s="1">
        <v>8.0000000000000002E-3</v>
      </c>
      <c r="AE539" s="1">
        <v>3.0000000000000001E-3</v>
      </c>
      <c r="AF539" s="1">
        <v>6.0000000000000001E-3</v>
      </c>
      <c r="AG539" s="1">
        <v>0</v>
      </c>
      <c r="AH539" s="1">
        <v>1.2999999999999999E-2</v>
      </c>
      <c r="AI539" s="1">
        <v>1E-3</v>
      </c>
      <c r="AJ539" s="1">
        <v>2E-3</v>
      </c>
      <c r="AK539" s="1">
        <v>3.4000000000000002E-2</v>
      </c>
      <c r="AL539" s="1">
        <v>1E-3</v>
      </c>
      <c r="AM539" s="1">
        <v>2E-3</v>
      </c>
      <c r="AN539" s="1">
        <v>3.0000000000000001E-3</v>
      </c>
      <c r="AO539" s="1">
        <v>6.0000000000000001E-3</v>
      </c>
      <c r="AP539" s="1">
        <v>3.0000000000000001E-3</v>
      </c>
      <c r="AQ539" s="1">
        <v>3.0000000000000001E-3</v>
      </c>
      <c r="AR539" s="1">
        <v>3.0000000000000001E-3</v>
      </c>
      <c r="AS539" s="1">
        <v>2.8000000000000001E-2</v>
      </c>
      <c r="AT539" s="1">
        <v>1.0999999999999999E-2</v>
      </c>
      <c r="AU539" s="1">
        <v>4.0000000000000001E-3</v>
      </c>
      <c r="AV539" s="1">
        <v>2E-3</v>
      </c>
      <c r="AW539" s="1">
        <v>4.7E-2</v>
      </c>
      <c r="AX539" s="1">
        <v>4.0000000000000001E-3</v>
      </c>
      <c r="AY539" s="1">
        <v>8.9999999999999993E-3</v>
      </c>
      <c r="AZ539" s="1">
        <v>0.01</v>
      </c>
      <c r="BA539" s="1">
        <v>2.3E-2</v>
      </c>
      <c r="BB539" s="1">
        <v>4.0000000000000001E-3</v>
      </c>
      <c r="BC539" s="1">
        <v>2E-3</v>
      </c>
      <c r="BD539" s="1">
        <v>2.1999999999999999E-2</v>
      </c>
      <c r="BE539" s="1">
        <v>6.0000000000000001E-3</v>
      </c>
      <c r="BF539" s="1">
        <v>2E-3</v>
      </c>
      <c r="BG539" s="1">
        <v>4.0000000000000001E-3</v>
      </c>
      <c r="BH539" s="1">
        <v>3.0000000000000001E-3</v>
      </c>
      <c r="BI539" s="1">
        <v>4.0000000000000001E-3</v>
      </c>
      <c r="BJ539" s="1">
        <v>3.0000000000000001E-3</v>
      </c>
      <c r="BK539" s="1">
        <v>2E-3</v>
      </c>
      <c r="BL539" s="1">
        <v>0.02</v>
      </c>
      <c r="BM539" s="1">
        <v>4.0000000000000001E-3</v>
      </c>
      <c r="BN539" s="1">
        <v>0.19800000000000001</v>
      </c>
      <c r="BO539" s="1">
        <v>2E-3</v>
      </c>
      <c r="BP539" s="1">
        <v>2E-3</v>
      </c>
      <c r="BQ539" s="1">
        <v>1.2999999999999999E-2</v>
      </c>
      <c r="BR539" s="1">
        <v>4.0000000000000001E-3</v>
      </c>
      <c r="BS539" s="1">
        <v>3.0000000000000001E-3</v>
      </c>
      <c r="BT539" s="1">
        <v>3.0000000000000001E-3</v>
      </c>
      <c r="BU539" s="1">
        <v>3.0000000000000001E-3</v>
      </c>
      <c r="BV539" s="1">
        <v>2E-3</v>
      </c>
      <c r="BW539" s="1">
        <v>0.01</v>
      </c>
      <c r="BX539" s="1">
        <v>1.2E-2</v>
      </c>
      <c r="BY539" s="1">
        <v>1.6E-2</v>
      </c>
      <c r="BZ539" s="1">
        <v>1.6E-2</v>
      </c>
      <c r="CA539" s="1">
        <v>1.2999999999999999E-2</v>
      </c>
      <c r="CB539" s="1">
        <v>6.0000000000000001E-3</v>
      </c>
      <c r="CC539" s="1">
        <v>1.4E-2</v>
      </c>
      <c r="CD539" s="1">
        <v>0</v>
      </c>
      <c r="CE539" s="1">
        <v>4.0000000000000001E-3</v>
      </c>
      <c r="CF539" s="1">
        <v>4.0000000000000001E-3</v>
      </c>
      <c r="CG539" s="1">
        <v>1.2999999999999999E-2</v>
      </c>
      <c r="CH539" s="1">
        <v>1.9E-2</v>
      </c>
      <c r="CI539" s="1">
        <v>0.01</v>
      </c>
      <c r="CJ539" s="1">
        <v>3.2000000000000001E-2</v>
      </c>
      <c r="CK539" s="1">
        <v>5.1999999999999998E-2</v>
      </c>
      <c r="CL539" s="1">
        <v>0.19800000000000001</v>
      </c>
      <c r="CM539" s="1">
        <v>50.89209262</v>
      </c>
      <c r="CN539" s="83">
        <v>-73.683361579999996</v>
      </c>
    </row>
    <row r="540" spans="1:92" s="3" customFormat="1" x14ac:dyDescent="0.25">
      <c r="A540" s="72">
        <v>570</v>
      </c>
      <c r="B540" s="81" t="s">
        <v>1603</v>
      </c>
      <c r="C540" s="1" t="s">
        <v>83</v>
      </c>
      <c r="D540" s="1" t="s">
        <v>73</v>
      </c>
      <c r="E540" s="1" t="s">
        <v>74</v>
      </c>
      <c r="F540" s="1" t="s">
        <v>346</v>
      </c>
      <c r="G540" s="1" t="s">
        <v>76</v>
      </c>
      <c r="H540" s="1" t="s">
        <v>529</v>
      </c>
      <c r="I540" s="1"/>
      <c r="J540" s="9" t="s">
        <v>506</v>
      </c>
      <c r="K540" s="10">
        <v>0.29418149999999998</v>
      </c>
      <c r="L540" s="1" t="s">
        <v>641</v>
      </c>
      <c r="M540" s="1" t="s">
        <v>76</v>
      </c>
      <c r="N540" s="1" t="s">
        <v>644</v>
      </c>
      <c r="O540" s="1" t="s">
        <v>39</v>
      </c>
      <c r="P540" s="82">
        <v>0.32800000000000001</v>
      </c>
      <c r="Q540" s="1" t="s">
        <v>76</v>
      </c>
      <c r="R540" s="81" t="s">
        <v>332</v>
      </c>
      <c r="S540" s="1">
        <v>1</v>
      </c>
      <c r="T540" s="1" t="s">
        <v>120</v>
      </c>
      <c r="U540" s="1" t="s">
        <v>658</v>
      </c>
      <c r="V540" s="1" t="s">
        <v>655</v>
      </c>
      <c r="W540" s="1">
        <v>39</v>
      </c>
      <c r="X540" s="1" t="s">
        <v>76</v>
      </c>
      <c r="Y540" s="1" t="s">
        <v>644</v>
      </c>
      <c r="Z540" s="1">
        <v>0.27300000000000002</v>
      </c>
      <c r="AA540" s="1">
        <v>2E-3</v>
      </c>
      <c r="AB540" s="1">
        <v>2E-3</v>
      </c>
      <c r="AC540" s="1">
        <v>0.13</v>
      </c>
      <c r="AD540" s="1">
        <v>3.0000000000000001E-3</v>
      </c>
      <c r="AE540" s="1">
        <v>3.0000000000000001E-3</v>
      </c>
      <c r="AF540" s="1">
        <v>1E-3</v>
      </c>
      <c r="AG540" s="1">
        <v>0</v>
      </c>
      <c r="AH540" s="1">
        <v>7.1999999999999995E-2</v>
      </c>
      <c r="AI540" s="1">
        <v>8.0000000000000002E-3</v>
      </c>
      <c r="AJ540" s="1">
        <v>1E-3</v>
      </c>
      <c r="AK540" s="1">
        <v>2E-3</v>
      </c>
      <c r="AL540" s="1">
        <v>0</v>
      </c>
      <c r="AM540" s="1">
        <v>1E-3</v>
      </c>
      <c r="AN540" s="1">
        <v>1.0999999999999999E-2</v>
      </c>
      <c r="AO540" s="1">
        <v>3.0000000000000001E-3</v>
      </c>
      <c r="AP540" s="1">
        <v>5.0000000000000001E-3</v>
      </c>
      <c r="AQ540" s="1">
        <v>1E-3</v>
      </c>
      <c r="AR540" s="1">
        <v>0</v>
      </c>
      <c r="AS540" s="1">
        <v>4.0000000000000001E-3</v>
      </c>
      <c r="AT540" s="1">
        <v>3.0000000000000001E-3</v>
      </c>
      <c r="AU540" s="1">
        <v>2E-3</v>
      </c>
      <c r="AV540" s="1">
        <v>2E-3</v>
      </c>
      <c r="AW540" s="1">
        <v>2E-3</v>
      </c>
      <c r="AX540" s="1">
        <v>2E-3</v>
      </c>
      <c r="AY540" s="1">
        <v>5.0000000000000001E-3</v>
      </c>
      <c r="AZ540" s="1">
        <v>2E-3</v>
      </c>
      <c r="BA540" s="1">
        <v>8.9999999999999993E-3</v>
      </c>
      <c r="BB540" s="1">
        <v>1E-3</v>
      </c>
      <c r="BC540" s="1">
        <v>1E-3</v>
      </c>
      <c r="BD540" s="1">
        <v>1.4E-2</v>
      </c>
      <c r="BE540" s="1">
        <v>2E-3</v>
      </c>
      <c r="BF540" s="1">
        <v>1.6E-2</v>
      </c>
      <c r="BG540" s="1">
        <v>1E-3</v>
      </c>
      <c r="BH540" s="1">
        <v>0.32800000000000001</v>
      </c>
      <c r="BI540" s="1">
        <v>1E-3</v>
      </c>
      <c r="BJ540" s="1">
        <v>0</v>
      </c>
      <c r="BK540" s="1">
        <v>1E-3</v>
      </c>
      <c r="BL540" s="1">
        <v>3.0000000000000001E-3</v>
      </c>
      <c r="BM540" s="1">
        <v>2E-3</v>
      </c>
      <c r="BN540" s="1">
        <v>2E-3</v>
      </c>
      <c r="BO540" s="1">
        <v>1E-3</v>
      </c>
      <c r="BP540" s="1">
        <v>0</v>
      </c>
      <c r="BQ540" s="1">
        <v>3.0000000000000001E-3</v>
      </c>
      <c r="BR540" s="1">
        <v>5.0000000000000001E-3</v>
      </c>
      <c r="BS540" s="1">
        <v>1E-3</v>
      </c>
      <c r="BT540" s="1">
        <v>1E-3</v>
      </c>
      <c r="BU540" s="1">
        <v>1E-3</v>
      </c>
      <c r="BV540" s="1">
        <v>1E-3</v>
      </c>
      <c r="BW540" s="1">
        <v>2E-3</v>
      </c>
      <c r="BX540" s="1">
        <v>8.9999999999999993E-3</v>
      </c>
      <c r="BY540" s="1">
        <v>7.0000000000000001E-3</v>
      </c>
      <c r="BZ540" s="1">
        <v>2E-3</v>
      </c>
      <c r="CA540" s="1">
        <v>2E-3</v>
      </c>
      <c r="CB540" s="1">
        <v>1E-3</v>
      </c>
      <c r="CC540" s="1">
        <v>2E-3</v>
      </c>
      <c r="CD540" s="1">
        <v>0</v>
      </c>
      <c r="CE540" s="1">
        <v>2E-3</v>
      </c>
      <c r="CF540" s="1">
        <v>4.0000000000000001E-3</v>
      </c>
      <c r="CG540" s="1">
        <v>8.0000000000000002E-3</v>
      </c>
      <c r="CH540" s="1">
        <v>3.0000000000000001E-3</v>
      </c>
      <c r="CI540" s="1">
        <v>3.0000000000000001E-3</v>
      </c>
      <c r="CJ540" s="1">
        <v>7.0000000000000001E-3</v>
      </c>
      <c r="CK540" s="1">
        <v>1.0999999999999999E-2</v>
      </c>
      <c r="CL540" s="1">
        <v>3.0000000000000001E-3</v>
      </c>
      <c r="CM540" s="1">
        <v>-19.30105064</v>
      </c>
      <c r="CN540" s="83">
        <v>-58.084077999999998</v>
      </c>
    </row>
    <row r="541" spans="1:92" s="3" customFormat="1" x14ac:dyDescent="0.25">
      <c r="A541" s="72">
        <v>571</v>
      </c>
      <c r="B541" s="81" t="s">
        <v>1672</v>
      </c>
      <c r="C541" s="1" t="s">
        <v>83</v>
      </c>
      <c r="D541" s="1" t="s">
        <v>73</v>
      </c>
      <c r="E541" s="1" t="s">
        <v>99</v>
      </c>
      <c r="F541" s="1" t="s">
        <v>346</v>
      </c>
      <c r="G541" s="1" t="s">
        <v>76</v>
      </c>
      <c r="H541" s="1" t="s">
        <v>529</v>
      </c>
      <c r="I541" s="1"/>
      <c r="J541" s="9" t="s">
        <v>506</v>
      </c>
      <c r="K541" s="10">
        <v>0.42496566666666702</v>
      </c>
      <c r="L541" s="1" t="s">
        <v>633</v>
      </c>
      <c r="M541" s="1" t="s">
        <v>506</v>
      </c>
      <c r="N541" s="1" t="s">
        <v>648</v>
      </c>
      <c r="O541" s="1" t="s">
        <v>68</v>
      </c>
      <c r="P541" s="82">
        <v>0.98099999999999998</v>
      </c>
      <c r="Q541" s="1" t="s">
        <v>76</v>
      </c>
      <c r="R541" s="81" t="s">
        <v>194</v>
      </c>
      <c r="S541" s="1">
        <v>1</v>
      </c>
      <c r="T541" s="1" t="s">
        <v>120</v>
      </c>
      <c r="U541" s="1" t="s">
        <v>658</v>
      </c>
      <c r="V541" s="1" t="s">
        <v>655</v>
      </c>
      <c r="W541" s="1">
        <v>57</v>
      </c>
      <c r="X541" s="1" t="s">
        <v>76</v>
      </c>
      <c r="Y541" s="1" t="s">
        <v>648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0.98099999999999998</v>
      </c>
      <c r="CL541" s="1">
        <v>1.9E-2</v>
      </c>
      <c r="CM541" s="1">
        <v>9.2256300739999997</v>
      </c>
      <c r="CN541" s="83">
        <v>-76.429394130000006</v>
      </c>
    </row>
    <row r="542" spans="1:92" s="3" customFormat="1" x14ac:dyDescent="0.25">
      <c r="A542" s="72">
        <v>572</v>
      </c>
      <c r="B542" s="81" t="s">
        <v>1495</v>
      </c>
      <c r="C542" s="1" t="s">
        <v>83</v>
      </c>
      <c r="D542" s="1" t="s">
        <v>73</v>
      </c>
      <c r="E542" s="1" t="s">
        <v>74</v>
      </c>
      <c r="F542" s="1" t="s">
        <v>346</v>
      </c>
      <c r="G542" s="1" t="s">
        <v>76</v>
      </c>
      <c r="H542" s="1" t="s">
        <v>529</v>
      </c>
      <c r="I542" s="1"/>
      <c r="J542" s="9" t="s">
        <v>506</v>
      </c>
      <c r="K542" s="10">
        <v>0.28134416666666701</v>
      </c>
      <c r="L542" s="1" t="s">
        <v>633</v>
      </c>
      <c r="M542" s="1" t="s">
        <v>506</v>
      </c>
      <c r="N542" s="1" t="s">
        <v>648</v>
      </c>
      <c r="O542" s="1" t="s">
        <v>37</v>
      </c>
      <c r="P542" s="82">
        <v>0.999</v>
      </c>
      <c r="Q542" s="1" t="s">
        <v>76</v>
      </c>
      <c r="R542" s="81" t="s">
        <v>124</v>
      </c>
      <c r="S542" s="1">
        <v>1</v>
      </c>
      <c r="T542" s="1" t="s">
        <v>120</v>
      </c>
      <c r="U542" s="1" t="s">
        <v>658</v>
      </c>
      <c r="V542" s="1" t="s">
        <v>655</v>
      </c>
      <c r="W542" s="1">
        <v>38</v>
      </c>
      <c r="X542" s="1" t="s">
        <v>76</v>
      </c>
      <c r="Y542" s="1" t="s">
        <v>648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0.999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-23.41503994</v>
      </c>
      <c r="CN542" s="83">
        <v>-55.546808230000003</v>
      </c>
    </row>
    <row r="543" spans="1:92" s="3" customFormat="1" x14ac:dyDescent="0.25">
      <c r="A543" s="72">
        <v>738</v>
      </c>
      <c r="B543" s="81" t="s">
        <v>822</v>
      </c>
      <c r="C543" s="1" t="s">
        <v>83</v>
      </c>
      <c r="D543" s="1" t="s">
        <v>73</v>
      </c>
      <c r="E543" s="1" t="s">
        <v>99</v>
      </c>
      <c r="F543" s="1" t="s">
        <v>211</v>
      </c>
      <c r="G543" s="1" t="s">
        <v>76</v>
      </c>
      <c r="H543" s="1" t="s">
        <v>212</v>
      </c>
      <c r="I543" s="1"/>
      <c r="J543" s="9" t="s">
        <v>544</v>
      </c>
      <c r="K543" s="10">
        <v>0.40298</v>
      </c>
      <c r="L543" s="1" t="s">
        <v>591</v>
      </c>
      <c r="M543" s="1" t="s">
        <v>506</v>
      </c>
      <c r="N543" s="96" t="s">
        <v>647</v>
      </c>
      <c r="O543" s="1" t="s">
        <v>22</v>
      </c>
      <c r="P543" s="82">
        <v>0.95299999999999996</v>
      </c>
      <c r="Q543" s="1" t="s">
        <v>76</v>
      </c>
      <c r="R543" s="81" t="s">
        <v>392</v>
      </c>
      <c r="S543" s="1">
        <v>3</v>
      </c>
      <c r="T543" s="1" t="s">
        <v>120</v>
      </c>
      <c r="U543" s="1" t="s">
        <v>658</v>
      </c>
      <c r="V543" s="1" t="s">
        <v>655</v>
      </c>
      <c r="W543" s="1">
        <v>76</v>
      </c>
      <c r="X543" s="1" t="s">
        <v>394</v>
      </c>
      <c r="Y543" s="1" t="s">
        <v>647</v>
      </c>
      <c r="Z543" s="1">
        <v>0</v>
      </c>
      <c r="AA543" s="1">
        <v>0</v>
      </c>
      <c r="AB543" s="1">
        <v>1E-3</v>
      </c>
      <c r="AC543" s="1">
        <v>4.0000000000000001E-3</v>
      </c>
      <c r="AD543" s="1">
        <v>4.0000000000000001E-3</v>
      </c>
      <c r="AE543" s="1">
        <v>0</v>
      </c>
      <c r="AF543" s="1">
        <v>0</v>
      </c>
      <c r="AG543" s="1">
        <v>0</v>
      </c>
      <c r="AH543" s="1">
        <v>1E-3</v>
      </c>
      <c r="AI543" s="1">
        <v>0</v>
      </c>
      <c r="AJ543" s="1">
        <v>0</v>
      </c>
      <c r="AK543" s="1">
        <v>2E-3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0.95299999999999996</v>
      </c>
      <c r="AR543" s="1">
        <v>0</v>
      </c>
      <c r="AS543" s="1">
        <v>1E-3</v>
      </c>
      <c r="AT543" s="1">
        <v>1E-3</v>
      </c>
      <c r="AU543" s="1">
        <v>0</v>
      </c>
      <c r="AV543" s="1">
        <v>0</v>
      </c>
      <c r="AW543" s="1">
        <v>1E-3</v>
      </c>
      <c r="AX543" s="1">
        <v>0</v>
      </c>
      <c r="AY543" s="1">
        <v>1E-3</v>
      </c>
      <c r="AZ543" s="1">
        <v>1E-3</v>
      </c>
      <c r="BA543" s="1">
        <v>1E-3</v>
      </c>
      <c r="BB543" s="1">
        <v>0</v>
      </c>
      <c r="BC543" s="1">
        <v>0</v>
      </c>
      <c r="BD543" s="1">
        <v>2E-3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1E-3</v>
      </c>
      <c r="BM543" s="1">
        <v>0</v>
      </c>
      <c r="BN543" s="1">
        <v>1E-3</v>
      </c>
      <c r="BO543" s="1">
        <v>0</v>
      </c>
      <c r="BP543" s="1">
        <v>0</v>
      </c>
      <c r="BQ543" s="1">
        <v>1E-3</v>
      </c>
      <c r="BR543" s="1">
        <v>0</v>
      </c>
      <c r="BS543" s="1">
        <v>0</v>
      </c>
      <c r="BT543" s="1">
        <v>0</v>
      </c>
      <c r="BU543" s="1">
        <v>1E-3</v>
      </c>
      <c r="BV543" s="1">
        <v>0</v>
      </c>
      <c r="BW543" s="1">
        <v>0</v>
      </c>
      <c r="BX543" s="1">
        <v>1E-3</v>
      </c>
      <c r="BY543" s="1">
        <v>4.0000000000000001E-3</v>
      </c>
      <c r="BZ543" s="1">
        <v>2E-3</v>
      </c>
      <c r="CA543" s="1">
        <v>0</v>
      </c>
      <c r="CB543" s="1">
        <v>0</v>
      </c>
      <c r="CC543" s="1">
        <v>1E-3</v>
      </c>
      <c r="CD543" s="1">
        <v>0</v>
      </c>
      <c r="CE543" s="1">
        <v>0</v>
      </c>
      <c r="CF543" s="1">
        <v>0</v>
      </c>
      <c r="CG543" s="1">
        <v>1E-3</v>
      </c>
      <c r="CH543" s="1">
        <v>1E-3</v>
      </c>
      <c r="CI543" s="1">
        <v>1E-3</v>
      </c>
      <c r="CJ543" s="1">
        <v>1E-3</v>
      </c>
      <c r="CK543" s="1">
        <v>1E-3</v>
      </c>
      <c r="CL543" s="1">
        <v>2E-3</v>
      </c>
      <c r="CM543" s="1">
        <v>-86.533316209999995</v>
      </c>
      <c r="CN543" s="83">
        <v>-25.707999040000001</v>
      </c>
    </row>
    <row r="544" spans="1:92" s="3" customFormat="1" x14ac:dyDescent="0.25">
      <c r="A544" s="72">
        <v>574</v>
      </c>
      <c r="B544" s="81" t="s">
        <v>842</v>
      </c>
      <c r="C544" s="1" t="s">
        <v>83</v>
      </c>
      <c r="D544" s="1" t="s">
        <v>73</v>
      </c>
      <c r="E544" s="1" t="s">
        <v>99</v>
      </c>
      <c r="F544" s="1" t="s">
        <v>93</v>
      </c>
      <c r="G544" s="1" t="s">
        <v>80</v>
      </c>
      <c r="H544" s="1" t="s">
        <v>34</v>
      </c>
      <c r="I544" s="1"/>
      <c r="J544" s="9" t="s">
        <v>544</v>
      </c>
      <c r="K544" s="10">
        <v>0.33960066666666699</v>
      </c>
      <c r="L544" s="1" t="s">
        <v>76</v>
      </c>
      <c r="M544" s="1" t="s">
        <v>506</v>
      </c>
      <c r="N544" s="1" t="s">
        <v>645</v>
      </c>
      <c r="O544" s="1" t="s">
        <v>34</v>
      </c>
      <c r="P544" s="82">
        <v>0.998</v>
      </c>
      <c r="Q544" s="1" t="s">
        <v>76</v>
      </c>
      <c r="R544" s="81" t="s">
        <v>77</v>
      </c>
      <c r="S544" s="1" t="s">
        <v>76</v>
      </c>
      <c r="T544" s="1" t="s">
        <v>78</v>
      </c>
      <c r="U544" s="1" t="s">
        <v>658</v>
      </c>
      <c r="V544" s="1" t="s">
        <v>655</v>
      </c>
      <c r="W544" s="1">
        <v>32</v>
      </c>
      <c r="X544" s="1" t="s">
        <v>76</v>
      </c>
      <c r="Y544" s="1" t="s">
        <v>645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1E-3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0.998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44.403646279999997</v>
      </c>
      <c r="CN544" s="83">
        <v>-0.88556694400000002</v>
      </c>
    </row>
    <row r="545" spans="1:92" s="3" customFormat="1" x14ac:dyDescent="0.25">
      <c r="A545" s="72">
        <v>575</v>
      </c>
      <c r="B545" s="81" t="s">
        <v>1390</v>
      </c>
      <c r="C545" s="1" t="s">
        <v>83</v>
      </c>
      <c r="D545" s="1" t="s">
        <v>73</v>
      </c>
      <c r="E545" s="1" t="s">
        <v>74</v>
      </c>
      <c r="F545" s="1" t="s">
        <v>89</v>
      </c>
      <c r="G545" s="1" t="s">
        <v>76</v>
      </c>
      <c r="H545" s="1" t="s">
        <v>68</v>
      </c>
      <c r="I545" s="1"/>
      <c r="J545" s="9" t="s">
        <v>544</v>
      </c>
      <c r="K545" s="10">
        <v>0.30040166666666701</v>
      </c>
      <c r="L545" s="1" t="s">
        <v>641</v>
      </c>
      <c r="M545" s="1" t="s">
        <v>76</v>
      </c>
      <c r="N545" s="1" t="s">
        <v>644</v>
      </c>
      <c r="O545" s="1" t="s">
        <v>68</v>
      </c>
      <c r="P545" s="82">
        <v>0.28199999999999997</v>
      </c>
      <c r="Q545" s="1" t="s">
        <v>76</v>
      </c>
      <c r="R545" s="81" t="s">
        <v>138</v>
      </c>
      <c r="S545" s="1" t="s">
        <v>76</v>
      </c>
      <c r="T545" s="1" t="s">
        <v>78</v>
      </c>
      <c r="U545" s="1" t="s">
        <v>658</v>
      </c>
      <c r="V545" s="1" t="s">
        <v>655</v>
      </c>
      <c r="W545" s="1">
        <v>7</v>
      </c>
      <c r="X545" s="1" t="s">
        <v>348</v>
      </c>
      <c r="Y545" s="1" t="s">
        <v>644</v>
      </c>
      <c r="Z545" s="1">
        <v>0.13700000000000001</v>
      </c>
      <c r="AA545" s="1">
        <v>3.0000000000000001E-3</v>
      </c>
      <c r="AB545" s="1">
        <v>2E-3</v>
      </c>
      <c r="AC545" s="1">
        <v>1.0999999999999999E-2</v>
      </c>
      <c r="AD545" s="1">
        <v>5.0000000000000001E-3</v>
      </c>
      <c r="AE545" s="1">
        <v>5.0000000000000001E-3</v>
      </c>
      <c r="AF545" s="1">
        <v>3.0000000000000001E-3</v>
      </c>
      <c r="AG545" s="1">
        <v>0</v>
      </c>
      <c r="AH545" s="1">
        <v>2.4E-2</v>
      </c>
      <c r="AI545" s="1">
        <v>2E-3</v>
      </c>
      <c r="AJ545" s="1">
        <v>1.7999999999999999E-2</v>
      </c>
      <c r="AK545" s="1">
        <v>3.0000000000000001E-3</v>
      </c>
      <c r="AL545" s="1">
        <v>0</v>
      </c>
      <c r="AM545" s="1">
        <v>2E-3</v>
      </c>
      <c r="AN545" s="1">
        <v>0.121</v>
      </c>
      <c r="AO545" s="1">
        <v>2E-3</v>
      </c>
      <c r="AP545" s="1">
        <v>1E-3</v>
      </c>
      <c r="AQ545" s="1">
        <v>1E-3</v>
      </c>
      <c r="AR545" s="1">
        <v>0.02</v>
      </c>
      <c r="AS545" s="1">
        <v>4.0000000000000001E-3</v>
      </c>
      <c r="AT545" s="1">
        <v>2E-3</v>
      </c>
      <c r="AU545" s="1">
        <v>5.0000000000000001E-3</v>
      </c>
      <c r="AV545" s="1">
        <v>4.0000000000000001E-3</v>
      </c>
      <c r="AW545" s="1">
        <v>2E-3</v>
      </c>
      <c r="AX545" s="1">
        <v>6.0000000000000001E-3</v>
      </c>
      <c r="AY545" s="1">
        <v>4.0000000000000001E-3</v>
      </c>
      <c r="AZ545" s="1">
        <v>5.0000000000000001E-3</v>
      </c>
      <c r="BA545" s="1">
        <v>7.0000000000000001E-3</v>
      </c>
      <c r="BB545" s="1">
        <v>4.0000000000000001E-3</v>
      </c>
      <c r="BC545" s="1">
        <v>2E-3</v>
      </c>
      <c r="BD545" s="1">
        <v>1.0999999999999999E-2</v>
      </c>
      <c r="BE545" s="1">
        <v>2E-3</v>
      </c>
      <c r="BF545" s="1">
        <v>3.3000000000000002E-2</v>
      </c>
      <c r="BG545" s="1">
        <v>0</v>
      </c>
      <c r="BH545" s="1">
        <v>2E-3</v>
      </c>
      <c r="BI545" s="1">
        <v>1E-3</v>
      </c>
      <c r="BJ545" s="1">
        <v>1E-3</v>
      </c>
      <c r="BK545" s="1">
        <v>1E-3</v>
      </c>
      <c r="BL545" s="1">
        <v>2E-3</v>
      </c>
      <c r="BM545" s="1">
        <v>2E-3</v>
      </c>
      <c r="BN545" s="1">
        <v>2E-3</v>
      </c>
      <c r="BO545" s="1">
        <v>5.0000000000000001E-3</v>
      </c>
      <c r="BP545" s="1">
        <v>2E-3</v>
      </c>
      <c r="BQ545" s="1">
        <v>3.0000000000000001E-3</v>
      </c>
      <c r="BR545" s="1">
        <v>2E-3</v>
      </c>
      <c r="BS545" s="1">
        <v>2.7E-2</v>
      </c>
      <c r="BT545" s="1">
        <v>1E-3</v>
      </c>
      <c r="BU545" s="1">
        <v>2E-3</v>
      </c>
      <c r="BV545" s="1">
        <v>3.0000000000000001E-3</v>
      </c>
      <c r="BW545" s="1">
        <v>2E-3</v>
      </c>
      <c r="BX545" s="1">
        <v>0.16700000000000001</v>
      </c>
      <c r="BY545" s="1">
        <v>5.0000000000000001E-3</v>
      </c>
      <c r="BZ545" s="1">
        <v>5.0000000000000001E-3</v>
      </c>
      <c r="CA545" s="1">
        <v>4.0000000000000001E-3</v>
      </c>
      <c r="CB545" s="1">
        <v>1E-3</v>
      </c>
      <c r="CC545" s="1">
        <v>2E-3</v>
      </c>
      <c r="CD545" s="1">
        <v>0</v>
      </c>
      <c r="CE545" s="1">
        <v>2E-3</v>
      </c>
      <c r="CF545" s="1">
        <v>2E-3</v>
      </c>
      <c r="CG545" s="1">
        <v>4.0000000000000001E-3</v>
      </c>
      <c r="CH545" s="1">
        <v>3.0000000000000001E-3</v>
      </c>
      <c r="CI545" s="1">
        <v>2E-3</v>
      </c>
      <c r="CJ545" s="1">
        <v>4.0000000000000001E-3</v>
      </c>
      <c r="CK545" s="1">
        <v>0.28199999999999997</v>
      </c>
      <c r="CL545" s="1">
        <v>5.0000000000000001E-3</v>
      </c>
      <c r="CM545" s="1">
        <v>-13.73668503</v>
      </c>
      <c r="CN545" s="83">
        <v>-9.4889472680000004</v>
      </c>
    </row>
    <row r="546" spans="1:92" s="3" customFormat="1" x14ac:dyDescent="0.25">
      <c r="A546" s="72">
        <v>578</v>
      </c>
      <c r="B546" s="81" t="s">
        <v>1679</v>
      </c>
      <c r="C546" s="1" t="s">
        <v>83</v>
      </c>
      <c r="D546" s="1" t="s">
        <v>73</v>
      </c>
      <c r="E546" s="1" t="s">
        <v>74</v>
      </c>
      <c r="F546" s="1" t="s">
        <v>202</v>
      </c>
      <c r="G546" s="1" t="s">
        <v>219</v>
      </c>
      <c r="H546" s="1" t="s">
        <v>203</v>
      </c>
      <c r="I546" s="1"/>
      <c r="J546" s="9" t="s">
        <v>544</v>
      </c>
      <c r="K546" s="10">
        <v>0.30178583333333298</v>
      </c>
      <c r="L546" s="1" t="s">
        <v>641</v>
      </c>
      <c r="M546" s="1" t="s">
        <v>76</v>
      </c>
      <c r="N546" s="1" t="s">
        <v>644</v>
      </c>
      <c r="O546" s="1" t="s">
        <v>5</v>
      </c>
      <c r="P546" s="82">
        <v>0.66700000000000004</v>
      </c>
      <c r="Q546" s="1" t="s">
        <v>76</v>
      </c>
      <c r="R546" s="81" t="s">
        <v>164</v>
      </c>
      <c r="S546" s="1">
        <v>3</v>
      </c>
      <c r="T546" s="1" t="s">
        <v>120</v>
      </c>
      <c r="U546" s="1" t="s">
        <v>658</v>
      </c>
      <c r="V546" s="1" t="s">
        <v>655</v>
      </c>
      <c r="W546" s="1">
        <v>70</v>
      </c>
      <c r="X546" s="1" t="s">
        <v>76</v>
      </c>
      <c r="Y546" s="1" t="s">
        <v>644</v>
      </c>
      <c r="Z546" s="1">
        <v>0.66700000000000004</v>
      </c>
      <c r="AA546" s="1">
        <v>0</v>
      </c>
      <c r="AB546" s="1">
        <v>0</v>
      </c>
      <c r="AC546" s="1">
        <v>4.7E-2</v>
      </c>
      <c r="AD546" s="1">
        <v>1E-3</v>
      </c>
      <c r="AE546" s="1">
        <v>1E-3</v>
      </c>
      <c r="AF546" s="1">
        <v>0</v>
      </c>
      <c r="AG546" s="1">
        <v>0</v>
      </c>
      <c r="AH546" s="1">
        <v>3.1E-2</v>
      </c>
      <c r="AI546" s="1">
        <v>4.0000000000000001E-3</v>
      </c>
      <c r="AJ546" s="1">
        <v>0</v>
      </c>
      <c r="AK546" s="1">
        <v>1E-3</v>
      </c>
      <c r="AL546" s="1">
        <v>0</v>
      </c>
      <c r="AM546" s="1">
        <v>0</v>
      </c>
      <c r="AN546" s="1">
        <v>2.1000000000000001E-2</v>
      </c>
      <c r="AO546" s="1">
        <v>0</v>
      </c>
      <c r="AP546" s="1">
        <v>1E-3</v>
      </c>
      <c r="AQ546" s="1">
        <v>0</v>
      </c>
      <c r="AR546" s="1">
        <v>0</v>
      </c>
      <c r="AS546" s="1">
        <v>1E-3</v>
      </c>
      <c r="AT546" s="1">
        <v>1E-3</v>
      </c>
      <c r="AU546" s="1">
        <v>0</v>
      </c>
      <c r="AV546" s="1">
        <v>1E-3</v>
      </c>
      <c r="AW546" s="1">
        <v>0</v>
      </c>
      <c r="AX546" s="1">
        <v>0</v>
      </c>
      <c r="AY546" s="1">
        <v>1E-3</v>
      </c>
      <c r="AZ546" s="1">
        <v>1E-3</v>
      </c>
      <c r="BA546" s="1">
        <v>2E-3</v>
      </c>
      <c r="BB546" s="1">
        <v>0</v>
      </c>
      <c r="BC546" s="1">
        <v>0</v>
      </c>
      <c r="BD546" s="1">
        <v>3.0000000000000001E-3</v>
      </c>
      <c r="BE546" s="1">
        <v>1E-3</v>
      </c>
      <c r="BF546" s="1">
        <v>0.17699999999999999</v>
      </c>
      <c r="BG546" s="1">
        <v>0</v>
      </c>
      <c r="BH546" s="1">
        <v>8.0000000000000002E-3</v>
      </c>
      <c r="BI546" s="1">
        <v>0</v>
      </c>
      <c r="BJ546" s="1">
        <v>0</v>
      </c>
      <c r="BK546" s="1">
        <v>0</v>
      </c>
      <c r="BL546" s="1">
        <v>1E-3</v>
      </c>
      <c r="BM546" s="1">
        <v>1E-3</v>
      </c>
      <c r="BN546" s="1">
        <v>1E-3</v>
      </c>
      <c r="BO546" s="1">
        <v>0</v>
      </c>
      <c r="BP546" s="1">
        <v>0</v>
      </c>
      <c r="BQ546" s="1">
        <v>1E-3</v>
      </c>
      <c r="BR546" s="1">
        <v>1E-3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6.0000000000000001E-3</v>
      </c>
      <c r="BY546" s="1">
        <v>2E-3</v>
      </c>
      <c r="BZ546" s="1">
        <v>1E-3</v>
      </c>
      <c r="CA546" s="1">
        <v>1E-3</v>
      </c>
      <c r="CB546" s="1">
        <v>0</v>
      </c>
      <c r="CC546" s="1">
        <v>0</v>
      </c>
      <c r="CD546" s="1">
        <v>0</v>
      </c>
      <c r="CE546" s="1">
        <v>0</v>
      </c>
      <c r="CF546" s="1">
        <v>1E-3</v>
      </c>
      <c r="CG546" s="1">
        <v>3.0000000000000001E-3</v>
      </c>
      <c r="CH546" s="1">
        <v>1E-3</v>
      </c>
      <c r="CI546" s="1">
        <v>1E-3</v>
      </c>
      <c r="CJ546" s="1">
        <v>1E-3</v>
      </c>
      <c r="CK546" s="1">
        <v>3.0000000000000001E-3</v>
      </c>
      <c r="CL546" s="1">
        <v>1E-3</v>
      </c>
      <c r="CM546" s="1">
        <v>-5.0344015539999996</v>
      </c>
      <c r="CN546" s="83">
        <v>-52.053191570000003</v>
      </c>
    </row>
    <row r="547" spans="1:92" s="3" customFormat="1" x14ac:dyDescent="0.25">
      <c r="A547" s="72">
        <v>579</v>
      </c>
      <c r="B547" s="81" t="s">
        <v>977</v>
      </c>
      <c r="C547" s="1" t="s">
        <v>83</v>
      </c>
      <c r="D547" s="1" t="s">
        <v>73</v>
      </c>
      <c r="E547" s="1" t="s">
        <v>74</v>
      </c>
      <c r="F547" s="1" t="s">
        <v>128</v>
      </c>
      <c r="G547" s="1" t="s">
        <v>303</v>
      </c>
      <c r="H547" s="1" t="s">
        <v>570</v>
      </c>
      <c r="I547" s="1"/>
      <c r="J547" s="9" t="s">
        <v>544</v>
      </c>
      <c r="K547" s="10">
        <v>0.48338116666666597</v>
      </c>
      <c r="L547" s="1" t="s">
        <v>641</v>
      </c>
      <c r="M547" s="1" t="s">
        <v>76</v>
      </c>
      <c r="N547" s="1" t="s">
        <v>644</v>
      </c>
      <c r="O547" s="1" t="s">
        <v>68</v>
      </c>
      <c r="P547" s="82">
        <v>0.17699999999999999</v>
      </c>
      <c r="Q547" s="1" t="s">
        <v>76</v>
      </c>
      <c r="R547" s="81" t="s">
        <v>323</v>
      </c>
      <c r="S547" s="1">
        <v>3</v>
      </c>
      <c r="T547" s="1" t="s">
        <v>78</v>
      </c>
      <c r="U547" s="1" t="s">
        <v>658</v>
      </c>
      <c r="V547" s="1" t="s">
        <v>654</v>
      </c>
      <c r="W547" s="1">
        <v>17</v>
      </c>
      <c r="X547" s="1" t="s">
        <v>304</v>
      </c>
      <c r="Y547" s="1" t="s">
        <v>644</v>
      </c>
      <c r="Z547" s="1">
        <v>2E-3</v>
      </c>
      <c r="AA547" s="1">
        <v>4.3999999999999997E-2</v>
      </c>
      <c r="AB547" s="1">
        <v>7.0000000000000001E-3</v>
      </c>
      <c r="AC547" s="1">
        <v>0.09</v>
      </c>
      <c r="AD547" s="1">
        <v>8.0000000000000002E-3</v>
      </c>
      <c r="AE547" s="1">
        <v>6.0000000000000001E-3</v>
      </c>
      <c r="AF547" s="1">
        <v>6.0000000000000001E-3</v>
      </c>
      <c r="AG547" s="1">
        <v>1E-3</v>
      </c>
      <c r="AH547" s="1">
        <v>1.6E-2</v>
      </c>
      <c r="AI547" s="1">
        <v>2E-3</v>
      </c>
      <c r="AJ547" s="1">
        <v>3.0000000000000001E-3</v>
      </c>
      <c r="AK547" s="1">
        <v>1.7000000000000001E-2</v>
      </c>
      <c r="AL547" s="1">
        <v>2E-3</v>
      </c>
      <c r="AM547" s="1">
        <v>2E-3</v>
      </c>
      <c r="AN547" s="1">
        <v>3.0000000000000001E-3</v>
      </c>
      <c r="AO547" s="1">
        <v>8.9999999999999993E-3</v>
      </c>
      <c r="AP547" s="1">
        <v>5.0000000000000001E-3</v>
      </c>
      <c r="AQ547" s="1">
        <v>3.0000000000000001E-3</v>
      </c>
      <c r="AR547" s="1">
        <v>4.0000000000000001E-3</v>
      </c>
      <c r="AS547" s="1">
        <v>3.1E-2</v>
      </c>
      <c r="AT547" s="1">
        <v>1.7000000000000001E-2</v>
      </c>
      <c r="AU547" s="1">
        <v>6.0000000000000001E-3</v>
      </c>
      <c r="AV547" s="1">
        <v>3.0000000000000001E-3</v>
      </c>
      <c r="AW547" s="1">
        <v>8.0000000000000002E-3</v>
      </c>
      <c r="AX547" s="1">
        <v>5.0000000000000001E-3</v>
      </c>
      <c r="AY547" s="1">
        <v>8.0000000000000002E-3</v>
      </c>
      <c r="AZ547" s="1">
        <v>1.4E-2</v>
      </c>
      <c r="BA547" s="1">
        <v>2.1000000000000001E-2</v>
      </c>
      <c r="BB547" s="1">
        <v>5.0000000000000001E-3</v>
      </c>
      <c r="BC547" s="1">
        <v>3.0000000000000001E-3</v>
      </c>
      <c r="BD547" s="1">
        <v>0.03</v>
      </c>
      <c r="BE547" s="1">
        <v>1.2999999999999999E-2</v>
      </c>
      <c r="BF547" s="1">
        <v>2E-3</v>
      </c>
      <c r="BG547" s="1">
        <v>8.0000000000000002E-3</v>
      </c>
      <c r="BH547" s="1">
        <v>6.0000000000000001E-3</v>
      </c>
      <c r="BI547" s="1">
        <v>3.0000000000000001E-3</v>
      </c>
      <c r="BJ547" s="1">
        <v>2E-3</v>
      </c>
      <c r="BK547" s="1">
        <v>3.0000000000000001E-3</v>
      </c>
      <c r="BL547" s="1">
        <v>1.9E-2</v>
      </c>
      <c r="BM547" s="1">
        <v>6.0000000000000001E-3</v>
      </c>
      <c r="BN547" s="1">
        <v>2.7E-2</v>
      </c>
      <c r="BO547" s="1">
        <v>3.0000000000000001E-3</v>
      </c>
      <c r="BP547" s="1">
        <v>2E-3</v>
      </c>
      <c r="BQ547" s="1">
        <v>1.9E-2</v>
      </c>
      <c r="BR547" s="1">
        <v>6.0000000000000001E-3</v>
      </c>
      <c r="BS547" s="1">
        <v>5.0000000000000001E-3</v>
      </c>
      <c r="BT547" s="1">
        <v>4.0000000000000001E-3</v>
      </c>
      <c r="BU547" s="1">
        <v>3.0000000000000001E-3</v>
      </c>
      <c r="BV547" s="1">
        <v>3.0000000000000001E-3</v>
      </c>
      <c r="BW547" s="1">
        <v>7.0000000000000001E-3</v>
      </c>
      <c r="BX547" s="1">
        <v>0.09</v>
      </c>
      <c r="BY547" s="1">
        <v>2.7E-2</v>
      </c>
      <c r="BZ547" s="1">
        <v>2.1000000000000001E-2</v>
      </c>
      <c r="CA547" s="1">
        <v>1.9E-2</v>
      </c>
      <c r="CB547" s="1">
        <v>1.2E-2</v>
      </c>
      <c r="CC547" s="1">
        <v>2.7E-2</v>
      </c>
      <c r="CD547" s="1">
        <v>1E-3</v>
      </c>
      <c r="CE547" s="1">
        <v>6.0000000000000001E-3</v>
      </c>
      <c r="CF547" s="1">
        <v>7.0000000000000001E-3</v>
      </c>
      <c r="CG547" s="1">
        <v>1.7000000000000001E-2</v>
      </c>
      <c r="CH547" s="1">
        <v>1.0999999999999999E-2</v>
      </c>
      <c r="CI547" s="1">
        <v>0.01</v>
      </c>
      <c r="CJ547" s="1">
        <v>3.3000000000000002E-2</v>
      </c>
      <c r="CK547" s="1">
        <v>0.17699999999999999</v>
      </c>
      <c r="CL547" s="1">
        <v>0.02</v>
      </c>
      <c r="CM547" s="1">
        <v>73.647063840000001</v>
      </c>
      <c r="CN547" s="83">
        <v>20.91249242</v>
      </c>
    </row>
    <row r="548" spans="1:92" s="3" customFormat="1" x14ac:dyDescent="0.25">
      <c r="A548" s="72">
        <v>580</v>
      </c>
      <c r="B548" s="81" t="s">
        <v>1166</v>
      </c>
      <c r="C548" s="1" t="s">
        <v>83</v>
      </c>
      <c r="D548" s="1" t="s">
        <v>73</v>
      </c>
      <c r="E548" s="1" t="s">
        <v>195</v>
      </c>
      <c r="F548" s="1" t="s">
        <v>128</v>
      </c>
      <c r="G548" s="1" t="s">
        <v>303</v>
      </c>
      <c r="H548" s="1" t="s">
        <v>570</v>
      </c>
      <c r="I548" s="1"/>
      <c r="J548" s="9" t="s">
        <v>544</v>
      </c>
      <c r="K548" s="10">
        <v>0.35262549999999998</v>
      </c>
      <c r="L548" s="1" t="s">
        <v>76</v>
      </c>
      <c r="M548" s="1" t="s">
        <v>506</v>
      </c>
      <c r="N548" s="1" t="s">
        <v>645</v>
      </c>
      <c r="O548" s="1" t="s">
        <v>55</v>
      </c>
      <c r="P548" s="82">
        <v>0.94799999999999995</v>
      </c>
      <c r="Q548" s="1" t="s">
        <v>76</v>
      </c>
      <c r="R548" s="81" t="s">
        <v>243</v>
      </c>
      <c r="S548" s="1">
        <v>3</v>
      </c>
      <c r="T548" s="1" t="s">
        <v>78</v>
      </c>
      <c r="U548" s="1" t="s">
        <v>658</v>
      </c>
      <c r="V548" s="1" t="s">
        <v>654</v>
      </c>
      <c r="W548" s="1">
        <v>28</v>
      </c>
      <c r="X548" s="1" t="s">
        <v>304</v>
      </c>
      <c r="Y548" s="1" t="s">
        <v>645</v>
      </c>
      <c r="Z548" s="1">
        <v>3.0000000000000001E-3</v>
      </c>
      <c r="AA548" s="1">
        <v>0</v>
      </c>
      <c r="AB548" s="1">
        <v>0</v>
      </c>
      <c r="AC548" s="1">
        <v>2E-3</v>
      </c>
      <c r="AD548" s="1">
        <v>0</v>
      </c>
      <c r="AE548" s="1">
        <v>1E-3</v>
      </c>
      <c r="AF548" s="1">
        <v>0</v>
      </c>
      <c r="AG548" s="1">
        <v>0</v>
      </c>
      <c r="AH548" s="1">
        <v>2E-3</v>
      </c>
      <c r="AI548" s="1">
        <v>0</v>
      </c>
      <c r="AJ548" s="1">
        <v>2E-3</v>
      </c>
      <c r="AK548" s="1">
        <v>0</v>
      </c>
      <c r="AL548" s="1">
        <v>0</v>
      </c>
      <c r="AM548" s="1">
        <v>0</v>
      </c>
      <c r="AN548" s="1">
        <v>1.0999999999999999E-2</v>
      </c>
      <c r="AO548" s="1">
        <v>0</v>
      </c>
      <c r="AP548" s="1">
        <v>0</v>
      </c>
      <c r="AQ548" s="1">
        <v>0</v>
      </c>
      <c r="AR548" s="1">
        <v>0</v>
      </c>
      <c r="AS548" s="1">
        <v>1E-3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1E-3</v>
      </c>
      <c r="BB548" s="1">
        <v>1E-3</v>
      </c>
      <c r="BC548" s="1">
        <v>0</v>
      </c>
      <c r="BD548" s="1">
        <v>1E-3</v>
      </c>
      <c r="BE548" s="1">
        <v>0</v>
      </c>
      <c r="BF548" s="1">
        <v>1E-3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1E-3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0.94799999999999995</v>
      </c>
      <c r="BY548" s="1">
        <v>1E-3</v>
      </c>
      <c r="BZ548" s="1">
        <v>1E-3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1E-3</v>
      </c>
      <c r="CH548" s="1">
        <v>0</v>
      </c>
      <c r="CI548" s="1">
        <v>0</v>
      </c>
      <c r="CJ548" s="1">
        <v>0</v>
      </c>
      <c r="CK548" s="1">
        <v>1.0999999999999999E-2</v>
      </c>
      <c r="CL548" s="1">
        <v>0</v>
      </c>
      <c r="CM548" s="1">
        <v>39.03094411</v>
      </c>
      <c r="CN548" s="83">
        <v>-11.586655</v>
      </c>
    </row>
    <row r="549" spans="1:92" s="3" customFormat="1" x14ac:dyDescent="0.25">
      <c r="A549" s="72">
        <v>581</v>
      </c>
      <c r="B549" s="81" t="s">
        <v>1170</v>
      </c>
      <c r="C549" s="1" t="s">
        <v>83</v>
      </c>
      <c r="D549" s="1" t="s">
        <v>73</v>
      </c>
      <c r="E549" s="1" t="s">
        <v>195</v>
      </c>
      <c r="F549" s="1" t="s">
        <v>128</v>
      </c>
      <c r="G549" s="1" t="s">
        <v>307</v>
      </c>
      <c r="H549" s="1" t="s">
        <v>570</v>
      </c>
      <c r="I549" s="1"/>
      <c r="J549" s="9" t="s">
        <v>544</v>
      </c>
      <c r="K549" s="10">
        <v>0.50245933333333304</v>
      </c>
      <c r="L549" s="1" t="s">
        <v>76</v>
      </c>
      <c r="M549" s="1" t="s">
        <v>506</v>
      </c>
      <c r="N549" s="1" t="s">
        <v>645</v>
      </c>
      <c r="O549" s="1" t="s">
        <v>55</v>
      </c>
      <c r="P549" s="82">
        <v>1</v>
      </c>
      <c r="Q549" s="1" t="s">
        <v>76</v>
      </c>
      <c r="R549" s="81" t="s">
        <v>104</v>
      </c>
      <c r="S549" s="1">
        <v>3</v>
      </c>
      <c r="T549" s="1" t="s">
        <v>78</v>
      </c>
      <c r="U549" s="1" t="s">
        <v>658</v>
      </c>
      <c r="V549" s="1" t="s">
        <v>654</v>
      </c>
      <c r="W549" s="1">
        <v>22</v>
      </c>
      <c r="X549" s="1" t="s">
        <v>76</v>
      </c>
      <c r="Y549" s="1" t="s">
        <v>645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1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36.855478900000001</v>
      </c>
      <c r="CN549" s="83">
        <v>36.53706141</v>
      </c>
    </row>
    <row r="550" spans="1:92" s="3" customFormat="1" x14ac:dyDescent="0.25">
      <c r="A550" s="72">
        <v>582</v>
      </c>
      <c r="B550" s="81" t="s">
        <v>1198</v>
      </c>
      <c r="C550" s="1" t="s">
        <v>83</v>
      </c>
      <c r="D550" s="1" t="s">
        <v>73</v>
      </c>
      <c r="E550" s="1" t="s">
        <v>74</v>
      </c>
      <c r="F550" s="1" t="s">
        <v>128</v>
      </c>
      <c r="G550" s="1" t="s">
        <v>303</v>
      </c>
      <c r="H550" s="1" t="s">
        <v>570</v>
      </c>
      <c r="I550" s="1"/>
      <c r="J550" s="9" t="s">
        <v>544</v>
      </c>
      <c r="K550" s="10">
        <v>0.34201116666666598</v>
      </c>
      <c r="L550" s="1" t="s">
        <v>76</v>
      </c>
      <c r="M550" s="1" t="s">
        <v>506</v>
      </c>
      <c r="N550" s="1" t="s">
        <v>645</v>
      </c>
      <c r="O550" s="1" t="s">
        <v>55</v>
      </c>
      <c r="P550" s="82">
        <v>0.999</v>
      </c>
      <c r="Q550" s="1" t="s">
        <v>76</v>
      </c>
      <c r="R550" s="81" t="s">
        <v>77</v>
      </c>
      <c r="S550" s="1">
        <v>3</v>
      </c>
      <c r="T550" s="1" t="s">
        <v>78</v>
      </c>
      <c r="U550" s="1" t="s">
        <v>658</v>
      </c>
      <c r="V550" s="1" t="s">
        <v>654</v>
      </c>
      <c r="W550" s="1">
        <v>16</v>
      </c>
      <c r="X550" s="1" t="s">
        <v>76</v>
      </c>
      <c r="Y550" s="1" t="s">
        <v>645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0.999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15.846389670000001</v>
      </c>
      <c r="CN550" s="83">
        <v>7.8233182450000003</v>
      </c>
    </row>
    <row r="551" spans="1:92" s="3" customFormat="1" x14ac:dyDescent="0.25">
      <c r="A551" s="72">
        <v>583</v>
      </c>
      <c r="B551" s="81" t="s">
        <v>1244</v>
      </c>
      <c r="C551" s="1" t="s">
        <v>83</v>
      </c>
      <c r="D551" s="1" t="s">
        <v>73</v>
      </c>
      <c r="E551" s="1" t="s">
        <v>195</v>
      </c>
      <c r="F551" s="1" t="s">
        <v>128</v>
      </c>
      <c r="G551" s="1" t="s">
        <v>303</v>
      </c>
      <c r="H551" s="1" t="s">
        <v>570</v>
      </c>
      <c r="I551" s="1"/>
      <c r="J551" s="9" t="s">
        <v>544</v>
      </c>
      <c r="K551" s="10">
        <v>0.46774833333333299</v>
      </c>
      <c r="L551" s="1" t="s">
        <v>76</v>
      </c>
      <c r="M551" s="1" t="s">
        <v>506</v>
      </c>
      <c r="N551" s="1" t="s">
        <v>645</v>
      </c>
      <c r="O551" s="1" t="s">
        <v>55</v>
      </c>
      <c r="P551" s="82">
        <v>1</v>
      </c>
      <c r="Q551" s="1" t="s">
        <v>76</v>
      </c>
      <c r="R551" s="81" t="s">
        <v>323</v>
      </c>
      <c r="S551" s="1">
        <v>3</v>
      </c>
      <c r="T551" s="1" t="s">
        <v>78</v>
      </c>
      <c r="U551" s="1" t="s">
        <v>658</v>
      </c>
      <c r="V551" s="1" t="s">
        <v>654</v>
      </c>
      <c r="W551" s="1">
        <v>11</v>
      </c>
      <c r="X551" s="1" t="s">
        <v>304</v>
      </c>
      <c r="Y551" s="1" t="s">
        <v>645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1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61.505081939999997</v>
      </c>
      <c r="CN551" s="83">
        <v>18.77147544</v>
      </c>
    </row>
    <row r="552" spans="1:92" s="3" customFormat="1" x14ac:dyDescent="0.25">
      <c r="A552" s="72">
        <v>584</v>
      </c>
      <c r="B552" s="81" t="s">
        <v>1521</v>
      </c>
      <c r="C552" s="1" t="s">
        <v>83</v>
      </c>
      <c r="D552" s="1" t="s">
        <v>73</v>
      </c>
      <c r="E552" s="1" t="s">
        <v>74</v>
      </c>
      <c r="F552" s="1" t="s">
        <v>128</v>
      </c>
      <c r="G552" s="1" t="s">
        <v>303</v>
      </c>
      <c r="H552" s="1" t="s">
        <v>570</v>
      </c>
      <c r="I552" s="1"/>
      <c r="J552" s="9" t="s">
        <v>544</v>
      </c>
      <c r="K552" s="10">
        <v>0.67113083333333301</v>
      </c>
      <c r="L552" s="1" t="s">
        <v>641</v>
      </c>
      <c r="M552" s="1" t="s">
        <v>76</v>
      </c>
      <c r="N552" s="1" t="s">
        <v>649</v>
      </c>
      <c r="O552" s="1" t="s">
        <v>55</v>
      </c>
      <c r="P552" s="82">
        <v>0.82699999999999996</v>
      </c>
      <c r="Q552" s="1" t="s">
        <v>76</v>
      </c>
      <c r="R552" s="81" t="s">
        <v>77</v>
      </c>
      <c r="S552" s="1">
        <v>3</v>
      </c>
      <c r="T552" s="1" t="s">
        <v>78</v>
      </c>
      <c r="U552" s="1" t="s">
        <v>658</v>
      </c>
      <c r="V552" s="1" t="s">
        <v>654</v>
      </c>
      <c r="W552" s="1">
        <v>17</v>
      </c>
      <c r="X552" s="1" t="s">
        <v>304</v>
      </c>
      <c r="Y552" s="1" t="s">
        <v>649</v>
      </c>
      <c r="Z552" s="1">
        <v>0</v>
      </c>
      <c r="AA552" s="1">
        <v>2E-3</v>
      </c>
      <c r="AB552" s="1">
        <v>1E-3</v>
      </c>
      <c r="AC552" s="1">
        <v>7.0000000000000001E-3</v>
      </c>
      <c r="AD552" s="1">
        <v>1E-3</v>
      </c>
      <c r="AE552" s="1">
        <v>1E-3</v>
      </c>
      <c r="AF552" s="1">
        <v>1E-3</v>
      </c>
      <c r="AG552" s="1">
        <v>0</v>
      </c>
      <c r="AH552" s="1">
        <v>2E-3</v>
      </c>
      <c r="AI552" s="1">
        <v>0</v>
      </c>
      <c r="AJ552" s="1">
        <v>0</v>
      </c>
      <c r="AK552" s="1">
        <v>3.0000000000000001E-3</v>
      </c>
      <c r="AL552" s="1">
        <v>0</v>
      </c>
      <c r="AM552" s="1">
        <v>0</v>
      </c>
      <c r="AN552" s="1">
        <v>1E-3</v>
      </c>
      <c r="AO552" s="1">
        <v>8.9999999999999993E-3</v>
      </c>
      <c r="AP552" s="1">
        <v>1E-3</v>
      </c>
      <c r="AQ552" s="1">
        <v>0</v>
      </c>
      <c r="AR552" s="1">
        <v>0</v>
      </c>
      <c r="AS552" s="1">
        <v>4.0000000000000001E-3</v>
      </c>
      <c r="AT552" s="1">
        <v>3.0000000000000001E-3</v>
      </c>
      <c r="AU552" s="1">
        <v>1E-3</v>
      </c>
      <c r="AV552" s="1">
        <v>0</v>
      </c>
      <c r="AW552" s="1">
        <v>1E-3</v>
      </c>
      <c r="AX552" s="1">
        <v>1E-3</v>
      </c>
      <c r="AY552" s="1">
        <v>1E-3</v>
      </c>
      <c r="AZ552" s="1">
        <v>2E-3</v>
      </c>
      <c r="BA552" s="1">
        <v>4.0000000000000001E-3</v>
      </c>
      <c r="BB552" s="1">
        <v>2E-3</v>
      </c>
      <c r="BC552" s="1">
        <v>0</v>
      </c>
      <c r="BD552" s="1">
        <v>4.0000000000000001E-3</v>
      </c>
      <c r="BE552" s="1">
        <v>1E-3</v>
      </c>
      <c r="BF552" s="1">
        <v>0</v>
      </c>
      <c r="BG552" s="1">
        <v>1E-3</v>
      </c>
      <c r="BH552" s="1">
        <v>1E-3</v>
      </c>
      <c r="BI552" s="1">
        <v>1E-3</v>
      </c>
      <c r="BJ552" s="1">
        <v>0</v>
      </c>
      <c r="BK552" s="1">
        <v>0</v>
      </c>
      <c r="BL552" s="1">
        <v>2E-3</v>
      </c>
      <c r="BM552" s="1">
        <v>1E-3</v>
      </c>
      <c r="BN552" s="1">
        <v>1E-3</v>
      </c>
      <c r="BO552" s="1">
        <v>0</v>
      </c>
      <c r="BP552" s="1">
        <v>0</v>
      </c>
      <c r="BQ552" s="1">
        <v>1.4999999999999999E-2</v>
      </c>
      <c r="BR552" s="1">
        <v>1E-3</v>
      </c>
      <c r="BS552" s="1">
        <v>0</v>
      </c>
      <c r="BT552" s="1">
        <v>0</v>
      </c>
      <c r="BU552" s="1">
        <v>0</v>
      </c>
      <c r="BV552" s="1">
        <v>6.5000000000000002E-2</v>
      </c>
      <c r="BW552" s="1">
        <v>1E-3</v>
      </c>
      <c r="BX552" s="1">
        <v>0.82699999999999996</v>
      </c>
      <c r="BY552" s="1">
        <v>2E-3</v>
      </c>
      <c r="BZ552" s="1">
        <v>2E-3</v>
      </c>
      <c r="CA552" s="1">
        <v>1E-3</v>
      </c>
      <c r="CB552" s="1">
        <v>0</v>
      </c>
      <c r="CC552" s="1">
        <v>1E-3</v>
      </c>
      <c r="CD552" s="1">
        <v>0</v>
      </c>
      <c r="CE552" s="1">
        <v>1E-3</v>
      </c>
      <c r="CF552" s="1">
        <v>1E-3</v>
      </c>
      <c r="CG552" s="1">
        <v>3.0000000000000001E-3</v>
      </c>
      <c r="CH552" s="1">
        <v>2E-3</v>
      </c>
      <c r="CI552" s="1">
        <v>2E-3</v>
      </c>
      <c r="CJ552" s="1">
        <v>3.0000000000000001E-3</v>
      </c>
      <c r="CK552" s="1">
        <v>0.01</v>
      </c>
      <c r="CL552" s="1">
        <v>1E-3</v>
      </c>
      <c r="CM552" s="1">
        <v>31.090280929999999</v>
      </c>
      <c r="CN552" s="83">
        <v>42.692367060000002</v>
      </c>
    </row>
    <row r="553" spans="1:92" s="3" customFormat="1" x14ac:dyDescent="0.25">
      <c r="A553" s="72">
        <v>585</v>
      </c>
      <c r="B553" s="81" t="s">
        <v>995</v>
      </c>
      <c r="C553" s="1" t="s">
        <v>83</v>
      </c>
      <c r="D553" s="1" t="s">
        <v>79</v>
      </c>
      <c r="E553" s="1" t="s">
        <v>74</v>
      </c>
      <c r="F553" s="1" t="s">
        <v>128</v>
      </c>
      <c r="G553" s="1" t="s">
        <v>320</v>
      </c>
      <c r="H553" s="1" t="s">
        <v>570</v>
      </c>
      <c r="I553" s="1"/>
      <c r="J553" s="9" t="s">
        <v>544</v>
      </c>
      <c r="K553" s="10">
        <v>0.53425816666666603</v>
      </c>
      <c r="L553" s="1" t="s">
        <v>76</v>
      </c>
      <c r="M553" s="1" t="s">
        <v>506</v>
      </c>
      <c r="N553" s="1" t="s">
        <v>645</v>
      </c>
      <c r="O553" s="1" t="s">
        <v>55</v>
      </c>
      <c r="P553" s="82">
        <v>1</v>
      </c>
      <c r="Q553" s="1" t="s">
        <v>76</v>
      </c>
      <c r="R553" s="81" t="s">
        <v>149</v>
      </c>
      <c r="S553" s="1">
        <v>3</v>
      </c>
      <c r="T553" s="1" t="s">
        <v>78</v>
      </c>
      <c r="U553" s="1" t="s">
        <v>658</v>
      </c>
      <c r="V553" s="1" t="s">
        <v>654</v>
      </c>
      <c r="W553" s="1">
        <v>14</v>
      </c>
      <c r="X553" s="1" t="s">
        <v>76</v>
      </c>
      <c r="Y553" s="1" t="s">
        <v>645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1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53.984342349999999</v>
      </c>
      <c r="CN553" s="83">
        <v>11.86730747</v>
      </c>
    </row>
    <row r="554" spans="1:92" s="3" customFormat="1" x14ac:dyDescent="0.25">
      <c r="A554" s="72">
        <v>586</v>
      </c>
      <c r="B554" s="81" t="s">
        <v>1052</v>
      </c>
      <c r="C554" s="1" t="s">
        <v>83</v>
      </c>
      <c r="D554" s="1" t="s">
        <v>79</v>
      </c>
      <c r="E554" s="1" t="s">
        <v>99</v>
      </c>
      <c r="F554" s="1" t="s">
        <v>128</v>
      </c>
      <c r="G554" s="1" t="s">
        <v>307</v>
      </c>
      <c r="H554" s="1" t="s">
        <v>570</v>
      </c>
      <c r="I554" s="1"/>
      <c r="J554" s="9" t="s">
        <v>544</v>
      </c>
      <c r="K554" s="10">
        <v>0.56036133333333304</v>
      </c>
      <c r="L554" s="1" t="s">
        <v>76</v>
      </c>
      <c r="M554" s="1" t="s">
        <v>506</v>
      </c>
      <c r="N554" s="1" t="s">
        <v>645</v>
      </c>
      <c r="O554" s="1" t="s">
        <v>55</v>
      </c>
      <c r="P554" s="82">
        <v>0.97299999999999998</v>
      </c>
      <c r="Q554" s="1" t="s">
        <v>76</v>
      </c>
      <c r="R554" s="81" t="s">
        <v>151</v>
      </c>
      <c r="S554" s="1">
        <v>3</v>
      </c>
      <c r="T554" s="1" t="s">
        <v>78</v>
      </c>
      <c r="U554" s="1" t="s">
        <v>658</v>
      </c>
      <c r="V554" s="1" t="s">
        <v>654</v>
      </c>
      <c r="W554" s="1">
        <v>18</v>
      </c>
      <c r="X554" s="1" t="s">
        <v>304</v>
      </c>
      <c r="Y554" s="1" t="s">
        <v>645</v>
      </c>
      <c r="Z554" s="1">
        <v>0</v>
      </c>
      <c r="AA554" s="1">
        <v>0</v>
      </c>
      <c r="AB554" s="1">
        <v>0</v>
      </c>
      <c r="AC554" s="1">
        <v>1E-3</v>
      </c>
      <c r="AD554" s="1">
        <v>0</v>
      </c>
      <c r="AE554" s="1">
        <v>0</v>
      </c>
      <c r="AF554" s="1">
        <v>0</v>
      </c>
      <c r="AG554" s="1">
        <v>0</v>
      </c>
      <c r="AH554" s="1">
        <v>1E-3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1E-3</v>
      </c>
      <c r="AT554" s="1">
        <v>0</v>
      </c>
      <c r="AU554" s="1">
        <v>1E-3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1E-3</v>
      </c>
      <c r="BB554" s="1">
        <v>0</v>
      </c>
      <c r="BC554" s="1">
        <v>0</v>
      </c>
      <c r="BD554" s="1">
        <v>1E-3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1E-3</v>
      </c>
      <c r="BM554" s="1">
        <v>0</v>
      </c>
      <c r="BN554" s="1">
        <v>0</v>
      </c>
      <c r="BO554" s="1">
        <v>0</v>
      </c>
      <c r="BP554" s="1">
        <v>0</v>
      </c>
      <c r="BQ554" s="1">
        <v>3.0000000000000001E-3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0.97299999999999998</v>
      </c>
      <c r="BY554" s="1">
        <v>1E-3</v>
      </c>
      <c r="BZ554" s="1">
        <v>1E-3</v>
      </c>
      <c r="CA554" s="1">
        <v>0</v>
      </c>
      <c r="CB554" s="1">
        <v>0</v>
      </c>
      <c r="CC554" s="1">
        <v>1E-3</v>
      </c>
      <c r="CD554" s="1">
        <v>0</v>
      </c>
      <c r="CE554" s="1">
        <v>0</v>
      </c>
      <c r="CF554" s="1">
        <v>0</v>
      </c>
      <c r="CG554" s="1">
        <v>1E-3</v>
      </c>
      <c r="CH554" s="1">
        <v>0</v>
      </c>
      <c r="CI554" s="1">
        <v>0</v>
      </c>
      <c r="CJ554" s="1">
        <v>1E-3</v>
      </c>
      <c r="CK554" s="1">
        <v>4.0000000000000001E-3</v>
      </c>
      <c r="CL554" s="1">
        <v>1E-3</v>
      </c>
      <c r="CM554" s="1">
        <v>65.265604940000003</v>
      </c>
      <c r="CN554" s="83">
        <v>-7.5653185919999997</v>
      </c>
    </row>
    <row r="555" spans="1:92" s="3" customFormat="1" x14ac:dyDescent="0.25">
      <c r="A555" s="72">
        <v>587</v>
      </c>
      <c r="B555" s="81" t="s">
        <v>1188</v>
      </c>
      <c r="C555" s="1" t="s">
        <v>83</v>
      </c>
      <c r="D555" s="1" t="s">
        <v>73</v>
      </c>
      <c r="E555" s="1" t="s">
        <v>195</v>
      </c>
      <c r="F555" s="1" t="s">
        <v>128</v>
      </c>
      <c r="G555" s="1" t="s">
        <v>303</v>
      </c>
      <c r="H555" s="1" t="s">
        <v>570</v>
      </c>
      <c r="I555" s="1"/>
      <c r="J555" s="9" t="s">
        <v>544</v>
      </c>
      <c r="K555" s="10">
        <v>0.42745233333333299</v>
      </c>
      <c r="L555" s="1" t="s">
        <v>76</v>
      </c>
      <c r="M555" s="1" t="s">
        <v>506</v>
      </c>
      <c r="N555" s="1" t="s">
        <v>645</v>
      </c>
      <c r="O555" s="1" t="s">
        <v>55</v>
      </c>
      <c r="P555" s="82">
        <v>0.999</v>
      </c>
      <c r="Q555" s="1" t="s">
        <v>76</v>
      </c>
      <c r="R555" s="81" t="s">
        <v>243</v>
      </c>
      <c r="S555" s="1">
        <v>3</v>
      </c>
      <c r="T555" s="1" t="s">
        <v>78</v>
      </c>
      <c r="U555" s="1" t="s">
        <v>658</v>
      </c>
      <c r="V555" s="1" t="s">
        <v>654</v>
      </c>
      <c r="W555" s="1">
        <v>16</v>
      </c>
      <c r="X555" s="1" t="s">
        <v>76</v>
      </c>
      <c r="Y555" s="1" t="s">
        <v>645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0.999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35.794556829999998</v>
      </c>
      <c r="CN555" s="83">
        <v>10.70374101</v>
      </c>
    </row>
    <row r="556" spans="1:92" s="3" customFormat="1" x14ac:dyDescent="0.25">
      <c r="A556" s="72">
        <v>588</v>
      </c>
      <c r="B556" s="81" t="s">
        <v>1226</v>
      </c>
      <c r="C556" s="1" t="s">
        <v>83</v>
      </c>
      <c r="D556" s="1" t="s">
        <v>73</v>
      </c>
      <c r="E556" s="1" t="s">
        <v>195</v>
      </c>
      <c r="F556" s="1" t="s">
        <v>128</v>
      </c>
      <c r="G556" s="1" t="s">
        <v>303</v>
      </c>
      <c r="H556" s="1" t="s">
        <v>570</v>
      </c>
      <c r="I556" s="1"/>
      <c r="J556" s="9" t="s">
        <v>544</v>
      </c>
      <c r="K556" s="10">
        <v>0.53245933333333295</v>
      </c>
      <c r="L556" s="1" t="s">
        <v>76</v>
      </c>
      <c r="M556" s="1" t="s">
        <v>506</v>
      </c>
      <c r="N556" s="1" t="s">
        <v>645</v>
      </c>
      <c r="O556" s="1" t="s">
        <v>55</v>
      </c>
      <c r="P556" s="82">
        <v>1</v>
      </c>
      <c r="Q556" s="1" t="s">
        <v>76</v>
      </c>
      <c r="R556" s="81" t="s">
        <v>77</v>
      </c>
      <c r="S556" s="1">
        <v>3</v>
      </c>
      <c r="T556" s="1" t="s">
        <v>78</v>
      </c>
      <c r="U556" s="1" t="s">
        <v>658</v>
      </c>
      <c r="V556" s="1" t="s">
        <v>654</v>
      </c>
      <c r="W556" s="1">
        <v>10</v>
      </c>
      <c r="X556" s="1" t="s">
        <v>304</v>
      </c>
      <c r="Y556" s="1" t="s">
        <v>645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1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40.820344929999997</v>
      </c>
      <c r="CN556" s="83">
        <v>31.244727489999999</v>
      </c>
    </row>
    <row r="557" spans="1:92" s="3" customFormat="1" x14ac:dyDescent="0.25">
      <c r="A557" s="72">
        <v>589</v>
      </c>
      <c r="B557" s="81" t="s">
        <v>1247</v>
      </c>
      <c r="C557" s="1" t="s">
        <v>83</v>
      </c>
      <c r="D557" s="1" t="s">
        <v>73</v>
      </c>
      <c r="E557" s="1" t="s">
        <v>195</v>
      </c>
      <c r="F557" s="1" t="s">
        <v>128</v>
      </c>
      <c r="G557" s="1" t="s">
        <v>303</v>
      </c>
      <c r="H557" s="1" t="s">
        <v>570</v>
      </c>
      <c r="I557" s="1"/>
      <c r="J557" s="9" t="s">
        <v>544</v>
      </c>
      <c r="K557" s="10">
        <v>0.42380099999999998</v>
      </c>
      <c r="L557" s="1" t="s">
        <v>76</v>
      </c>
      <c r="M557" s="1" t="s">
        <v>506</v>
      </c>
      <c r="N557" s="1" t="s">
        <v>645</v>
      </c>
      <c r="O557" s="1" t="s">
        <v>55</v>
      </c>
      <c r="P557" s="82">
        <v>0.996</v>
      </c>
      <c r="Q557" s="1" t="s">
        <v>76</v>
      </c>
      <c r="R557" s="81" t="s">
        <v>118</v>
      </c>
      <c r="S557" s="1">
        <v>3</v>
      </c>
      <c r="T557" s="1" t="s">
        <v>78</v>
      </c>
      <c r="U557" s="1" t="s">
        <v>658</v>
      </c>
      <c r="V557" s="1" t="s">
        <v>654</v>
      </c>
      <c r="W557" s="1">
        <v>14</v>
      </c>
      <c r="X557" s="1" t="s">
        <v>304</v>
      </c>
      <c r="Y557" s="1" t="s">
        <v>645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0.996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28.55134692</v>
      </c>
      <c r="CN557" s="83">
        <v>24.31700369</v>
      </c>
    </row>
    <row r="558" spans="1:92" s="3" customFormat="1" x14ac:dyDescent="0.25">
      <c r="A558" s="72">
        <v>590</v>
      </c>
      <c r="B558" s="81" t="s">
        <v>1305</v>
      </c>
      <c r="C558" s="1" t="s">
        <v>83</v>
      </c>
      <c r="D558" s="1" t="s">
        <v>73</v>
      </c>
      <c r="E558" s="1" t="s">
        <v>74</v>
      </c>
      <c r="F558" s="1" t="s">
        <v>128</v>
      </c>
      <c r="G558" s="1" t="s">
        <v>307</v>
      </c>
      <c r="H558" s="1" t="s">
        <v>570</v>
      </c>
      <c r="I558" s="1"/>
      <c r="J558" s="9" t="s">
        <v>544</v>
      </c>
      <c r="K558" s="10">
        <v>0.53654816666666705</v>
      </c>
      <c r="L558" s="1" t="s">
        <v>641</v>
      </c>
      <c r="M558" s="1" t="s">
        <v>76</v>
      </c>
      <c r="N558" s="1" t="s">
        <v>649</v>
      </c>
      <c r="O558" s="1" t="s">
        <v>55</v>
      </c>
      <c r="P558" s="82">
        <v>0.58799999999999997</v>
      </c>
      <c r="Q558" s="1" t="s">
        <v>76</v>
      </c>
      <c r="R558" s="81" t="s">
        <v>253</v>
      </c>
      <c r="S558" s="1">
        <v>3</v>
      </c>
      <c r="T558" s="1" t="s">
        <v>78</v>
      </c>
      <c r="U558" s="1" t="s">
        <v>658</v>
      </c>
      <c r="V558" s="1" t="s">
        <v>654</v>
      </c>
      <c r="W558" s="1">
        <v>13</v>
      </c>
      <c r="X558" s="1" t="s">
        <v>304</v>
      </c>
      <c r="Y558" s="1" t="s">
        <v>649</v>
      </c>
      <c r="Z558" s="1">
        <v>1E-3</v>
      </c>
      <c r="AA558" s="1">
        <v>3.0000000000000001E-3</v>
      </c>
      <c r="AB558" s="1">
        <v>3.0000000000000001E-3</v>
      </c>
      <c r="AC558" s="1">
        <v>2.8000000000000001E-2</v>
      </c>
      <c r="AD558" s="1">
        <v>3.0000000000000001E-3</v>
      </c>
      <c r="AE558" s="1">
        <v>5.0000000000000001E-3</v>
      </c>
      <c r="AF558" s="1">
        <v>3.0000000000000001E-3</v>
      </c>
      <c r="AG558" s="1">
        <v>0</v>
      </c>
      <c r="AH558" s="1">
        <v>8.0000000000000002E-3</v>
      </c>
      <c r="AI558" s="1">
        <v>1E-3</v>
      </c>
      <c r="AJ558" s="1">
        <v>2E-3</v>
      </c>
      <c r="AK558" s="1">
        <v>0.05</v>
      </c>
      <c r="AL558" s="1">
        <v>1E-3</v>
      </c>
      <c r="AM558" s="1">
        <v>2E-3</v>
      </c>
      <c r="AN558" s="1">
        <v>3.0000000000000001E-3</v>
      </c>
      <c r="AO558" s="1">
        <v>8.0000000000000002E-3</v>
      </c>
      <c r="AP558" s="1">
        <v>2E-3</v>
      </c>
      <c r="AQ558" s="1">
        <v>2E-3</v>
      </c>
      <c r="AR558" s="1">
        <v>2E-3</v>
      </c>
      <c r="AS558" s="1">
        <v>1.2E-2</v>
      </c>
      <c r="AT558" s="1">
        <v>7.0000000000000001E-3</v>
      </c>
      <c r="AU558" s="1">
        <v>3.0000000000000001E-3</v>
      </c>
      <c r="AV558" s="1">
        <v>1E-3</v>
      </c>
      <c r="AW558" s="1">
        <v>6.0000000000000001E-3</v>
      </c>
      <c r="AX558" s="1">
        <v>2E-3</v>
      </c>
      <c r="AY558" s="1">
        <v>3.0000000000000001E-3</v>
      </c>
      <c r="AZ558" s="1">
        <v>5.0000000000000001E-3</v>
      </c>
      <c r="BA558" s="1">
        <v>0.01</v>
      </c>
      <c r="BB558" s="1">
        <v>0.06</v>
      </c>
      <c r="BC558" s="1">
        <v>2E-3</v>
      </c>
      <c r="BD558" s="1">
        <v>1.2E-2</v>
      </c>
      <c r="BE558" s="1">
        <v>2E-3</v>
      </c>
      <c r="BF558" s="1">
        <v>1E-3</v>
      </c>
      <c r="BG558" s="1">
        <v>3.0000000000000001E-3</v>
      </c>
      <c r="BH558" s="1">
        <v>2E-3</v>
      </c>
      <c r="BI558" s="1">
        <v>2E-3</v>
      </c>
      <c r="BJ558" s="1">
        <v>1E-3</v>
      </c>
      <c r="BK558" s="1">
        <v>1E-3</v>
      </c>
      <c r="BL558" s="1">
        <v>6.0000000000000001E-3</v>
      </c>
      <c r="BM558" s="1">
        <v>2E-3</v>
      </c>
      <c r="BN558" s="1">
        <v>7.0000000000000001E-3</v>
      </c>
      <c r="BO558" s="1">
        <v>2E-3</v>
      </c>
      <c r="BP558" s="1">
        <v>1E-3</v>
      </c>
      <c r="BQ558" s="1">
        <v>8.0000000000000002E-3</v>
      </c>
      <c r="BR558" s="1">
        <v>3.0000000000000001E-3</v>
      </c>
      <c r="BS558" s="1">
        <v>2E-3</v>
      </c>
      <c r="BT558" s="1">
        <v>1E-3</v>
      </c>
      <c r="BU558" s="1">
        <v>1E-3</v>
      </c>
      <c r="BV558" s="1">
        <v>6.0000000000000001E-3</v>
      </c>
      <c r="BW558" s="1">
        <v>4.0000000000000001E-3</v>
      </c>
      <c r="BX558" s="1">
        <v>0.58799999999999997</v>
      </c>
      <c r="BY558" s="1">
        <v>0.01</v>
      </c>
      <c r="BZ558" s="1">
        <v>7.0000000000000001E-3</v>
      </c>
      <c r="CA558" s="1">
        <v>8.9999999999999993E-3</v>
      </c>
      <c r="CB558" s="1">
        <v>2E-3</v>
      </c>
      <c r="CC558" s="1">
        <v>6.0000000000000001E-3</v>
      </c>
      <c r="CD558" s="1">
        <v>0</v>
      </c>
      <c r="CE558" s="1">
        <v>2E-3</v>
      </c>
      <c r="CF558" s="1">
        <v>2E-3</v>
      </c>
      <c r="CG558" s="1">
        <v>7.0000000000000001E-3</v>
      </c>
      <c r="CH558" s="1">
        <v>7.0000000000000001E-3</v>
      </c>
      <c r="CI558" s="1">
        <v>5.0000000000000001E-3</v>
      </c>
      <c r="CJ558" s="1">
        <v>1.4E-2</v>
      </c>
      <c r="CK558" s="1">
        <v>2.5999999999999999E-2</v>
      </c>
      <c r="CL558" s="1">
        <v>8.9999999999999993E-3</v>
      </c>
      <c r="CM558" s="1">
        <v>65.547186310000001</v>
      </c>
      <c r="CN558" s="83">
        <v>26.489230379999999</v>
      </c>
    </row>
    <row r="559" spans="1:92" s="3" customFormat="1" x14ac:dyDescent="0.25">
      <c r="A559" s="72">
        <v>591</v>
      </c>
      <c r="B559" s="81" t="s">
        <v>1311</v>
      </c>
      <c r="C559" s="1" t="s">
        <v>83</v>
      </c>
      <c r="D559" s="1" t="s">
        <v>73</v>
      </c>
      <c r="E559" s="1" t="s">
        <v>195</v>
      </c>
      <c r="F559" s="1" t="s">
        <v>128</v>
      </c>
      <c r="G559" s="1" t="s">
        <v>307</v>
      </c>
      <c r="H559" s="1" t="s">
        <v>570</v>
      </c>
      <c r="I559" s="1"/>
      <c r="J559" s="9" t="s">
        <v>544</v>
      </c>
      <c r="K559" s="10">
        <v>0.53717400000000104</v>
      </c>
      <c r="L559" s="1" t="s">
        <v>641</v>
      </c>
      <c r="M559" s="1" t="s">
        <v>76</v>
      </c>
      <c r="N559" s="1" t="s">
        <v>649</v>
      </c>
      <c r="O559" s="1" t="s">
        <v>55</v>
      </c>
      <c r="P559" s="82">
        <v>0.66300000000000003</v>
      </c>
      <c r="Q559" s="1" t="s">
        <v>76</v>
      </c>
      <c r="R559" s="81" t="s">
        <v>183</v>
      </c>
      <c r="S559" s="1">
        <v>3</v>
      </c>
      <c r="T559" s="1" t="s">
        <v>78</v>
      </c>
      <c r="U559" s="1" t="s">
        <v>658</v>
      </c>
      <c r="V559" s="1" t="s">
        <v>654</v>
      </c>
      <c r="W559" s="1">
        <v>19</v>
      </c>
      <c r="X559" s="1" t="s">
        <v>304</v>
      </c>
      <c r="Y559" s="1" t="s">
        <v>649</v>
      </c>
      <c r="Z559" s="1">
        <v>1E-3</v>
      </c>
      <c r="AA559" s="1">
        <v>2E-3</v>
      </c>
      <c r="AB559" s="1">
        <v>2E-3</v>
      </c>
      <c r="AC559" s="1">
        <v>1.0999999999999999E-2</v>
      </c>
      <c r="AD559" s="1">
        <v>2E-3</v>
      </c>
      <c r="AE559" s="1">
        <v>3.0000000000000001E-3</v>
      </c>
      <c r="AF559" s="1">
        <v>2E-3</v>
      </c>
      <c r="AG559" s="1">
        <v>0</v>
      </c>
      <c r="AH559" s="1">
        <v>6.0000000000000001E-3</v>
      </c>
      <c r="AI559" s="1">
        <v>1E-3</v>
      </c>
      <c r="AJ559" s="1">
        <v>1E-3</v>
      </c>
      <c r="AK559" s="1">
        <v>0.03</v>
      </c>
      <c r="AL559" s="1">
        <v>1E-3</v>
      </c>
      <c r="AM559" s="1">
        <v>1E-3</v>
      </c>
      <c r="AN559" s="1">
        <v>2E-3</v>
      </c>
      <c r="AO559" s="1">
        <v>0.01</v>
      </c>
      <c r="AP559" s="1">
        <v>1E-3</v>
      </c>
      <c r="AQ559" s="1">
        <v>1E-3</v>
      </c>
      <c r="AR559" s="1">
        <v>1E-3</v>
      </c>
      <c r="AS559" s="1">
        <v>7.0000000000000001E-3</v>
      </c>
      <c r="AT559" s="1">
        <v>4.0000000000000001E-3</v>
      </c>
      <c r="AU559" s="1">
        <v>4.0000000000000001E-3</v>
      </c>
      <c r="AV559" s="1">
        <v>1E-3</v>
      </c>
      <c r="AW559" s="1">
        <v>3.0000000000000001E-3</v>
      </c>
      <c r="AX559" s="1">
        <v>1E-3</v>
      </c>
      <c r="AY559" s="1">
        <v>2E-3</v>
      </c>
      <c r="AZ559" s="1">
        <v>3.0000000000000001E-3</v>
      </c>
      <c r="BA559" s="1">
        <v>8.9999999999999993E-3</v>
      </c>
      <c r="BB559" s="1">
        <v>0.11</v>
      </c>
      <c r="BC559" s="1">
        <v>1E-3</v>
      </c>
      <c r="BD559" s="1">
        <v>8.9999999999999993E-3</v>
      </c>
      <c r="BE559" s="1">
        <v>1E-3</v>
      </c>
      <c r="BF559" s="1">
        <v>1E-3</v>
      </c>
      <c r="BG559" s="1">
        <v>2E-3</v>
      </c>
      <c r="BH559" s="1">
        <v>1E-3</v>
      </c>
      <c r="BI559" s="1">
        <v>1E-3</v>
      </c>
      <c r="BJ559" s="1">
        <v>1E-3</v>
      </c>
      <c r="BK559" s="1">
        <v>1E-3</v>
      </c>
      <c r="BL559" s="1">
        <v>3.0000000000000001E-3</v>
      </c>
      <c r="BM559" s="1">
        <v>2E-3</v>
      </c>
      <c r="BN559" s="1">
        <v>3.0000000000000001E-3</v>
      </c>
      <c r="BO559" s="1">
        <v>2E-3</v>
      </c>
      <c r="BP559" s="1">
        <v>1E-3</v>
      </c>
      <c r="BQ559" s="1">
        <v>5.0000000000000001E-3</v>
      </c>
      <c r="BR559" s="1">
        <v>2E-3</v>
      </c>
      <c r="BS559" s="1">
        <v>1E-3</v>
      </c>
      <c r="BT559" s="1">
        <v>1E-3</v>
      </c>
      <c r="BU559" s="1">
        <v>1E-3</v>
      </c>
      <c r="BV559" s="1">
        <v>8.9999999999999993E-3</v>
      </c>
      <c r="BW559" s="1">
        <v>3.0000000000000001E-3</v>
      </c>
      <c r="BX559" s="1">
        <v>0.66300000000000003</v>
      </c>
      <c r="BY559" s="1">
        <v>6.0000000000000001E-3</v>
      </c>
      <c r="BZ559" s="1">
        <v>4.0000000000000001E-3</v>
      </c>
      <c r="CA559" s="1">
        <v>1.0999999999999999E-2</v>
      </c>
      <c r="CB559" s="1">
        <v>1E-3</v>
      </c>
      <c r="CC559" s="1">
        <v>3.0000000000000001E-3</v>
      </c>
      <c r="CD559" s="1">
        <v>0</v>
      </c>
      <c r="CE559" s="1">
        <v>1E-3</v>
      </c>
      <c r="CF559" s="1">
        <v>1E-3</v>
      </c>
      <c r="CG559" s="1">
        <v>4.0000000000000001E-3</v>
      </c>
      <c r="CH559" s="1">
        <v>4.0000000000000001E-3</v>
      </c>
      <c r="CI559" s="1">
        <v>3.0000000000000001E-3</v>
      </c>
      <c r="CJ559" s="1">
        <v>6.0000000000000001E-3</v>
      </c>
      <c r="CK559" s="1">
        <v>1.7000000000000001E-2</v>
      </c>
      <c r="CL559" s="1">
        <v>4.0000000000000001E-3</v>
      </c>
      <c r="CM559" s="1">
        <v>49.909549400000003</v>
      </c>
      <c r="CN559" s="83">
        <v>31.1593886</v>
      </c>
    </row>
    <row r="560" spans="1:92" s="3" customFormat="1" x14ac:dyDescent="0.25">
      <c r="A560" s="72">
        <v>592</v>
      </c>
      <c r="B560" s="81" t="s">
        <v>1611</v>
      </c>
      <c r="C560" s="1" t="s">
        <v>83</v>
      </c>
      <c r="D560" s="1" t="s">
        <v>73</v>
      </c>
      <c r="E560" s="1" t="s">
        <v>74</v>
      </c>
      <c r="F560" s="1" t="s">
        <v>128</v>
      </c>
      <c r="G560" s="1" t="s">
        <v>349</v>
      </c>
      <c r="H560" s="1" t="s">
        <v>570</v>
      </c>
      <c r="I560" s="1"/>
      <c r="J560" s="9" t="s">
        <v>544</v>
      </c>
      <c r="K560" s="10">
        <v>0.52456433333333297</v>
      </c>
      <c r="L560" s="1" t="s">
        <v>76</v>
      </c>
      <c r="M560" s="1" t="s">
        <v>506</v>
      </c>
      <c r="N560" s="1" t="s">
        <v>645</v>
      </c>
      <c r="O560" s="1" t="s">
        <v>55</v>
      </c>
      <c r="P560" s="82">
        <v>0.98899999999999999</v>
      </c>
      <c r="Q560" s="1" t="s">
        <v>76</v>
      </c>
      <c r="R560" s="81" t="s">
        <v>87</v>
      </c>
      <c r="S560" s="1">
        <v>3</v>
      </c>
      <c r="T560" s="1" t="s">
        <v>78</v>
      </c>
      <c r="U560" s="1" t="s">
        <v>658</v>
      </c>
      <c r="V560" s="1" t="s">
        <v>654</v>
      </c>
      <c r="W560" s="1">
        <v>12</v>
      </c>
      <c r="X560" s="1" t="s">
        <v>76</v>
      </c>
      <c r="Y560" s="1" t="s">
        <v>645</v>
      </c>
      <c r="Z560" s="1">
        <v>0</v>
      </c>
      <c r="AA560" s="1">
        <v>0</v>
      </c>
      <c r="AB560" s="1">
        <v>0</v>
      </c>
      <c r="AC560" s="1">
        <v>1E-3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0.98899999999999999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3.0000000000000001E-3</v>
      </c>
      <c r="CL560" s="1">
        <v>0</v>
      </c>
      <c r="CM560" s="1">
        <v>70.566338770000002</v>
      </c>
      <c r="CN560" s="83">
        <v>22.975673180000001</v>
      </c>
    </row>
    <row r="561" spans="1:92" s="3" customFormat="1" x14ac:dyDescent="0.25">
      <c r="A561" s="72">
        <v>593</v>
      </c>
      <c r="B561" s="81" t="s">
        <v>1177</v>
      </c>
      <c r="C561" s="1" t="s">
        <v>83</v>
      </c>
      <c r="D561" s="1" t="s">
        <v>79</v>
      </c>
      <c r="E561" s="1" t="s">
        <v>195</v>
      </c>
      <c r="F561" s="1" t="s">
        <v>128</v>
      </c>
      <c r="G561" s="1" t="s">
        <v>303</v>
      </c>
      <c r="H561" s="1" t="s">
        <v>570</v>
      </c>
      <c r="I561" s="1"/>
      <c r="J561" s="9" t="s">
        <v>544</v>
      </c>
      <c r="K561" s="10">
        <v>0.58048466666666698</v>
      </c>
      <c r="L561" s="1" t="s">
        <v>641</v>
      </c>
      <c r="M561" s="1" t="s">
        <v>76</v>
      </c>
      <c r="N561" s="1" t="s">
        <v>649</v>
      </c>
      <c r="O561" s="1" t="s">
        <v>55</v>
      </c>
      <c r="P561" s="82">
        <v>0.52500000000000002</v>
      </c>
      <c r="Q561" s="1" t="s">
        <v>76</v>
      </c>
      <c r="R561" s="81" t="s">
        <v>87</v>
      </c>
      <c r="S561" s="1">
        <v>3</v>
      </c>
      <c r="T561" s="1" t="s">
        <v>78</v>
      </c>
      <c r="U561" s="1" t="s">
        <v>658</v>
      </c>
      <c r="V561" s="1" t="s">
        <v>654</v>
      </c>
      <c r="W561" s="1">
        <v>15</v>
      </c>
      <c r="X561" s="1" t="s">
        <v>304</v>
      </c>
      <c r="Y561" s="1" t="s">
        <v>649</v>
      </c>
      <c r="Z561" s="1">
        <v>1E-3</v>
      </c>
      <c r="AA561" s="1">
        <v>4.0000000000000001E-3</v>
      </c>
      <c r="AB561" s="1">
        <v>4.0000000000000001E-3</v>
      </c>
      <c r="AC561" s="1">
        <v>3.5000000000000003E-2</v>
      </c>
      <c r="AD561" s="1">
        <v>4.0000000000000001E-3</v>
      </c>
      <c r="AE561" s="1">
        <v>5.0000000000000001E-3</v>
      </c>
      <c r="AF561" s="1">
        <v>5.0000000000000001E-3</v>
      </c>
      <c r="AG561" s="1">
        <v>0</v>
      </c>
      <c r="AH561" s="1">
        <v>8.9999999999999993E-3</v>
      </c>
      <c r="AI561" s="1">
        <v>1E-3</v>
      </c>
      <c r="AJ561" s="1">
        <v>3.0000000000000001E-3</v>
      </c>
      <c r="AK561" s="1">
        <v>1.4999999999999999E-2</v>
      </c>
      <c r="AL561" s="1">
        <v>1E-3</v>
      </c>
      <c r="AM561" s="1">
        <v>2E-3</v>
      </c>
      <c r="AN561" s="1">
        <v>2E-3</v>
      </c>
      <c r="AO561" s="1">
        <v>0.01</v>
      </c>
      <c r="AP561" s="1">
        <v>2E-3</v>
      </c>
      <c r="AQ561" s="1">
        <v>2E-3</v>
      </c>
      <c r="AR561" s="1">
        <v>3.0000000000000001E-3</v>
      </c>
      <c r="AS561" s="1">
        <v>1.4E-2</v>
      </c>
      <c r="AT561" s="1">
        <v>0.01</v>
      </c>
      <c r="AU561" s="1">
        <v>1.7000000000000001E-2</v>
      </c>
      <c r="AV561" s="1">
        <v>2E-3</v>
      </c>
      <c r="AW561" s="1">
        <v>6.0000000000000001E-3</v>
      </c>
      <c r="AX561" s="1">
        <v>3.0000000000000001E-3</v>
      </c>
      <c r="AY561" s="1">
        <v>5.0000000000000001E-3</v>
      </c>
      <c r="AZ561" s="1">
        <v>5.0000000000000001E-3</v>
      </c>
      <c r="BA561" s="1">
        <v>1.4999999999999999E-2</v>
      </c>
      <c r="BB561" s="1">
        <v>3.3000000000000002E-2</v>
      </c>
      <c r="BC561" s="1">
        <v>2E-3</v>
      </c>
      <c r="BD561" s="1">
        <v>1.4999999999999999E-2</v>
      </c>
      <c r="BE561" s="1">
        <v>3.0000000000000001E-3</v>
      </c>
      <c r="BF561" s="1">
        <v>2E-3</v>
      </c>
      <c r="BG561" s="1">
        <v>4.0000000000000001E-3</v>
      </c>
      <c r="BH561" s="1">
        <v>2E-3</v>
      </c>
      <c r="BI561" s="1">
        <v>2E-3</v>
      </c>
      <c r="BJ561" s="1">
        <v>1E-3</v>
      </c>
      <c r="BK561" s="1">
        <v>2E-3</v>
      </c>
      <c r="BL561" s="1">
        <v>0.01</v>
      </c>
      <c r="BM561" s="1">
        <v>3.0000000000000001E-3</v>
      </c>
      <c r="BN561" s="1">
        <v>8.0000000000000002E-3</v>
      </c>
      <c r="BO561" s="1">
        <v>6.0000000000000001E-3</v>
      </c>
      <c r="BP561" s="1">
        <v>1E-3</v>
      </c>
      <c r="BQ561" s="1">
        <v>0.01</v>
      </c>
      <c r="BR561" s="1">
        <v>4.0000000000000001E-3</v>
      </c>
      <c r="BS561" s="1">
        <v>4.0000000000000001E-3</v>
      </c>
      <c r="BT561" s="1">
        <v>2E-3</v>
      </c>
      <c r="BU561" s="1">
        <v>2E-3</v>
      </c>
      <c r="BV561" s="1">
        <v>0.01</v>
      </c>
      <c r="BW561" s="1">
        <v>5.0000000000000001E-3</v>
      </c>
      <c r="BX561" s="1">
        <v>0.52500000000000002</v>
      </c>
      <c r="BY561" s="1">
        <v>0.01</v>
      </c>
      <c r="BZ561" s="1">
        <v>8.0000000000000002E-3</v>
      </c>
      <c r="CA561" s="1">
        <v>5.0000000000000001E-3</v>
      </c>
      <c r="CB561" s="1">
        <v>2E-3</v>
      </c>
      <c r="CC561" s="1">
        <v>8.9999999999999993E-3</v>
      </c>
      <c r="CD561" s="1">
        <v>0</v>
      </c>
      <c r="CE561" s="1">
        <v>3.0000000000000001E-3</v>
      </c>
      <c r="CF561" s="1">
        <v>3.0000000000000001E-3</v>
      </c>
      <c r="CG561" s="1">
        <v>4.0000000000000001E-3</v>
      </c>
      <c r="CH561" s="1">
        <v>8.0000000000000002E-3</v>
      </c>
      <c r="CI561" s="1">
        <v>7.0000000000000001E-3</v>
      </c>
      <c r="CJ561" s="1">
        <v>1.7999999999999999E-2</v>
      </c>
      <c r="CK561" s="1">
        <v>7.0999999999999994E-2</v>
      </c>
      <c r="CL561" s="1">
        <v>8.9999999999999993E-3</v>
      </c>
      <c r="CM561" s="1">
        <v>70.90521115</v>
      </c>
      <c r="CN561" s="83">
        <v>26.774756020000002</v>
      </c>
    </row>
    <row r="562" spans="1:92" s="3" customFormat="1" x14ac:dyDescent="0.25">
      <c r="A562" s="72">
        <v>594</v>
      </c>
      <c r="B562" s="81" t="s">
        <v>1185</v>
      </c>
      <c r="C562" s="1" t="s">
        <v>83</v>
      </c>
      <c r="D562" s="1" t="s">
        <v>79</v>
      </c>
      <c r="E562" s="1" t="s">
        <v>99</v>
      </c>
      <c r="F562" s="1" t="s">
        <v>128</v>
      </c>
      <c r="G562" s="1" t="s">
        <v>303</v>
      </c>
      <c r="H562" s="1" t="s">
        <v>570</v>
      </c>
      <c r="I562" s="1"/>
      <c r="J562" s="9" t="s">
        <v>544</v>
      </c>
      <c r="K562" s="10">
        <v>0.46166950000000001</v>
      </c>
      <c r="L562" s="1" t="s">
        <v>76</v>
      </c>
      <c r="M562" s="1" t="s">
        <v>506</v>
      </c>
      <c r="N562" s="1" t="s">
        <v>645</v>
      </c>
      <c r="O562" s="1" t="s">
        <v>55</v>
      </c>
      <c r="P562" s="82">
        <v>0.995</v>
      </c>
      <c r="Q562" s="1" t="s">
        <v>76</v>
      </c>
      <c r="R562" s="81" t="s">
        <v>87</v>
      </c>
      <c r="S562" s="1">
        <v>3</v>
      </c>
      <c r="T562" s="1" t="s">
        <v>78</v>
      </c>
      <c r="U562" s="1" t="s">
        <v>658</v>
      </c>
      <c r="V562" s="1" t="s">
        <v>654</v>
      </c>
      <c r="W562" s="1">
        <v>17</v>
      </c>
      <c r="X562" s="1" t="s">
        <v>76</v>
      </c>
      <c r="Y562" s="1" t="s">
        <v>645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1E-3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0.995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26.328187759999999</v>
      </c>
      <c r="CN562" s="83">
        <v>19.278154539999999</v>
      </c>
    </row>
    <row r="563" spans="1:92" s="3" customFormat="1" x14ac:dyDescent="0.25">
      <c r="A563" s="72">
        <v>595</v>
      </c>
      <c r="B563" s="81" t="s">
        <v>1229</v>
      </c>
      <c r="C563" s="1" t="s">
        <v>83</v>
      </c>
      <c r="D563" s="1" t="s">
        <v>73</v>
      </c>
      <c r="E563" s="1" t="s">
        <v>74</v>
      </c>
      <c r="F563" s="1" t="s">
        <v>128</v>
      </c>
      <c r="G563" s="1" t="s">
        <v>305</v>
      </c>
      <c r="H563" s="1" t="s">
        <v>570</v>
      </c>
      <c r="I563" s="1"/>
      <c r="J563" s="9" t="s">
        <v>544</v>
      </c>
      <c r="K563" s="10">
        <v>0.493688666666667</v>
      </c>
      <c r="L563" s="1" t="s">
        <v>76</v>
      </c>
      <c r="M563" s="1" t="s">
        <v>506</v>
      </c>
      <c r="N563" s="1" t="s">
        <v>645</v>
      </c>
      <c r="O563" s="1" t="s">
        <v>55</v>
      </c>
      <c r="P563" s="82">
        <v>0.999</v>
      </c>
      <c r="Q563" s="1" t="s">
        <v>76</v>
      </c>
      <c r="R563" s="81" t="s">
        <v>118</v>
      </c>
      <c r="S563" s="1">
        <v>3</v>
      </c>
      <c r="T563" s="1" t="s">
        <v>78</v>
      </c>
      <c r="U563" s="1" t="s">
        <v>658</v>
      </c>
      <c r="V563" s="1" t="s">
        <v>654</v>
      </c>
      <c r="W563" s="1">
        <v>16</v>
      </c>
      <c r="X563" s="1" t="s">
        <v>304</v>
      </c>
      <c r="Y563" s="1" t="s">
        <v>645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0.999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14.68193013</v>
      </c>
      <c r="CN563" s="83">
        <v>25.92506938</v>
      </c>
    </row>
    <row r="564" spans="1:92" s="3" customFormat="1" x14ac:dyDescent="0.25">
      <c r="A564" s="72">
        <v>596</v>
      </c>
      <c r="B564" s="81" t="s">
        <v>1240</v>
      </c>
      <c r="C564" s="1" t="s">
        <v>83</v>
      </c>
      <c r="D564" s="1" t="s">
        <v>73</v>
      </c>
      <c r="E564" s="1" t="s">
        <v>74</v>
      </c>
      <c r="F564" s="1" t="s">
        <v>128</v>
      </c>
      <c r="G564" s="1" t="s">
        <v>303</v>
      </c>
      <c r="H564" s="1" t="s">
        <v>570</v>
      </c>
      <c r="I564" s="1"/>
      <c r="J564" s="9" t="s">
        <v>544</v>
      </c>
      <c r="K564" s="10">
        <v>0.51792833333333399</v>
      </c>
      <c r="L564" s="1" t="s">
        <v>76</v>
      </c>
      <c r="M564" s="1" t="s">
        <v>506</v>
      </c>
      <c r="N564" s="1" t="s">
        <v>645</v>
      </c>
      <c r="O564" s="1" t="s">
        <v>55</v>
      </c>
      <c r="P564" s="82">
        <v>1</v>
      </c>
      <c r="Q564" s="1" t="s">
        <v>76</v>
      </c>
      <c r="R564" s="81" t="s">
        <v>87</v>
      </c>
      <c r="S564" s="1">
        <v>3</v>
      </c>
      <c r="T564" s="1" t="s">
        <v>78</v>
      </c>
      <c r="U564" s="1" t="s">
        <v>658</v>
      </c>
      <c r="V564" s="1" t="s">
        <v>654</v>
      </c>
      <c r="W564" s="1">
        <v>13</v>
      </c>
      <c r="X564" s="1" t="s">
        <v>304</v>
      </c>
      <c r="Y564" s="1" t="s">
        <v>645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1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39.127087349999996</v>
      </c>
      <c r="CN564" s="83">
        <v>30.442770840000001</v>
      </c>
    </row>
    <row r="565" spans="1:92" s="3" customFormat="1" x14ac:dyDescent="0.25">
      <c r="A565" s="72">
        <v>597</v>
      </c>
      <c r="B565" s="81" t="s">
        <v>1318</v>
      </c>
      <c r="C565" s="1" t="s">
        <v>83</v>
      </c>
      <c r="D565" s="1" t="s">
        <v>73</v>
      </c>
      <c r="E565" s="1" t="s">
        <v>195</v>
      </c>
      <c r="F565" s="1" t="s">
        <v>128</v>
      </c>
      <c r="G565" s="1" t="s">
        <v>303</v>
      </c>
      <c r="H565" s="1" t="s">
        <v>570</v>
      </c>
      <c r="I565" s="1"/>
      <c r="J565" s="9" t="s">
        <v>544</v>
      </c>
      <c r="K565" s="10">
        <v>0.515533666666667</v>
      </c>
      <c r="L565" s="1" t="s">
        <v>76</v>
      </c>
      <c r="M565" s="1" t="s">
        <v>506</v>
      </c>
      <c r="N565" s="1" t="s">
        <v>645</v>
      </c>
      <c r="O565" s="1" t="s">
        <v>55</v>
      </c>
      <c r="P565" s="82">
        <v>0.999</v>
      </c>
      <c r="Q565" s="1" t="s">
        <v>76</v>
      </c>
      <c r="R565" s="81" t="s">
        <v>323</v>
      </c>
      <c r="S565" s="1">
        <v>3</v>
      </c>
      <c r="T565" s="1" t="s">
        <v>78</v>
      </c>
      <c r="U565" s="1" t="s">
        <v>658</v>
      </c>
      <c r="V565" s="1" t="s">
        <v>654</v>
      </c>
      <c r="W565" s="1">
        <v>14</v>
      </c>
      <c r="X565" s="1" t="s">
        <v>304</v>
      </c>
      <c r="Y565" s="1" t="s">
        <v>645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0.999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52.967510959999998</v>
      </c>
      <c r="CN565" s="83">
        <v>27.170816940000002</v>
      </c>
    </row>
    <row r="566" spans="1:92" s="3" customFormat="1" x14ac:dyDescent="0.25">
      <c r="A566" s="72">
        <v>598</v>
      </c>
      <c r="B566" s="81" t="s">
        <v>1087</v>
      </c>
      <c r="C566" s="1" t="s">
        <v>83</v>
      </c>
      <c r="D566" s="1" t="s">
        <v>73</v>
      </c>
      <c r="E566" s="1" t="s">
        <v>99</v>
      </c>
      <c r="F566" s="1" t="s">
        <v>128</v>
      </c>
      <c r="G566" s="1" t="s">
        <v>303</v>
      </c>
      <c r="H566" s="1" t="s">
        <v>570</v>
      </c>
      <c r="I566" s="1"/>
      <c r="J566" s="9" t="s">
        <v>544</v>
      </c>
      <c r="K566" s="10">
        <v>0.33793383333333299</v>
      </c>
      <c r="L566" s="1" t="s">
        <v>641</v>
      </c>
      <c r="M566" s="1" t="s">
        <v>76</v>
      </c>
      <c r="N566" s="1" t="s">
        <v>644</v>
      </c>
      <c r="O566" s="1" t="s">
        <v>19</v>
      </c>
      <c r="P566" s="82">
        <v>0.371</v>
      </c>
      <c r="Q566" s="1" t="s">
        <v>76</v>
      </c>
      <c r="R566" s="81" t="s">
        <v>87</v>
      </c>
      <c r="S566" s="1">
        <v>3</v>
      </c>
      <c r="T566" s="1" t="s">
        <v>78</v>
      </c>
      <c r="U566" s="1" t="s">
        <v>658</v>
      </c>
      <c r="V566" s="1" t="s">
        <v>654</v>
      </c>
      <c r="W566" s="1">
        <v>19</v>
      </c>
      <c r="X566" s="1" t="s">
        <v>76</v>
      </c>
      <c r="Y566" s="1" t="s">
        <v>644</v>
      </c>
      <c r="Z566" s="1">
        <v>2.9000000000000001E-2</v>
      </c>
      <c r="AA566" s="1">
        <v>3.0000000000000001E-3</v>
      </c>
      <c r="AB566" s="1">
        <v>4.0000000000000001E-3</v>
      </c>
      <c r="AC566" s="1">
        <v>0.02</v>
      </c>
      <c r="AD566" s="1">
        <v>0.01</v>
      </c>
      <c r="AE566" s="1">
        <v>8.0000000000000002E-3</v>
      </c>
      <c r="AF566" s="1">
        <v>4.0000000000000001E-3</v>
      </c>
      <c r="AG566" s="1">
        <v>0</v>
      </c>
      <c r="AH566" s="1">
        <v>2.4E-2</v>
      </c>
      <c r="AI566" s="1">
        <v>2E-3</v>
      </c>
      <c r="AJ566" s="1">
        <v>8.5000000000000006E-2</v>
      </c>
      <c r="AK566" s="1">
        <v>5.0000000000000001E-3</v>
      </c>
      <c r="AL566" s="1">
        <v>0</v>
      </c>
      <c r="AM566" s="1">
        <v>4.0000000000000001E-3</v>
      </c>
      <c r="AN566" s="1">
        <v>0.371</v>
      </c>
      <c r="AO566" s="1">
        <v>2E-3</v>
      </c>
      <c r="AP566" s="1">
        <v>2E-3</v>
      </c>
      <c r="AQ566" s="1">
        <v>2E-3</v>
      </c>
      <c r="AR566" s="1">
        <v>1.2999999999999999E-2</v>
      </c>
      <c r="AS566" s="1">
        <v>0.01</v>
      </c>
      <c r="AT566" s="1">
        <v>4.0000000000000001E-3</v>
      </c>
      <c r="AU566" s="1">
        <v>4.0000000000000001E-3</v>
      </c>
      <c r="AV566" s="1">
        <v>6.0000000000000001E-3</v>
      </c>
      <c r="AW566" s="1">
        <v>3.0000000000000001E-3</v>
      </c>
      <c r="AX566" s="1">
        <v>6.0000000000000001E-3</v>
      </c>
      <c r="AY566" s="1">
        <v>5.0000000000000001E-3</v>
      </c>
      <c r="AZ566" s="1">
        <v>8.9999999999999993E-3</v>
      </c>
      <c r="BA566" s="1">
        <v>0.01</v>
      </c>
      <c r="BB566" s="1">
        <v>5.0000000000000001E-3</v>
      </c>
      <c r="BC566" s="1">
        <v>2E-3</v>
      </c>
      <c r="BD566" s="1">
        <v>1.7000000000000001E-2</v>
      </c>
      <c r="BE566" s="1">
        <v>4.0000000000000001E-3</v>
      </c>
      <c r="BF566" s="1">
        <v>7.0000000000000001E-3</v>
      </c>
      <c r="BG566" s="1">
        <v>1E-3</v>
      </c>
      <c r="BH566" s="1">
        <v>3.0000000000000001E-3</v>
      </c>
      <c r="BI566" s="1">
        <v>2E-3</v>
      </c>
      <c r="BJ566" s="1">
        <v>3.0000000000000001E-3</v>
      </c>
      <c r="BK566" s="1">
        <v>2E-3</v>
      </c>
      <c r="BL566" s="1">
        <v>4.0000000000000001E-3</v>
      </c>
      <c r="BM566" s="1">
        <v>2E-3</v>
      </c>
      <c r="BN566" s="1">
        <v>6.0000000000000001E-3</v>
      </c>
      <c r="BO566" s="1">
        <v>8.9999999999999993E-3</v>
      </c>
      <c r="BP566" s="1">
        <v>4.0000000000000001E-3</v>
      </c>
      <c r="BQ566" s="1">
        <v>6.0000000000000001E-3</v>
      </c>
      <c r="BR566" s="1">
        <v>3.0000000000000001E-3</v>
      </c>
      <c r="BS566" s="1">
        <v>5.0000000000000001E-3</v>
      </c>
      <c r="BT566" s="1">
        <v>2E-3</v>
      </c>
      <c r="BU566" s="1">
        <v>6.0000000000000001E-3</v>
      </c>
      <c r="BV566" s="1">
        <v>6.0000000000000001E-3</v>
      </c>
      <c r="BW566" s="1">
        <v>3.0000000000000001E-3</v>
      </c>
      <c r="BX566" s="1">
        <v>0.129</v>
      </c>
      <c r="BY566" s="1">
        <v>6.0000000000000001E-3</v>
      </c>
      <c r="BZ566" s="1">
        <v>1.0999999999999999E-2</v>
      </c>
      <c r="CA566" s="1">
        <v>4.0000000000000001E-3</v>
      </c>
      <c r="CB566" s="1">
        <v>6.0000000000000001E-3</v>
      </c>
      <c r="CC566" s="1">
        <v>7.0000000000000001E-3</v>
      </c>
      <c r="CD566" s="1">
        <v>0</v>
      </c>
      <c r="CE566" s="1">
        <v>3.0000000000000001E-3</v>
      </c>
      <c r="CF566" s="1">
        <v>3.0000000000000001E-3</v>
      </c>
      <c r="CG566" s="1">
        <v>7.0000000000000001E-3</v>
      </c>
      <c r="CH566" s="1">
        <v>4.0000000000000001E-3</v>
      </c>
      <c r="CI566" s="1">
        <v>3.0000000000000001E-3</v>
      </c>
      <c r="CJ566" s="1">
        <v>6.0000000000000001E-3</v>
      </c>
      <c r="CK566" s="1">
        <v>5.1999999999999998E-2</v>
      </c>
      <c r="CL566" s="1">
        <v>1.2E-2</v>
      </c>
      <c r="CM566" s="1">
        <v>-32.571973640000003</v>
      </c>
      <c r="CN566" s="83">
        <v>-21.722849740000001</v>
      </c>
    </row>
    <row r="567" spans="1:92" s="3" customFormat="1" x14ac:dyDescent="0.25">
      <c r="A567" s="72">
        <v>599</v>
      </c>
      <c r="B567" s="81" t="s">
        <v>1145</v>
      </c>
      <c r="C567" s="1" t="s">
        <v>83</v>
      </c>
      <c r="D567" s="1" t="s">
        <v>73</v>
      </c>
      <c r="E567" s="1" t="s">
        <v>74</v>
      </c>
      <c r="F567" s="1" t="s">
        <v>128</v>
      </c>
      <c r="G567" s="1" t="s">
        <v>303</v>
      </c>
      <c r="H567" s="1" t="s">
        <v>570</v>
      </c>
      <c r="I567" s="1"/>
      <c r="J567" s="9" t="s">
        <v>544</v>
      </c>
      <c r="K567" s="10">
        <v>0.56383316666666705</v>
      </c>
      <c r="L567" s="1" t="s">
        <v>76</v>
      </c>
      <c r="M567" s="1" t="s">
        <v>506</v>
      </c>
      <c r="N567" s="1" t="s">
        <v>645</v>
      </c>
      <c r="O567" s="1" t="s">
        <v>55</v>
      </c>
      <c r="P567" s="82">
        <v>0.98399999999999999</v>
      </c>
      <c r="Q567" s="1" t="s">
        <v>76</v>
      </c>
      <c r="R567" s="81" t="s">
        <v>87</v>
      </c>
      <c r="S567" s="1">
        <v>3</v>
      </c>
      <c r="T567" s="1" t="s">
        <v>78</v>
      </c>
      <c r="U567" s="1" t="s">
        <v>658</v>
      </c>
      <c r="V567" s="1" t="s">
        <v>654</v>
      </c>
      <c r="W567" s="1">
        <v>17</v>
      </c>
      <c r="X567" s="1" t="s">
        <v>304</v>
      </c>
      <c r="Y567" s="1" t="s">
        <v>645</v>
      </c>
      <c r="Z567" s="1">
        <v>0</v>
      </c>
      <c r="AA567" s="1">
        <v>0</v>
      </c>
      <c r="AB567" s="1">
        <v>0</v>
      </c>
      <c r="AC567" s="1">
        <v>2E-3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1E-3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4.0000000000000001E-3</v>
      </c>
      <c r="BW567" s="1">
        <v>0</v>
      </c>
      <c r="BX567" s="1">
        <v>0.98399999999999999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1E-3</v>
      </c>
      <c r="CL567" s="1">
        <v>0</v>
      </c>
      <c r="CM567" s="1">
        <v>59.125096749999997</v>
      </c>
      <c r="CN567" s="83">
        <v>22.7703776</v>
      </c>
    </row>
    <row r="568" spans="1:92" s="3" customFormat="1" x14ac:dyDescent="0.25">
      <c r="A568" s="72">
        <v>600</v>
      </c>
      <c r="B568" s="81" t="s">
        <v>1616</v>
      </c>
      <c r="C568" s="1" t="s">
        <v>83</v>
      </c>
      <c r="D568" s="1" t="s">
        <v>73</v>
      </c>
      <c r="E568" s="1" t="s">
        <v>99</v>
      </c>
      <c r="F568" s="1" t="s">
        <v>128</v>
      </c>
      <c r="G568" s="1" t="s">
        <v>307</v>
      </c>
      <c r="H568" s="1" t="s">
        <v>570</v>
      </c>
      <c r="I568" s="1"/>
      <c r="J568" s="9" t="s">
        <v>544</v>
      </c>
      <c r="K568" s="10">
        <v>0.550356333333334</v>
      </c>
      <c r="L568" s="1" t="s">
        <v>76</v>
      </c>
      <c r="M568" s="1" t="s">
        <v>506</v>
      </c>
      <c r="N568" s="1" t="s">
        <v>645</v>
      </c>
      <c r="O568" s="1" t="s">
        <v>55</v>
      </c>
      <c r="P568" s="82">
        <v>0.99099999999999999</v>
      </c>
      <c r="Q568" s="1" t="s">
        <v>76</v>
      </c>
      <c r="R568" s="81" t="s">
        <v>151</v>
      </c>
      <c r="S568" s="1">
        <v>3</v>
      </c>
      <c r="T568" s="1" t="s">
        <v>78</v>
      </c>
      <c r="U568" s="1" t="s">
        <v>658</v>
      </c>
      <c r="V568" s="1" t="s">
        <v>654</v>
      </c>
      <c r="W568" s="1">
        <v>8</v>
      </c>
      <c r="X568" s="1" t="s">
        <v>76</v>
      </c>
      <c r="Y568" s="1" t="s">
        <v>645</v>
      </c>
      <c r="Z568" s="1">
        <v>0</v>
      </c>
      <c r="AA568" s="1">
        <v>0</v>
      </c>
      <c r="AB568" s="1">
        <v>0</v>
      </c>
      <c r="AC568" s="1">
        <v>1E-3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1E-3</v>
      </c>
      <c r="BW568" s="1">
        <v>0</v>
      </c>
      <c r="BX568" s="1">
        <v>0.99099999999999999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1E-3</v>
      </c>
      <c r="CL568" s="1">
        <v>0</v>
      </c>
      <c r="CM568" s="1">
        <v>36.515457310000002</v>
      </c>
      <c r="CN568" s="83">
        <v>32.927071730000002</v>
      </c>
    </row>
    <row r="569" spans="1:92" s="3" customFormat="1" x14ac:dyDescent="0.25">
      <c r="A569" s="72">
        <v>601</v>
      </c>
      <c r="B569" s="81" t="s">
        <v>1245</v>
      </c>
      <c r="C569" s="1" t="s">
        <v>83</v>
      </c>
      <c r="D569" s="1" t="s">
        <v>79</v>
      </c>
      <c r="E569" s="1" t="s">
        <v>74</v>
      </c>
      <c r="F569" s="1" t="s">
        <v>128</v>
      </c>
      <c r="G569" s="1" t="s">
        <v>320</v>
      </c>
      <c r="H569" s="1" t="s">
        <v>570</v>
      </c>
      <c r="I569" s="1"/>
      <c r="J569" s="9" t="s">
        <v>544</v>
      </c>
      <c r="K569" s="10">
        <v>0.308300666666667</v>
      </c>
      <c r="L569" s="1" t="s">
        <v>641</v>
      </c>
      <c r="M569" s="1" t="s">
        <v>76</v>
      </c>
      <c r="N569" s="1" t="s">
        <v>649</v>
      </c>
      <c r="O569" s="1" t="s">
        <v>55</v>
      </c>
      <c r="P569" s="82">
        <v>0.58399999999999996</v>
      </c>
      <c r="Q569" s="1" t="s">
        <v>76</v>
      </c>
      <c r="R569" s="81" t="s">
        <v>87</v>
      </c>
      <c r="S569" s="1">
        <v>3</v>
      </c>
      <c r="T569" s="1" t="s">
        <v>78</v>
      </c>
      <c r="U569" s="1" t="s">
        <v>658</v>
      </c>
      <c r="V569" s="1" t="s">
        <v>654</v>
      </c>
      <c r="W569" s="1">
        <v>8</v>
      </c>
      <c r="X569" s="1" t="s">
        <v>76</v>
      </c>
      <c r="Y569" s="1" t="s">
        <v>649</v>
      </c>
      <c r="Z569" s="1">
        <v>0</v>
      </c>
      <c r="AA569" s="1">
        <v>0</v>
      </c>
      <c r="AB569" s="1">
        <v>0</v>
      </c>
      <c r="AC569" s="1">
        <v>8.9999999999999993E-3</v>
      </c>
      <c r="AD569" s="1">
        <v>1E-3</v>
      </c>
      <c r="AE569" s="1">
        <v>1E-3</v>
      </c>
      <c r="AF569" s="1">
        <v>0</v>
      </c>
      <c r="AG569" s="1">
        <v>0</v>
      </c>
      <c r="AH569" s="1">
        <v>1E-3</v>
      </c>
      <c r="AI569" s="1">
        <v>1E-3</v>
      </c>
      <c r="AJ569" s="1">
        <v>0</v>
      </c>
      <c r="AK569" s="1">
        <v>1E-3</v>
      </c>
      <c r="AL569" s="1">
        <v>0</v>
      </c>
      <c r="AM569" s="1">
        <v>0</v>
      </c>
      <c r="AN569" s="1">
        <v>1.6E-2</v>
      </c>
      <c r="AO569" s="1">
        <v>0</v>
      </c>
      <c r="AP569" s="1">
        <v>1E-3</v>
      </c>
      <c r="AQ569" s="1">
        <v>0</v>
      </c>
      <c r="AR569" s="1">
        <v>0</v>
      </c>
      <c r="AS569" s="1">
        <v>1E-3</v>
      </c>
      <c r="AT569" s="1">
        <v>1E-3</v>
      </c>
      <c r="AU569" s="1">
        <v>0</v>
      </c>
      <c r="AV569" s="1">
        <v>0</v>
      </c>
      <c r="AW569" s="1">
        <v>0</v>
      </c>
      <c r="AX569" s="1">
        <v>0</v>
      </c>
      <c r="AY569" s="1">
        <v>1E-3</v>
      </c>
      <c r="AZ569" s="1">
        <v>1E-3</v>
      </c>
      <c r="BA569" s="1">
        <v>1E-3</v>
      </c>
      <c r="BB569" s="1">
        <v>0</v>
      </c>
      <c r="BC569" s="1">
        <v>0</v>
      </c>
      <c r="BD569" s="1">
        <v>2E-3</v>
      </c>
      <c r="BE569" s="1">
        <v>0</v>
      </c>
      <c r="BF569" s="1">
        <v>0.35</v>
      </c>
      <c r="BG569" s="1">
        <v>0</v>
      </c>
      <c r="BH569" s="1">
        <v>8.9999999999999993E-3</v>
      </c>
      <c r="BI569" s="1">
        <v>0</v>
      </c>
      <c r="BJ569" s="1">
        <v>0</v>
      </c>
      <c r="BK569" s="1">
        <v>0</v>
      </c>
      <c r="BL569" s="1">
        <v>1E-3</v>
      </c>
      <c r="BM569" s="1">
        <v>0</v>
      </c>
      <c r="BN569" s="1">
        <v>1E-3</v>
      </c>
      <c r="BO569" s="1">
        <v>0</v>
      </c>
      <c r="BP569" s="1">
        <v>0</v>
      </c>
      <c r="BQ569" s="1">
        <v>1E-3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0.58399999999999996</v>
      </c>
      <c r="BY569" s="1">
        <v>1E-3</v>
      </c>
      <c r="BZ569" s="1">
        <v>1E-3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1E-3</v>
      </c>
      <c r="CG569" s="1">
        <v>1E-3</v>
      </c>
      <c r="CH569" s="1">
        <v>1E-3</v>
      </c>
      <c r="CI569" s="1">
        <v>1E-3</v>
      </c>
      <c r="CJ569" s="1">
        <v>1E-3</v>
      </c>
      <c r="CK569" s="1">
        <v>3.0000000000000001E-3</v>
      </c>
      <c r="CL569" s="1">
        <v>1E-3</v>
      </c>
      <c r="CM569" s="1">
        <v>-6.8009397429999998</v>
      </c>
      <c r="CN569" s="83">
        <v>-41.980029360000003</v>
      </c>
    </row>
    <row r="570" spans="1:92" s="3" customFormat="1" x14ac:dyDescent="0.25">
      <c r="A570" s="72">
        <v>602</v>
      </c>
      <c r="B570" s="81" t="s">
        <v>1211</v>
      </c>
      <c r="C570" s="1" t="s">
        <v>83</v>
      </c>
      <c r="D570" s="1" t="s">
        <v>79</v>
      </c>
      <c r="E570" s="1" t="s">
        <v>74</v>
      </c>
      <c r="F570" s="1" t="s">
        <v>128</v>
      </c>
      <c r="G570" s="1" t="s">
        <v>219</v>
      </c>
      <c r="H570" s="1" t="s">
        <v>570</v>
      </c>
      <c r="I570" s="1"/>
      <c r="J570" s="9" t="s">
        <v>544</v>
      </c>
      <c r="K570" s="10">
        <v>0.36486166666666597</v>
      </c>
      <c r="L570" s="1" t="s">
        <v>641</v>
      </c>
      <c r="M570" s="1" t="s">
        <v>76</v>
      </c>
      <c r="N570" s="1" t="s">
        <v>644</v>
      </c>
      <c r="O570" s="1" t="s">
        <v>37</v>
      </c>
      <c r="P570" s="82">
        <v>0.61599999999999999</v>
      </c>
      <c r="Q570" s="1" t="s">
        <v>76</v>
      </c>
      <c r="R570" s="81" t="s">
        <v>77</v>
      </c>
      <c r="S570" s="1">
        <v>3</v>
      </c>
      <c r="T570" s="1" t="s">
        <v>78</v>
      </c>
      <c r="U570" s="1" t="s">
        <v>658</v>
      </c>
      <c r="V570" s="1" t="s">
        <v>654</v>
      </c>
      <c r="W570" s="1">
        <v>9</v>
      </c>
      <c r="X570" s="1" t="s">
        <v>350</v>
      </c>
      <c r="Y570" s="1" t="s">
        <v>644</v>
      </c>
      <c r="Z570" s="1">
        <v>0.01</v>
      </c>
      <c r="AA570" s="1">
        <v>2E-3</v>
      </c>
      <c r="AB570" s="1">
        <v>1E-3</v>
      </c>
      <c r="AC570" s="1">
        <v>0.04</v>
      </c>
      <c r="AD570" s="1">
        <v>4.0000000000000001E-3</v>
      </c>
      <c r="AE570" s="1">
        <v>4.0000000000000001E-3</v>
      </c>
      <c r="AF570" s="1">
        <v>1E-3</v>
      </c>
      <c r="AG570" s="1">
        <v>0</v>
      </c>
      <c r="AH570" s="1">
        <v>1.2999999999999999E-2</v>
      </c>
      <c r="AI570" s="1">
        <v>8.9999999999999993E-3</v>
      </c>
      <c r="AJ570" s="1">
        <v>1E-3</v>
      </c>
      <c r="AK570" s="1">
        <v>3.0000000000000001E-3</v>
      </c>
      <c r="AL570" s="1">
        <v>0</v>
      </c>
      <c r="AM570" s="1">
        <v>1E-3</v>
      </c>
      <c r="AN570" s="1">
        <v>4.9000000000000002E-2</v>
      </c>
      <c r="AO570" s="1">
        <v>2E-3</v>
      </c>
      <c r="AP570" s="1">
        <v>3.0000000000000001E-3</v>
      </c>
      <c r="AQ570" s="1">
        <v>1E-3</v>
      </c>
      <c r="AR570" s="1">
        <v>2E-3</v>
      </c>
      <c r="AS570" s="1">
        <v>3.0000000000000001E-3</v>
      </c>
      <c r="AT570" s="1">
        <v>3.0000000000000001E-3</v>
      </c>
      <c r="AU570" s="1">
        <v>2E-3</v>
      </c>
      <c r="AV570" s="1">
        <v>3.0000000000000001E-3</v>
      </c>
      <c r="AW570" s="1">
        <v>2E-3</v>
      </c>
      <c r="AX570" s="1">
        <v>3.0000000000000001E-3</v>
      </c>
      <c r="AY570" s="1">
        <v>4.0000000000000001E-3</v>
      </c>
      <c r="AZ570" s="1">
        <v>3.0000000000000001E-3</v>
      </c>
      <c r="BA570" s="1">
        <v>6.0000000000000001E-3</v>
      </c>
      <c r="BB570" s="1">
        <v>1E-3</v>
      </c>
      <c r="BC570" s="1">
        <v>1E-3</v>
      </c>
      <c r="BD570" s="1">
        <v>0.01</v>
      </c>
      <c r="BE570" s="1">
        <v>2E-3</v>
      </c>
      <c r="BF570" s="1">
        <v>0.61599999999999999</v>
      </c>
      <c r="BG570" s="1">
        <v>0</v>
      </c>
      <c r="BH570" s="1">
        <v>4.2999999999999997E-2</v>
      </c>
      <c r="BI570" s="1">
        <v>1E-3</v>
      </c>
      <c r="BJ570" s="1">
        <v>1E-3</v>
      </c>
      <c r="BK570" s="1">
        <v>1E-3</v>
      </c>
      <c r="BL570" s="1">
        <v>2E-3</v>
      </c>
      <c r="BM570" s="1">
        <v>2E-3</v>
      </c>
      <c r="BN570" s="1">
        <v>2E-3</v>
      </c>
      <c r="BO570" s="1">
        <v>1E-3</v>
      </c>
      <c r="BP570" s="1">
        <v>1E-3</v>
      </c>
      <c r="BQ570" s="1">
        <v>3.0000000000000001E-3</v>
      </c>
      <c r="BR570" s="1">
        <v>2E-3</v>
      </c>
      <c r="BS570" s="1">
        <v>2E-3</v>
      </c>
      <c r="BT570" s="1">
        <v>1E-3</v>
      </c>
      <c r="BU570" s="1">
        <v>1E-3</v>
      </c>
      <c r="BV570" s="1">
        <v>1E-3</v>
      </c>
      <c r="BW570" s="1">
        <v>2E-3</v>
      </c>
      <c r="BX570" s="1">
        <v>2.3E-2</v>
      </c>
      <c r="BY570" s="1">
        <v>6.0000000000000001E-3</v>
      </c>
      <c r="BZ570" s="1">
        <v>3.0000000000000001E-3</v>
      </c>
      <c r="CA570" s="1">
        <v>3.0000000000000001E-3</v>
      </c>
      <c r="CB570" s="1">
        <v>1E-3</v>
      </c>
      <c r="CC570" s="1">
        <v>2E-3</v>
      </c>
      <c r="CD570" s="1">
        <v>0</v>
      </c>
      <c r="CE570" s="1">
        <v>2E-3</v>
      </c>
      <c r="CF570" s="1">
        <v>2E-3</v>
      </c>
      <c r="CG570" s="1">
        <v>1.2E-2</v>
      </c>
      <c r="CH570" s="1">
        <v>3.0000000000000001E-3</v>
      </c>
      <c r="CI570" s="1">
        <v>2E-3</v>
      </c>
      <c r="CJ570" s="1">
        <v>7.0000000000000001E-3</v>
      </c>
      <c r="CK570" s="1">
        <v>5.6000000000000001E-2</v>
      </c>
      <c r="CL570" s="1">
        <v>8.0000000000000002E-3</v>
      </c>
      <c r="CM570" s="1">
        <v>-0.109950097</v>
      </c>
      <c r="CN570" s="83">
        <v>-46.453937179999997</v>
      </c>
    </row>
    <row r="571" spans="1:92" s="3" customFormat="1" x14ac:dyDescent="0.25">
      <c r="A571" s="72">
        <v>603</v>
      </c>
      <c r="B571" s="81" t="s">
        <v>1241</v>
      </c>
      <c r="C571" s="1" t="s">
        <v>83</v>
      </c>
      <c r="D571" s="1" t="s">
        <v>73</v>
      </c>
      <c r="E571" s="1" t="s">
        <v>195</v>
      </c>
      <c r="F571" s="1" t="s">
        <v>128</v>
      </c>
      <c r="G571" s="1" t="s">
        <v>303</v>
      </c>
      <c r="H571" s="1" t="s">
        <v>570</v>
      </c>
      <c r="I571" s="1"/>
      <c r="J571" s="9" t="s">
        <v>544</v>
      </c>
      <c r="K571" s="10">
        <v>0.45811766666666698</v>
      </c>
      <c r="L571" s="1" t="s">
        <v>76</v>
      </c>
      <c r="M571" s="1" t="s">
        <v>506</v>
      </c>
      <c r="N571" s="1" t="s">
        <v>645</v>
      </c>
      <c r="O571" s="1" t="s">
        <v>55</v>
      </c>
      <c r="P571" s="82">
        <v>1</v>
      </c>
      <c r="Q571" s="1" t="s">
        <v>76</v>
      </c>
      <c r="R571" s="81" t="s">
        <v>118</v>
      </c>
      <c r="S571" s="1">
        <v>3</v>
      </c>
      <c r="T571" s="1" t="s">
        <v>78</v>
      </c>
      <c r="U571" s="1" t="s">
        <v>658</v>
      </c>
      <c r="V571" s="1" t="s">
        <v>654</v>
      </c>
      <c r="W571" s="1">
        <v>37</v>
      </c>
      <c r="X571" s="1" t="s">
        <v>76</v>
      </c>
      <c r="Y571" s="1" t="s">
        <v>645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1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56.649605489999999</v>
      </c>
      <c r="CN571" s="83">
        <v>1.074452279</v>
      </c>
    </row>
    <row r="572" spans="1:92" s="3" customFormat="1" x14ac:dyDescent="0.25">
      <c r="A572" s="72">
        <v>604</v>
      </c>
      <c r="B572" s="81" t="s">
        <v>1266</v>
      </c>
      <c r="C572" s="1" t="s">
        <v>83</v>
      </c>
      <c r="D572" s="1" t="s">
        <v>73</v>
      </c>
      <c r="E572" s="1" t="s">
        <v>195</v>
      </c>
      <c r="F572" s="1" t="s">
        <v>128</v>
      </c>
      <c r="G572" s="1" t="s">
        <v>303</v>
      </c>
      <c r="H572" s="1" t="s">
        <v>570</v>
      </c>
      <c r="I572" s="1"/>
      <c r="J572" s="9" t="s">
        <v>544</v>
      </c>
      <c r="K572" s="10">
        <v>0.41881249999999898</v>
      </c>
      <c r="L572" s="1" t="s">
        <v>76</v>
      </c>
      <c r="M572" s="1" t="s">
        <v>506</v>
      </c>
      <c r="N572" s="1" t="s">
        <v>645</v>
      </c>
      <c r="O572" s="1" t="s">
        <v>55</v>
      </c>
      <c r="P572" s="82">
        <v>0.998</v>
      </c>
      <c r="Q572" s="1" t="s">
        <v>76</v>
      </c>
      <c r="R572" s="81" t="s">
        <v>323</v>
      </c>
      <c r="S572" s="1">
        <v>3</v>
      </c>
      <c r="T572" s="1" t="s">
        <v>78</v>
      </c>
      <c r="U572" s="1" t="s">
        <v>658</v>
      </c>
      <c r="V572" s="1" t="s">
        <v>654</v>
      </c>
      <c r="W572" s="1">
        <v>15</v>
      </c>
      <c r="X572" s="1" t="s">
        <v>304</v>
      </c>
      <c r="Y572" s="1" t="s">
        <v>645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0.998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1.3952117340000001</v>
      </c>
      <c r="CN572" s="83">
        <v>12.718625100000001</v>
      </c>
    </row>
    <row r="573" spans="1:92" s="3" customFormat="1" x14ac:dyDescent="0.25">
      <c r="A573" s="72">
        <v>605</v>
      </c>
      <c r="B573" s="81" t="s">
        <v>1160</v>
      </c>
      <c r="C573" s="1" t="s">
        <v>83</v>
      </c>
      <c r="D573" s="1" t="s">
        <v>73</v>
      </c>
      <c r="E573" s="1" t="s">
        <v>74</v>
      </c>
      <c r="F573" s="1" t="s">
        <v>128</v>
      </c>
      <c r="G573" s="1" t="s">
        <v>303</v>
      </c>
      <c r="H573" s="1" t="s">
        <v>570</v>
      </c>
      <c r="I573" s="1"/>
      <c r="J573" s="9" t="s">
        <v>544</v>
      </c>
      <c r="K573" s="10">
        <v>0.45589149999999901</v>
      </c>
      <c r="L573" s="1" t="s">
        <v>76</v>
      </c>
      <c r="M573" s="1" t="s">
        <v>506</v>
      </c>
      <c r="N573" s="1" t="s">
        <v>645</v>
      </c>
      <c r="O573" s="1" t="s">
        <v>55</v>
      </c>
      <c r="P573" s="82">
        <v>1</v>
      </c>
      <c r="Q573" s="1" t="s">
        <v>76</v>
      </c>
      <c r="R573" s="81" t="s">
        <v>87</v>
      </c>
      <c r="S573" s="1">
        <v>3</v>
      </c>
      <c r="T573" s="1" t="s">
        <v>78</v>
      </c>
      <c r="U573" s="1" t="s">
        <v>658</v>
      </c>
      <c r="V573" s="1" t="s">
        <v>654</v>
      </c>
      <c r="W573" s="1">
        <v>9</v>
      </c>
      <c r="X573" s="1" t="s">
        <v>304</v>
      </c>
      <c r="Y573" s="1" t="s">
        <v>645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1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25.506594100000001</v>
      </c>
      <c r="CN573" s="83">
        <v>25.240294380000002</v>
      </c>
    </row>
    <row r="574" spans="1:92" s="3" customFormat="1" x14ac:dyDescent="0.25">
      <c r="A574" s="72">
        <v>606</v>
      </c>
      <c r="B574" s="81" t="s">
        <v>1352</v>
      </c>
      <c r="C574" s="1" t="s">
        <v>83</v>
      </c>
      <c r="D574" s="1" t="s">
        <v>73</v>
      </c>
      <c r="E574" s="1" t="s">
        <v>99</v>
      </c>
      <c r="F574" s="1" t="s">
        <v>128</v>
      </c>
      <c r="G574" s="1" t="s">
        <v>306</v>
      </c>
      <c r="H574" s="1" t="s">
        <v>570</v>
      </c>
      <c r="I574" s="1"/>
      <c r="J574" s="9" t="s">
        <v>544</v>
      </c>
      <c r="K574" s="10">
        <v>0.61178500000000002</v>
      </c>
      <c r="L574" s="1" t="s">
        <v>641</v>
      </c>
      <c r="M574" s="1" t="s">
        <v>76</v>
      </c>
      <c r="N574" s="1" t="s">
        <v>649</v>
      </c>
      <c r="O574" s="1" t="s">
        <v>55</v>
      </c>
      <c r="P574" s="82">
        <v>0.76500000000000001</v>
      </c>
      <c r="Q574" s="1" t="s">
        <v>76</v>
      </c>
      <c r="R574" s="81" t="s">
        <v>77</v>
      </c>
      <c r="S574" s="1">
        <v>3</v>
      </c>
      <c r="T574" s="1" t="s">
        <v>78</v>
      </c>
      <c r="U574" s="1" t="s">
        <v>658</v>
      </c>
      <c r="V574" s="1" t="s">
        <v>654</v>
      </c>
      <c r="W574" s="1">
        <v>13</v>
      </c>
      <c r="X574" s="1" t="s">
        <v>304</v>
      </c>
      <c r="Y574" s="1" t="s">
        <v>649</v>
      </c>
      <c r="Z574" s="1">
        <v>0</v>
      </c>
      <c r="AA574" s="1">
        <v>1E-3</v>
      </c>
      <c r="AB574" s="1">
        <v>1E-3</v>
      </c>
      <c r="AC574" s="1">
        <v>0.01</v>
      </c>
      <c r="AD574" s="1">
        <v>1E-3</v>
      </c>
      <c r="AE574" s="1">
        <v>1E-3</v>
      </c>
      <c r="AF574" s="1">
        <v>1E-3</v>
      </c>
      <c r="AG574" s="1">
        <v>0</v>
      </c>
      <c r="AH574" s="1">
        <v>3.0000000000000001E-3</v>
      </c>
      <c r="AI574" s="1">
        <v>0</v>
      </c>
      <c r="AJ574" s="1">
        <v>1E-3</v>
      </c>
      <c r="AK574" s="1">
        <v>7.0000000000000001E-3</v>
      </c>
      <c r="AL574" s="1">
        <v>0</v>
      </c>
      <c r="AM574" s="1">
        <v>1E-3</v>
      </c>
      <c r="AN574" s="1">
        <v>1E-3</v>
      </c>
      <c r="AO574" s="1">
        <v>6.0000000000000001E-3</v>
      </c>
      <c r="AP574" s="1">
        <v>1E-3</v>
      </c>
      <c r="AQ574" s="1">
        <v>1E-3</v>
      </c>
      <c r="AR574" s="1">
        <v>1E-3</v>
      </c>
      <c r="AS574" s="1">
        <v>4.0000000000000001E-3</v>
      </c>
      <c r="AT574" s="1">
        <v>3.0000000000000001E-3</v>
      </c>
      <c r="AU574" s="1">
        <v>4.0000000000000001E-3</v>
      </c>
      <c r="AV574" s="1">
        <v>1E-3</v>
      </c>
      <c r="AW574" s="1">
        <v>2E-3</v>
      </c>
      <c r="AX574" s="1">
        <v>1E-3</v>
      </c>
      <c r="AY574" s="1">
        <v>1E-3</v>
      </c>
      <c r="AZ574" s="1">
        <v>2E-3</v>
      </c>
      <c r="BA574" s="1">
        <v>4.0000000000000001E-3</v>
      </c>
      <c r="BB574" s="1">
        <v>8.6999999999999994E-2</v>
      </c>
      <c r="BC574" s="1">
        <v>1E-3</v>
      </c>
      <c r="BD574" s="1">
        <v>5.0000000000000001E-3</v>
      </c>
      <c r="BE574" s="1">
        <v>1E-3</v>
      </c>
      <c r="BF574" s="1">
        <v>0</v>
      </c>
      <c r="BG574" s="1">
        <v>1E-3</v>
      </c>
      <c r="BH574" s="1">
        <v>1E-3</v>
      </c>
      <c r="BI574" s="1">
        <v>1E-3</v>
      </c>
      <c r="BJ574" s="1">
        <v>0</v>
      </c>
      <c r="BK574" s="1">
        <v>1E-3</v>
      </c>
      <c r="BL574" s="1">
        <v>3.0000000000000001E-3</v>
      </c>
      <c r="BM574" s="1">
        <v>1E-3</v>
      </c>
      <c r="BN574" s="1">
        <v>2E-3</v>
      </c>
      <c r="BO574" s="1">
        <v>2E-3</v>
      </c>
      <c r="BP574" s="1">
        <v>0</v>
      </c>
      <c r="BQ574" s="1">
        <v>4.0000000000000001E-3</v>
      </c>
      <c r="BR574" s="1">
        <v>2E-3</v>
      </c>
      <c r="BS574" s="1">
        <v>1E-3</v>
      </c>
      <c r="BT574" s="1">
        <v>1E-3</v>
      </c>
      <c r="BU574" s="1">
        <v>0</v>
      </c>
      <c r="BV574" s="1">
        <v>1.9E-2</v>
      </c>
      <c r="BW574" s="1">
        <v>2E-3</v>
      </c>
      <c r="BX574" s="1">
        <v>0.76500000000000001</v>
      </c>
      <c r="BY574" s="1">
        <v>3.0000000000000001E-3</v>
      </c>
      <c r="BZ574" s="1">
        <v>2E-3</v>
      </c>
      <c r="CA574" s="1">
        <v>1E-3</v>
      </c>
      <c r="CB574" s="1">
        <v>0</v>
      </c>
      <c r="CC574" s="1">
        <v>1E-3</v>
      </c>
      <c r="CD574" s="1">
        <v>0</v>
      </c>
      <c r="CE574" s="1">
        <v>1E-3</v>
      </c>
      <c r="CF574" s="1">
        <v>1E-3</v>
      </c>
      <c r="CG574" s="1">
        <v>2E-3</v>
      </c>
      <c r="CH574" s="1">
        <v>3.0000000000000001E-3</v>
      </c>
      <c r="CI574" s="1">
        <v>2E-3</v>
      </c>
      <c r="CJ574" s="1">
        <v>3.0000000000000001E-3</v>
      </c>
      <c r="CK574" s="1">
        <v>1.7999999999999999E-2</v>
      </c>
      <c r="CL574" s="1">
        <v>2E-3</v>
      </c>
      <c r="CM574" s="1">
        <v>35.792966929999999</v>
      </c>
      <c r="CN574" s="83">
        <v>38.725416039999999</v>
      </c>
    </row>
    <row r="575" spans="1:92" s="3" customFormat="1" x14ac:dyDescent="0.25">
      <c r="A575" s="72">
        <v>607</v>
      </c>
      <c r="B575" s="81" t="s">
        <v>1410</v>
      </c>
      <c r="C575" s="1" t="s">
        <v>83</v>
      </c>
      <c r="D575" s="1" t="s">
        <v>73</v>
      </c>
      <c r="E575" s="1" t="s">
        <v>99</v>
      </c>
      <c r="F575" s="1" t="s">
        <v>128</v>
      </c>
      <c r="G575" s="1" t="s">
        <v>306</v>
      </c>
      <c r="H575" s="1" t="s">
        <v>570</v>
      </c>
      <c r="I575" s="1"/>
      <c r="J575" s="9" t="s">
        <v>544</v>
      </c>
      <c r="K575" s="10">
        <v>0.42730883333333303</v>
      </c>
      <c r="L575" s="1" t="s">
        <v>641</v>
      </c>
      <c r="M575" s="1" t="s">
        <v>76</v>
      </c>
      <c r="N575" s="1" t="s">
        <v>649</v>
      </c>
      <c r="O575" s="1" t="s">
        <v>55</v>
      </c>
      <c r="P575" s="82">
        <v>0.84299999999999997</v>
      </c>
      <c r="Q575" s="1" t="s">
        <v>76</v>
      </c>
      <c r="R575" s="81" t="s">
        <v>323</v>
      </c>
      <c r="S575" s="1">
        <v>3</v>
      </c>
      <c r="T575" s="1" t="s">
        <v>78</v>
      </c>
      <c r="U575" s="1" t="s">
        <v>658</v>
      </c>
      <c r="V575" s="1" t="s">
        <v>654</v>
      </c>
      <c r="W575" s="1">
        <v>17</v>
      </c>
      <c r="X575" s="1" t="s">
        <v>304</v>
      </c>
      <c r="Y575" s="1" t="s">
        <v>649</v>
      </c>
      <c r="Z575" s="1">
        <v>0</v>
      </c>
      <c r="AA575" s="1">
        <v>1E-3</v>
      </c>
      <c r="AB575" s="1">
        <v>1E-3</v>
      </c>
      <c r="AC575" s="1">
        <v>1.0999999999999999E-2</v>
      </c>
      <c r="AD575" s="1">
        <v>1E-3</v>
      </c>
      <c r="AE575" s="1">
        <v>2E-3</v>
      </c>
      <c r="AF575" s="1">
        <v>1E-3</v>
      </c>
      <c r="AG575" s="1">
        <v>0</v>
      </c>
      <c r="AH575" s="1">
        <v>3.0000000000000001E-3</v>
      </c>
      <c r="AI575" s="1">
        <v>0</v>
      </c>
      <c r="AJ575" s="1">
        <v>2E-3</v>
      </c>
      <c r="AK575" s="1">
        <v>3.0000000000000001E-3</v>
      </c>
      <c r="AL575" s="1">
        <v>0</v>
      </c>
      <c r="AM575" s="1">
        <v>1E-3</v>
      </c>
      <c r="AN575" s="1">
        <v>1E-3</v>
      </c>
      <c r="AO575" s="1">
        <v>2E-3</v>
      </c>
      <c r="AP575" s="1">
        <v>1E-3</v>
      </c>
      <c r="AQ575" s="1">
        <v>1E-3</v>
      </c>
      <c r="AR575" s="1">
        <v>1E-3</v>
      </c>
      <c r="AS575" s="1">
        <v>6.0000000000000001E-3</v>
      </c>
      <c r="AT575" s="1">
        <v>3.0000000000000001E-3</v>
      </c>
      <c r="AU575" s="1">
        <v>1E-3</v>
      </c>
      <c r="AV575" s="1">
        <v>1E-3</v>
      </c>
      <c r="AW575" s="1">
        <v>1E-3</v>
      </c>
      <c r="AX575" s="1">
        <v>1E-3</v>
      </c>
      <c r="AY575" s="1">
        <v>1E-3</v>
      </c>
      <c r="AZ575" s="1">
        <v>2E-3</v>
      </c>
      <c r="BA575" s="1">
        <v>3.0000000000000001E-3</v>
      </c>
      <c r="BB575" s="1">
        <v>5.0000000000000001E-3</v>
      </c>
      <c r="BC575" s="1">
        <v>1E-3</v>
      </c>
      <c r="BD575" s="1">
        <v>5.0000000000000001E-3</v>
      </c>
      <c r="BE575" s="1">
        <v>1E-3</v>
      </c>
      <c r="BF575" s="1">
        <v>0</v>
      </c>
      <c r="BG575" s="1">
        <v>1E-3</v>
      </c>
      <c r="BH575" s="1">
        <v>1E-3</v>
      </c>
      <c r="BI575" s="1">
        <v>1E-3</v>
      </c>
      <c r="BJ575" s="1">
        <v>0</v>
      </c>
      <c r="BK575" s="1">
        <v>1E-3</v>
      </c>
      <c r="BL575" s="1">
        <v>2E-3</v>
      </c>
      <c r="BM575" s="1">
        <v>1E-3</v>
      </c>
      <c r="BN575" s="1">
        <v>4.0000000000000001E-3</v>
      </c>
      <c r="BO575" s="1">
        <v>3.0000000000000001E-3</v>
      </c>
      <c r="BP575" s="1">
        <v>0</v>
      </c>
      <c r="BQ575" s="1">
        <v>3.0000000000000001E-3</v>
      </c>
      <c r="BR575" s="1">
        <v>1E-3</v>
      </c>
      <c r="BS575" s="1">
        <v>1E-3</v>
      </c>
      <c r="BT575" s="1">
        <v>1E-3</v>
      </c>
      <c r="BU575" s="1">
        <v>1E-3</v>
      </c>
      <c r="BV575" s="1">
        <v>2.1000000000000001E-2</v>
      </c>
      <c r="BW575" s="1">
        <v>1E-3</v>
      </c>
      <c r="BX575" s="1">
        <v>0.84299999999999997</v>
      </c>
      <c r="BY575" s="1">
        <v>3.0000000000000001E-3</v>
      </c>
      <c r="BZ575" s="1">
        <v>3.0000000000000001E-3</v>
      </c>
      <c r="CA575" s="1">
        <v>1E-3</v>
      </c>
      <c r="CB575" s="1">
        <v>1E-3</v>
      </c>
      <c r="CC575" s="1">
        <v>2E-3</v>
      </c>
      <c r="CD575" s="1">
        <v>0</v>
      </c>
      <c r="CE575" s="1">
        <v>1E-3</v>
      </c>
      <c r="CF575" s="1">
        <v>1E-3</v>
      </c>
      <c r="CG575" s="1">
        <v>4.0000000000000001E-3</v>
      </c>
      <c r="CH575" s="1">
        <v>2E-3</v>
      </c>
      <c r="CI575" s="1">
        <v>2E-3</v>
      </c>
      <c r="CJ575" s="1">
        <v>4.0000000000000001E-3</v>
      </c>
      <c r="CK575" s="1">
        <v>2.3E-2</v>
      </c>
      <c r="CL575" s="1">
        <v>3.0000000000000001E-3</v>
      </c>
      <c r="CM575" s="1">
        <v>23.368980019999999</v>
      </c>
      <c r="CN575" s="83">
        <v>16.427968109999998</v>
      </c>
    </row>
    <row r="576" spans="1:92" s="3" customFormat="1" x14ac:dyDescent="0.25">
      <c r="A576" s="72">
        <v>608</v>
      </c>
      <c r="B576" s="81" t="s">
        <v>1617</v>
      </c>
      <c r="C576" s="1" t="s">
        <v>83</v>
      </c>
      <c r="D576" s="1" t="s">
        <v>73</v>
      </c>
      <c r="E576" s="1" t="s">
        <v>99</v>
      </c>
      <c r="F576" s="1" t="s">
        <v>128</v>
      </c>
      <c r="G576" s="1" t="s">
        <v>320</v>
      </c>
      <c r="H576" s="1" t="s">
        <v>570</v>
      </c>
      <c r="I576" s="1"/>
      <c r="J576" s="9" t="s">
        <v>544</v>
      </c>
      <c r="K576" s="10">
        <v>0.28980216666666703</v>
      </c>
      <c r="L576" s="1" t="s">
        <v>641</v>
      </c>
      <c r="M576" s="1" t="s">
        <v>76</v>
      </c>
      <c r="N576" s="1" t="s">
        <v>644</v>
      </c>
      <c r="O576" s="1" t="s">
        <v>37</v>
      </c>
      <c r="P576" s="82">
        <v>0.47899999999999998</v>
      </c>
      <c r="Q576" s="1" t="s">
        <v>76</v>
      </c>
      <c r="R576" s="81" t="s">
        <v>81</v>
      </c>
      <c r="S576" s="1">
        <v>3</v>
      </c>
      <c r="T576" s="1" t="s">
        <v>78</v>
      </c>
      <c r="U576" s="1" t="s">
        <v>658</v>
      </c>
      <c r="V576" s="1" t="s">
        <v>654</v>
      </c>
      <c r="W576" s="1">
        <v>14</v>
      </c>
      <c r="X576" s="1" t="s">
        <v>348</v>
      </c>
      <c r="Y576" s="1" t="s">
        <v>644</v>
      </c>
      <c r="Z576" s="1">
        <v>2E-3</v>
      </c>
      <c r="AA576" s="1">
        <v>2E-3</v>
      </c>
      <c r="AB576" s="1">
        <v>1E-3</v>
      </c>
      <c r="AC576" s="1">
        <v>4.2000000000000003E-2</v>
      </c>
      <c r="AD576" s="1">
        <v>3.0000000000000001E-3</v>
      </c>
      <c r="AE576" s="1">
        <v>7.0000000000000001E-3</v>
      </c>
      <c r="AF576" s="1">
        <v>1E-3</v>
      </c>
      <c r="AG576" s="1">
        <v>0</v>
      </c>
      <c r="AH576" s="1">
        <v>7.0000000000000001E-3</v>
      </c>
      <c r="AI576" s="1">
        <v>5.0000000000000001E-3</v>
      </c>
      <c r="AJ576" s="1">
        <v>2E-3</v>
      </c>
      <c r="AK576" s="1">
        <v>3.0000000000000001E-3</v>
      </c>
      <c r="AL576" s="1">
        <v>0</v>
      </c>
      <c r="AM576" s="1">
        <v>1E-3</v>
      </c>
      <c r="AN576" s="1">
        <v>4.9000000000000002E-2</v>
      </c>
      <c r="AO576" s="1">
        <v>2E-3</v>
      </c>
      <c r="AP576" s="1">
        <v>3.0000000000000001E-3</v>
      </c>
      <c r="AQ576" s="1">
        <v>1E-3</v>
      </c>
      <c r="AR576" s="1">
        <v>1E-3</v>
      </c>
      <c r="AS576" s="1">
        <v>4.0000000000000001E-3</v>
      </c>
      <c r="AT576" s="1">
        <v>3.0000000000000001E-3</v>
      </c>
      <c r="AU576" s="1">
        <v>1E-3</v>
      </c>
      <c r="AV576" s="1">
        <v>2E-3</v>
      </c>
      <c r="AW576" s="1">
        <v>2E-3</v>
      </c>
      <c r="AX576" s="1">
        <v>1E-3</v>
      </c>
      <c r="AY576" s="1">
        <v>2E-3</v>
      </c>
      <c r="AZ576" s="1">
        <v>2E-3</v>
      </c>
      <c r="BA576" s="1">
        <v>5.0000000000000001E-3</v>
      </c>
      <c r="BB576" s="1">
        <v>3.0000000000000001E-3</v>
      </c>
      <c r="BC576" s="1">
        <v>1E-3</v>
      </c>
      <c r="BD576" s="1">
        <v>8.0000000000000002E-3</v>
      </c>
      <c r="BE576" s="1">
        <v>2E-3</v>
      </c>
      <c r="BF576" s="1">
        <v>0.47899999999999998</v>
      </c>
      <c r="BG576" s="1">
        <v>1E-3</v>
      </c>
      <c r="BH576" s="1">
        <v>4.8000000000000001E-2</v>
      </c>
      <c r="BI576" s="1">
        <v>1E-3</v>
      </c>
      <c r="BJ576" s="1">
        <v>1E-3</v>
      </c>
      <c r="BK576" s="1">
        <v>1E-3</v>
      </c>
      <c r="BL576" s="1">
        <v>2E-3</v>
      </c>
      <c r="BM576" s="1">
        <v>2E-3</v>
      </c>
      <c r="BN576" s="1">
        <v>2E-3</v>
      </c>
      <c r="BO576" s="1">
        <v>1E-3</v>
      </c>
      <c r="BP576" s="1">
        <v>0</v>
      </c>
      <c r="BQ576" s="1">
        <v>3.0000000000000001E-3</v>
      </c>
      <c r="BR576" s="1">
        <v>2E-3</v>
      </c>
      <c r="BS576" s="1">
        <v>1E-3</v>
      </c>
      <c r="BT576" s="1">
        <v>1E-3</v>
      </c>
      <c r="BU576" s="1">
        <v>1E-3</v>
      </c>
      <c r="BV576" s="1">
        <v>2E-3</v>
      </c>
      <c r="BW576" s="1">
        <v>2E-3</v>
      </c>
      <c r="BX576" s="1">
        <v>0.23899999999999999</v>
      </c>
      <c r="BY576" s="1">
        <v>4.0000000000000001E-3</v>
      </c>
      <c r="BZ576" s="1">
        <v>2E-3</v>
      </c>
      <c r="CA576" s="1">
        <v>2E-3</v>
      </c>
      <c r="CB576" s="1">
        <v>0</v>
      </c>
      <c r="CC576" s="1">
        <v>1E-3</v>
      </c>
      <c r="CD576" s="1">
        <v>0</v>
      </c>
      <c r="CE576" s="1">
        <v>2E-3</v>
      </c>
      <c r="CF576" s="1">
        <v>2E-3</v>
      </c>
      <c r="CG576" s="1">
        <v>3.0000000000000001E-3</v>
      </c>
      <c r="CH576" s="1">
        <v>3.0000000000000001E-3</v>
      </c>
      <c r="CI576" s="1">
        <v>3.0000000000000001E-3</v>
      </c>
      <c r="CJ576" s="1">
        <v>3.0000000000000001E-3</v>
      </c>
      <c r="CK576" s="1">
        <v>1.4E-2</v>
      </c>
      <c r="CL576" s="1">
        <v>4.0000000000000001E-3</v>
      </c>
      <c r="CM576" s="1">
        <v>-6.0647910019999998</v>
      </c>
      <c r="CN576" s="83">
        <v>-42.545169530000003</v>
      </c>
    </row>
    <row r="577" spans="1:92" s="3" customFormat="1" x14ac:dyDescent="0.25">
      <c r="A577" s="72">
        <v>609</v>
      </c>
      <c r="B577" s="81" t="s">
        <v>1357</v>
      </c>
      <c r="C577" s="1" t="s">
        <v>83</v>
      </c>
      <c r="D577" s="1" t="s">
        <v>79</v>
      </c>
      <c r="E577" s="1" t="s">
        <v>99</v>
      </c>
      <c r="F577" s="1" t="s">
        <v>128</v>
      </c>
      <c r="G577" s="1" t="s">
        <v>303</v>
      </c>
      <c r="H577" s="1" t="s">
        <v>570</v>
      </c>
      <c r="I577" s="1"/>
      <c r="J577" s="9" t="s">
        <v>544</v>
      </c>
      <c r="K577" s="10">
        <v>0.50817733333333404</v>
      </c>
      <c r="L577" s="1" t="s">
        <v>76</v>
      </c>
      <c r="M577" s="1" t="s">
        <v>506</v>
      </c>
      <c r="N577" s="1" t="s">
        <v>645</v>
      </c>
      <c r="O577" s="1" t="s">
        <v>55</v>
      </c>
      <c r="P577" s="82">
        <v>0.997</v>
      </c>
      <c r="Q577" s="1" t="s">
        <v>76</v>
      </c>
      <c r="R577" s="81" t="s">
        <v>118</v>
      </c>
      <c r="S577" s="1">
        <v>3</v>
      </c>
      <c r="T577" s="1" t="s">
        <v>78</v>
      </c>
      <c r="U577" s="1" t="s">
        <v>658</v>
      </c>
      <c r="V577" s="1" t="s">
        <v>654</v>
      </c>
      <c r="W577" s="1">
        <v>9</v>
      </c>
      <c r="X577" s="1" t="s">
        <v>76</v>
      </c>
      <c r="Y577" s="1" t="s">
        <v>645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1E-3</v>
      </c>
      <c r="BW577" s="1">
        <v>0</v>
      </c>
      <c r="BX577" s="1">
        <v>0.997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61.936598949999997</v>
      </c>
      <c r="CN577" s="83">
        <v>15.96493841</v>
      </c>
    </row>
    <row r="578" spans="1:92" s="3" customFormat="1" x14ac:dyDescent="0.25">
      <c r="A578" s="72">
        <v>610</v>
      </c>
      <c r="B578" s="81" t="s">
        <v>1437</v>
      </c>
      <c r="C578" s="1" t="s">
        <v>83</v>
      </c>
      <c r="D578" s="1" t="s">
        <v>79</v>
      </c>
      <c r="E578" s="1" t="s">
        <v>74</v>
      </c>
      <c r="F578" s="1" t="s">
        <v>128</v>
      </c>
      <c r="G578" s="1" t="s">
        <v>303</v>
      </c>
      <c r="H578" s="1" t="s">
        <v>570</v>
      </c>
      <c r="I578" s="1"/>
      <c r="J578" s="9" t="s">
        <v>544</v>
      </c>
      <c r="K578" s="10">
        <v>0.53234800000000004</v>
      </c>
      <c r="L578" s="1" t="s">
        <v>76</v>
      </c>
      <c r="M578" s="1" t="s">
        <v>506</v>
      </c>
      <c r="N578" s="1" t="s">
        <v>645</v>
      </c>
      <c r="O578" s="1" t="s">
        <v>55</v>
      </c>
      <c r="P578" s="82">
        <v>0.95899999999999996</v>
      </c>
      <c r="Q578" s="1" t="s">
        <v>76</v>
      </c>
      <c r="R578" s="81" t="s">
        <v>87</v>
      </c>
      <c r="S578" s="1">
        <v>3</v>
      </c>
      <c r="T578" s="1" t="s">
        <v>78</v>
      </c>
      <c r="U578" s="1" t="s">
        <v>658</v>
      </c>
      <c r="V578" s="1" t="s">
        <v>654</v>
      </c>
      <c r="W578" s="1">
        <v>10</v>
      </c>
      <c r="X578" s="1" t="s">
        <v>304</v>
      </c>
      <c r="Y578" s="1" t="s">
        <v>645</v>
      </c>
      <c r="Z578" s="1">
        <v>0</v>
      </c>
      <c r="AA578" s="1">
        <v>1E-3</v>
      </c>
      <c r="AB578" s="1">
        <v>0</v>
      </c>
      <c r="AC578" s="1">
        <v>3.0000000000000001E-3</v>
      </c>
      <c r="AD578" s="1">
        <v>0</v>
      </c>
      <c r="AE578" s="1">
        <v>0</v>
      </c>
      <c r="AF578" s="1">
        <v>0</v>
      </c>
      <c r="AG578" s="1">
        <v>0</v>
      </c>
      <c r="AH578" s="1">
        <v>1E-3</v>
      </c>
      <c r="AI578" s="1">
        <v>0</v>
      </c>
      <c r="AJ578" s="1">
        <v>0</v>
      </c>
      <c r="AK578" s="1">
        <v>1E-3</v>
      </c>
      <c r="AL578" s="1">
        <v>0</v>
      </c>
      <c r="AM578" s="1">
        <v>0</v>
      </c>
      <c r="AN578" s="1">
        <v>0</v>
      </c>
      <c r="AO578" s="1">
        <v>1E-3</v>
      </c>
      <c r="AP578" s="1">
        <v>0</v>
      </c>
      <c r="AQ578" s="1">
        <v>0</v>
      </c>
      <c r="AR578" s="1">
        <v>0</v>
      </c>
      <c r="AS578" s="1">
        <v>1E-3</v>
      </c>
      <c r="AT578" s="1">
        <v>1E-3</v>
      </c>
      <c r="AU578" s="1">
        <v>0</v>
      </c>
      <c r="AV578" s="1">
        <v>0</v>
      </c>
      <c r="AW578" s="1">
        <v>1E-3</v>
      </c>
      <c r="AX578" s="1">
        <v>0</v>
      </c>
      <c r="AY578" s="1">
        <v>1E-3</v>
      </c>
      <c r="AZ578" s="1">
        <v>1E-3</v>
      </c>
      <c r="BA578" s="1">
        <v>1E-3</v>
      </c>
      <c r="BB578" s="1">
        <v>1E-3</v>
      </c>
      <c r="BC578" s="1">
        <v>0</v>
      </c>
      <c r="BD578" s="1">
        <v>1E-3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2E-3</v>
      </c>
      <c r="BM578" s="1">
        <v>0</v>
      </c>
      <c r="BN578" s="1">
        <v>1E-3</v>
      </c>
      <c r="BO578" s="1">
        <v>0</v>
      </c>
      <c r="BP578" s="1">
        <v>0</v>
      </c>
      <c r="BQ578" s="1">
        <v>1E-3</v>
      </c>
      <c r="BR578" s="1">
        <v>1E-3</v>
      </c>
      <c r="BS578" s="1">
        <v>0</v>
      </c>
      <c r="BT578" s="1">
        <v>0</v>
      </c>
      <c r="BU578" s="1">
        <v>0</v>
      </c>
      <c r="BV578" s="1">
        <v>1E-3</v>
      </c>
      <c r="BW578" s="1">
        <v>1E-3</v>
      </c>
      <c r="BX578" s="1">
        <v>0.95899999999999996</v>
      </c>
      <c r="BY578" s="1">
        <v>2E-3</v>
      </c>
      <c r="BZ578" s="1">
        <v>2E-3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2E-3</v>
      </c>
      <c r="CH578" s="1">
        <v>1E-3</v>
      </c>
      <c r="CI578" s="1">
        <v>1E-3</v>
      </c>
      <c r="CJ578" s="1">
        <v>2E-3</v>
      </c>
      <c r="CK578" s="1">
        <v>2E-3</v>
      </c>
      <c r="CL578" s="1">
        <v>1E-3</v>
      </c>
      <c r="CM578" s="1">
        <v>30.549039459999999</v>
      </c>
      <c r="CN578" s="83">
        <v>39.143182269999997</v>
      </c>
    </row>
    <row r="579" spans="1:92" s="3" customFormat="1" x14ac:dyDescent="0.25">
      <c r="A579" s="72">
        <v>611</v>
      </c>
      <c r="B579" s="81" t="s">
        <v>1606</v>
      </c>
      <c r="C579" s="1" t="s">
        <v>83</v>
      </c>
      <c r="D579" s="1" t="s">
        <v>73</v>
      </c>
      <c r="E579" s="1" t="s">
        <v>74</v>
      </c>
      <c r="F579" s="1" t="s">
        <v>351</v>
      </c>
      <c r="G579" s="1" t="s">
        <v>76</v>
      </c>
      <c r="H579" s="1" t="s">
        <v>36</v>
      </c>
      <c r="I579" s="1"/>
      <c r="J579" s="9" t="s">
        <v>544</v>
      </c>
      <c r="K579" s="10">
        <v>0.40042166666666601</v>
      </c>
      <c r="L579" s="1" t="s">
        <v>76</v>
      </c>
      <c r="M579" s="1" t="s">
        <v>506</v>
      </c>
      <c r="N579" s="1" t="s">
        <v>645</v>
      </c>
      <c r="O579" s="1" t="s">
        <v>36</v>
      </c>
      <c r="P579" s="82">
        <v>0.98899999999999999</v>
      </c>
      <c r="Q579" s="1" t="s">
        <v>76</v>
      </c>
      <c r="R579" s="81" t="s">
        <v>352</v>
      </c>
      <c r="S579" s="1" t="s">
        <v>76</v>
      </c>
      <c r="T579" s="1" t="s">
        <v>120</v>
      </c>
      <c r="U579" s="1" t="s">
        <v>658</v>
      </c>
      <c r="V579" s="1" t="s">
        <v>655</v>
      </c>
      <c r="W579" s="1">
        <v>1</v>
      </c>
      <c r="X579" s="1" t="s">
        <v>353</v>
      </c>
      <c r="Y579" s="1" t="s">
        <v>645</v>
      </c>
      <c r="Z579" s="1">
        <v>0</v>
      </c>
      <c r="AA579" s="1">
        <v>0</v>
      </c>
      <c r="AB579" s="1">
        <v>0</v>
      </c>
      <c r="AC579" s="1">
        <v>2E-3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1E-3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0.98899999999999999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1E-3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1E-3</v>
      </c>
      <c r="CC579" s="1">
        <v>3.0000000000000001E-3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1E-3</v>
      </c>
      <c r="CL579" s="1">
        <v>1E-3</v>
      </c>
      <c r="CM579" s="1">
        <v>53.71672375</v>
      </c>
      <c r="CN579" s="83">
        <v>-87.695125739999995</v>
      </c>
    </row>
    <row r="580" spans="1:92" s="3" customFormat="1" x14ac:dyDescent="0.25">
      <c r="A580" s="72">
        <v>612</v>
      </c>
      <c r="B580" s="81" t="s">
        <v>942</v>
      </c>
      <c r="C580" s="1" t="s">
        <v>83</v>
      </c>
      <c r="D580" s="1" t="s">
        <v>73</v>
      </c>
      <c r="E580" s="1" t="s">
        <v>74</v>
      </c>
      <c r="F580" s="1" t="s">
        <v>202</v>
      </c>
      <c r="G580" s="1" t="s">
        <v>235</v>
      </c>
      <c r="H580" s="1" t="s">
        <v>203</v>
      </c>
      <c r="I580" s="1"/>
      <c r="J580" s="9" t="s">
        <v>544</v>
      </c>
      <c r="K580" s="10">
        <v>0.52992183333333298</v>
      </c>
      <c r="L580" s="1" t="s">
        <v>641</v>
      </c>
      <c r="M580" s="1" t="s">
        <v>76</v>
      </c>
      <c r="N580" s="1" t="s">
        <v>644</v>
      </c>
      <c r="O580" s="1" t="s">
        <v>68</v>
      </c>
      <c r="P580" s="82">
        <v>0.14299999999999999</v>
      </c>
      <c r="Q580" s="1" t="s">
        <v>76</v>
      </c>
      <c r="R580" s="81" t="s">
        <v>169</v>
      </c>
      <c r="S580" s="1" t="s">
        <v>314</v>
      </c>
      <c r="T580" s="1" t="s">
        <v>120</v>
      </c>
      <c r="U580" s="1" t="s">
        <v>658</v>
      </c>
      <c r="V580" s="1" t="s">
        <v>655</v>
      </c>
      <c r="W580" s="1">
        <v>59</v>
      </c>
      <c r="X580" s="1" t="s">
        <v>354</v>
      </c>
      <c r="Y580" s="1" t="s">
        <v>644</v>
      </c>
      <c r="Z580" s="1">
        <v>5.0000000000000001E-3</v>
      </c>
      <c r="AA580" s="1">
        <v>8.9999999999999993E-3</v>
      </c>
      <c r="AB580" s="1">
        <v>6.0000000000000001E-3</v>
      </c>
      <c r="AC580" s="1">
        <v>1.4E-2</v>
      </c>
      <c r="AD580" s="1">
        <v>1.6E-2</v>
      </c>
      <c r="AE580" s="1">
        <v>5.0000000000000001E-3</v>
      </c>
      <c r="AF580" s="1">
        <v>8.0000000000000002E-3</v>
      </c>
      <c r="AG580" s="1">
        <v>1E-3</v>
      </c>
      <c r="AH580" s="1">
        <v>0.02</v>
      </c>
      <c r="AI580" s="1">
        <v>4.0000000000000001E-3</v>
      </c>
      <c r="AJ580" s="1">
        <v>4.0000000000000001E-3</v>
      </c>
      <c r="AK580" s="1">
        <v>2.1999999999999999E-2</v>
      </c>
      <c r="AL580" s="1">
        <v>1.7000000000000001E-2</v>
      </c>
      <c r="AM580" s="1">
        <v>5.0000000000000001E-3</v>
      </c>
      <c r="AN580" s="1">
        <v>6.0000000000000001E-3</v>
      </c>
      <c r="AO580" s="1">
        <v>6.0000000000000001E-3</v>
      </c>
      <c r="AP580" s="1">
        <v>4.0000000000000001E-3</v>
      </c>
      <c r="AQ580" s="1">
        <v>4.0000000000000001E-3</v>
      </c>
      <c r="AR580" s="1">
        <v>7.0000000000000001E-3</v>
      </c>
      <c r="AS580" s="1">
        <v>1.4999999999999999E-2</v>
      </c>
      <c r="AT580" s="1">
        <v>0.01</v>
      </c>
      <c r="AU580" s="1">
        <v>1.6E-2</v>
      </c>
      <c r="AV580" s="1">
        <v>5.0000000000000001E-3</v>
      </c>
      <c r="AW580" s="1">
        <v>0.01</v>
      </c>
      <c r="AX580" s="1">
        <v>6.5000000000000002E-2</v>
      </c>
      <c r="AY580" s="1">
        <v>0.01</v>
      </c>
      <c r="AZ580" s="1">
        <v>1.2E-2</v>
      </c>
      <c r="BA580" s="1">
        <v>1.9E-2</v>
      </c>
      <c r="BB580" s="1">
        <v>6.0000000000000001E-3</v>
      </c>
      <c r="BC580" s="1">
        <v>4.0000000000000001E-3</v>
      </c>
      <c r="BD580" s="1">
        <v>2.1999999999999999E-2</v>
      </c>
      <c r="BE580" s="1">
        <v>4.0000000000000001E-3</v>
      </c>
      <c r="BF580" s="1">
        <v>4.0000000000000001E-3</v>
      </c>
      <c r="BG580" s="1">
        <v>7.0000000000000001E-3</v>
      </c>
      <c r="BH580" s="1">
        <v>4.0000000000000001E-3</v>
      </c>
      <c r="BI580" s="1">
        <v>3.0000000000000001E-3</v>
      </c>
      <c r="BJ580" s="1">
        <v>2E-3</v>
      </c>
      <c r="BK580" s="1">
        <v>4.0000000000000001E-3</v>
      </c>
      <c r="BL580" s="1">
        <v>0.06</v>
      </c>
      <c r="BM580" s="1">
        <v>2.5000000000000001E-2</v>
      </c>
      <c r="BN580" s="1">
        <v>7.0000000000000001E-3</v>
      </c>
      <c r="BO580" s="1">
        <v>4.0000000000000001E-3</v>
      </c>
      <c r="BP580" s="1">
        <v>3.0000000000000001E-3</v>
      </c>
      <c r="BQ580" s="1">
        <v>3.2000000000000001E-2</v>
      </c>
      <c r="BR580" s="1">
        <v>8.9999999999999993E-3</v>
      </c>
      <c r="BS580" s="1">
        <v>2.5999999999999999E-2</v>
      </c>
      <c r="BT580" s="1">
        <v>3.0000000000000001E-3</v>
      </c>
      <c r="BU580" s="1">
        <v>3.0000000000000001E-3</v>
      </c>
      <c r="BV580" s="1">
        <v>4.0000000000000001E-3</v>
      </c>
      <c r="BW580" s="1">
        <v>7.0000000000000001E-3</v>
      </c>
      <c r="BX580" s="1">
        <v>4.2000000000000003E-2</v>
      </c>
      <c r="BY580" s="1">
        <v>3.6999999999999998E-2</v>
      </c>
      <c r="BZ580" s="1">
        <v>9.6000000000000002E-2</v>
      </c>
      <c r="CA580" s="1">
        <v>3.1E-2</v>
      </c>
      <c r="CB580" s="1">
        <v>2E-3</v>
      </c>
      <c r="CC580" s="1">
        <v>7.0000000000000001E-3</v>
      </c>
      <c r="CD580" s="1">
        <v>1E-3</v>
      </c>
      <c r="CE580" s="1">
        <v>6.0000000000000001E-3</v>
      </c>
      <c r="CF580" s="1">
        <v>7.0000000000000001E-3</v>
      </c>
      <c r="CG580" s="1">
        <v>1.4E-2</v>
      </c>
      <c r="CH580" s="1">
        <v>8.9999999999999993E-3</v>
      </c>
      <c r="CI580" s="1">
        <v>8.9999999999999993E-3</v>
      </c>
      <c r="CJ580" s="1">
        <v>1.4999999999999999E-2</v>
      </c>
      <c r="CK580" s="1">
        <v>0.14299999999999999</v>
      </c>
      <c r="CL580" s="1">
        <v>1.4999999999999999E-2</v>
      </c>
      <c r="CM580" s="1">
        <v>20.285174829999999</v>
      </c>
      <c r="CN580" s="83">
        <v>-19.334753930000002</v>
      </c>
    </row>
    <row r="581" spans="1:92" s="3" customFormat="1" x14ac:dyDescent="0.25">
      <c r="A581" s="72">
        <v>613</v>
      </c>
      <c r="B581" s="81" t="s">
        <v>952</v>
      </c>
      <c r="C581" s="1" t="s">
        <v>83</v>
      </c>
      <c r="D581" s="1" t="s">
        <v>73</v>
      </c>
      <c r="E581" s="1" t="s">
        <v>74</v>
      </c>
      <c r="F581" s="1" t="s">
        <v>202</v>
      </c>
      <c r="G581" s="1" t="s">
        <v>235</v>
      </c>
      <c r="H581" s="1" t="s">
        <v>203</v>
      </c>
      <c r="I581" s="1"/>
      <c r="J581" s="9" t="s">
        <v>544</v>
      </c>
      <c r="K581" s="10">
        <v>0.58306400000000003</v>
      </c>
      <c r="L581" s="1" t="s">
        <v>76</v>
      </c>
      <c r="M581" s="1" t="s">
        <v>506</v>
      </c>
      <c r="N581" s="1" t="s">
        <v>645</v>
      </c>
      <c r="O581" s="1" t="s">
        <v>58</v>
      </c>
      <c r="P581" s="82">
        <v>1</v>
      </c>
      <c r="Q581" s="1" t="s">
        <v>76</v>
      </c>
      <c r="R581" s="81" t="s">
        <v>77</v>
      </c>
      <c r="S581" s="1" t="s">
        <v>314</v>
      </c>
      <c r="T581" s="1" t="s">
        <v>120</v>
      </c>
      <c r="U581" s="1" t="s">
        <v>658</v>
      </c>
      <c r="V581" s="1" t="s">
        <v>655</v>
      </c>
      <c r="W581" s="1">
        <v>73</v>
      </c>
      <c r="X581" s="1" t="s">
        <v>76</v>
      </c>
      <c r="Y581" s="1" t="s">
        <v>645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1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-44.610252989999999</v>
      </c>
      <c r="CN581" s="83">
        <v>44.525459769999998</v>
      </c>
    </row>
    <row r="582" spans="1:92" s="3" customFormat="1" hidden="1" x14ac:dyDescent="0.25">
      <c r="A582" s="72">
        <v>614</v>
      </c>
      <c r="B582" s="81" t="s">
        <v>1686</v>
      </c>
      <c r="C582" s="1" t="s">
        <v>83</v>
      </c>
      <c r="D582" s="1" t="s">
        <v>301</v>
      </c>
      <c r="E582" s="1" t="s">
        <v>76</v>
      </c>
      <c r="F582" s="1" t="s">
        <v>301</v>
      </c>
      <c r="G582" s="1" t="s">
        <v>76</v>
      </c>
      <c r="H582" s="1" t="s">
        <v>537</v>
      </c>
      <c r="I582" s="1"/>
      <c r="J582" s="9" t="s">
        <v>544</v>
      </c>
      <c r="K582" s="10">
        <v>0.31967466666666799</v>
      </c>
      <c r="L582" s="1" t="s">
        <v>76</v>
      </c>
      <c r="M582" s="1" t="s">
        <v>506</v>
      </c>
      <c r="N582" s="1" t="s">
        <v>645</v>
      </c>
      <c r="O582" s="1" t="s">
        <v>21</v>
      </c>
      <c r="P582" s="82">
        <v>0.99399999999999999</v>
      </c>
      <c r="Q582" s="1" t="s">
        <v>76</v>
      </c>
      <c r="R582" s="81" t="s">
        <v>269</v>
      </c>
      <c r="S582" s="1" t="s">
        <v>76</v>
      </c>
      <c r="T582" s="1" t="s">
        <v>269</v>
      </c>
      <c r="U582" s="1" t="s">
        <v>76</v>
      </c>
      <c r="V582" s="1" t="s">
        <v>656</v>
      </c>
      <c r="W582" s="1" t="s">
        <v>269</v>
      </c>
      <c r="X582" s="1" t="s">
        <v>76</v>
      </c>
      <c r="Y582" s="1" t="s">
        <v>645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0.99399999999999999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-64.203834090000001</v>
      </c>
      <c r="CN582" s="83">
        <v>-79.03217866</v>
      </c>
    </row>
    <row r="583" spans="1:92" s="3" customFormat="1" x14ac:dyDescent="0.25">
      <c r="A583" s="72">
        <v>615</v>
      </c>
      <c r="B583" s="81" t="s">
        <v>1476</v>
      </c>
      <c r="C583" s="1" t="s">
        <v>83</v>
      </c>
      <c r="D583" s="1" t="s">
        <v>73</v>
      </c>
      <c r="E583" s="1" t="s">
        <v>99</v>
      </c>
      <c r="F583" s="1" t="s">
        <v>84</v>
      </c>
      <c r="G583" s="1" t="s">
        <v>355</v>
      </c>
      <c r="H583" s="1" t="s">
        <v>539</v>
      </c>
      <c r="I583" s="1"/>
      <c r="J583" s="9" t="s">
        <v>544</v>
      </c>
      <c r="K583" s="10">
        <v>0.4357975</v>
      </c>
      <c r="L583" s="1" t="s">
        <v>641</v>
      </c>
      <c r="M583" s="1" t="s">
        <v>76</v>
      </c>
      <c r="N583" s="1" t="s">
        <v>649</v>
      </c>
      <c r="O583" s="1" t="s">
        <v>15</v>
      </c>
      <c r="P583" s="82">
        <v>0.70199999999999996</v>
      </c>
      <c r="Q583" s="1" t="s">
        <v>76</v>
      </c>
      <c r="R583" s="81" t="s">
        <v>87</v>
      </c>
      <c r="S583" s="1" t="s">
        <v>76</v>
      </c>
      <c r="T583" s="1" t="s">
        <v>78</v>
      </c>
      <c r="U583" s="1" t="s">
        <v>658</v>
      </c>
      <c r="V583" s="1" t="s">
        <v>655</v>
      </c>
      <c r="W583" s="1">
        <v>79</v>
      </c>
      <c r="X583" s="1" t="s">
        <v>76</v>
      </c>
      <c r="Y583" s="1" t="s">
        <v>649</v>
      </c>
      <c r="Z583" s="1">
        <v>0</v>
      </c>
      <c r="AA583" s="1">
        <v>0</v>
      </c>
      <c r="AB583" s="1">
        <v>0</v>
      </c>
      <c r="AC583" s="1">
        <v>1E-3</v>
      </c>
      <c r="AD583" s="1">
        <v>0</v>
      </c>
      <c r="AE583" s="1">
        <v>6.0000000000000001E-3</v>
      </c>
      <c r="AF583" s="1">
        <v>1E-3</v>
      </c>
      <c r="AG583" s="1">
        <v>0</v>
      </c>
      <c r="AH583" s="1">
        <v>4.0000000000000001E-3</v>
      </c>
      <c r="AI583" s="1">
        <v>0</v>
      </c>
      <c r="AJ583" s="1">
        <v>0.70199999999999996</v>
      </c>
      <c r="AK583" s="1">
        <v>0.19700000000000001</v>
      </c>
      <c r="AL583" s="1">
        <v>2.1999999999999999E-2</v>
      </c>
      <c r="AM583" s="1">
        <v>3.0000000000000001E-3</v>
      </c>
      <c r="AN583" s="1">
        <v>2.3E-2</v>
      </c>
      <c r="AO583" s="1">
        <v>0</v>
      </c>
      <c r="AP583" s="1">
        <v>0</v>
      </c>
      <c r="AQ583" s="1">
        <v>0</v>
      </c>
      <c r="AR583" s="1">
        <v>1E-3</v>
      </c>
      <c r="AS583" s="1">
        <v>1E-3</v>
      </c>
      <c r="AT583" s="1">
        <v>0</v>
      </c>
      <c r="AU583" s="1">
        <v>0</v>
      </c>
      <c r="AV583" s="1">
        <v>0</v>
      </c>
      <c r="AW583" s="1">
        <v>1E-3</v>
      </c>
      <c r="AX583" s="1">
        <v>0</v>
      </c>
      <c r="AY583" s="1">
        <v>0</v>
      </c>
      <c r="AZ583" s="1">
        <v>1E-3</v>
      </c>
      <c r="BA583" s="1">
        <v>1E-3</v>
      </c>
      <c r="BB583" s="1">
        <v>1E-3</v>
      </c>
      <c r="BC583" s="1">
        <v>0</v>
      </c>
      <c r="BD583" s="1">
        <v>1E-3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1E-3</v>
      </c>
      <c r="BP583" s="1">
        <v>0</v>
      </c>
      <c r="BQ583" s="1">
        <v>1E-3</v>
      </c>
      <c r="BR583" s="1">
        <v>0</v>
      </c>
      <c r="BS583" s="1">
        <v>0</v>
      </c>
      <c r="BT583" s="1">
        <v>0</v>
      </c>
      <c r="BU583" s="1">
        <v>0</v>
      </c>
      <c r="BV583" s="1">
        <v>8.9999999999999993E-3</v>
      </c>
      <c r="BW583" s="1">
        <v>0</v>
      </c>
      <c r="BX583" s="1">
        <v>7.0000000000000001E-3</v>
      </c>
      <c r="BY583" s="1">
        <v>0</v>
      </c>
      <c r="BZ583" s="1">
        <v>1E-3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1E-3</v>
      </c>
      <c r="CH583" s="1">
        <v>1E-3</v>
      </c>
      <c r="CI583" s="1">
        <v>0</v>
      </c>
      <c r="CJ583" s="1">
        <v>1E-3</v>
      </c>
      <c r="CK583" s="1">
        <v>4.0000000000000001E-3</v>
      </c>
      <c r="CL583" s="1">
        <v>1E-3</v>
      </c>
      <c r="CM583" s="1">
        <v>-12.719242339999999</v>
      </c>
      <c r="CN583" s="83">
        <v>1.045822407</v>
      </c>
    </row>
    <row r="584" spans="1:92" s="3" customFormat="1" x14ac:dyDescent="0.25">
      <c r="A584" s="72">
        <v>616</v>
      </c>
      <c r="B584" s="81" t="s">
        <v>1452</v>
      </c>
      <c r="C584" s="1" t="s">
        <v>83</v>
      </c>
      <c r="D584" s="1" t="s">
        <v>73</v>
      </c>
      <c r="E584" s="1" t="s">
        <v>99</v>
      </c>
      <c r="F584" s="1" t="s">
        <v>84</v>
      </c>
      <c r="G584" s="1" t="s">
        <v>355</v>
      </c>
      <c r="H584" s="1" t="s">
        <v>539</v>
      </c>
      <c r="I584" s="1"/>
      <c r="J584" s="9" t="s">
        <v>544</v>
      </c>
      <c r="K584" s="10">
        <v>0.40570016666666697</v>
      </c>
      <c r="L584" s="1" t="s">
        <v>641</v>
      </c>
      <c r="M584" s="1" t="s">
        <v>76</v>
      </c>
      <c r="N584" s="1" t="s">
        <v>649</v>
      </c>
      <c r="O584" s="1" t="s">
        <v>19</v>
      </c>
      <c r="P584" s="82">
        <v>0.79100000000000004</v>
      </c>
      <c r="Q584" s="1" t="s">
        <v>76</v>
      </c>
      <c r="R584" s="81" t="s">
        <v>77</v>
      </c>
      <c r="S584" s="1">
        <v>2</v>
      </c>
      <c r="T584" s="1" t="s">
        <v>78</v>
      </c>
      <c r="U584" s="1" t="s">
        <v>659</v>
      </c>
      <c r="V584" s="1" t="s">
        <v>655</v>
      </c>
      <c r="W584" s="1">
        <v>21</v>
      </c>
      <c r="X584" s="1" t="s">
        <v>76</v>
      </c>
      <c r="Y584" s="1" t="s">
        <v>649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3.0000000000000001E-3</v>
      </c>
      <c r="AF584" s="1">
        <v>0</v>
      </c>
      <c r="AG584" s="1">
        <v>0</v>
      </c>
      <c r="AH584" s="1">
        <v>3.0000000000000001E-3</v>
      </c>
      <c r="AI584" s="1">
        <v>0</v>
      </c>
      <c r="AJ584" s="1">
        <v>0.16900000000000001</v>
      </c>
      <c r="AK584" s="1">
        <v>1.7999999999999999E-2</v>
      </c>
      <c r="AL584" s="1">
        <v>0</v>
      </c>
      <c r="AM584" s="1">
        <v>2E-3</v>
      </c>
      <c r="AN584" s="1">
        <v>0.79100000000000004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1E-3</v>
      </c>
      <c r="BA584" s="1">
        <v>1E-3</v>
      </c>
      <c r="BB584" s="1">
        <v>0</v>
      </c>
      <c r="BC584" s="1">
        <v>0</v>
      </c>
      <c r="BD584" s="1">
        <v>1E-3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1E-3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2E-3</v>
      </c>
      <c r="CL584" s="1">
        <v>0</v>
      </c>
      <c r="CM584" s="1">
        <v>-14.39308658</v>
      </c>
      <c r="CN584" s="83">
        <v>-2.8557990969999998</v>
      </c>
    </row>
    <row r="585" spans="1:92" s="3" customFormat="1" x14ac:dyDescent="0.25">
      <c r="A585" s="72">
        <v>617</v>
      </c>
      <c r="B585" s="81" t="s">
        <v>1674</v>
      </c>
      <c r="C585" s="1" t="s">
        <v>83</v>
      </c>
      <c r="D585" s="1" t="s">
        <v>73</v>
      </c>
      <c r="E585" s="1" t="s">
        <v>99</v>
      </c>
      <c r="F585" s="1" t="s">
        <v>84</v>
      </c>
      <c r="G585" s="1" t="s">
        <v>355</v>
      </c>
      <c r="H585" s="1" t="s">
        <v>539</v>
      </c>
      <c r="I585" s="1"/>
      <c r="J585" s="9" t="s">
        <v>544</v>
      </c>
      <c r="K585" s="10">
        <v>0.44789133333333297</v>
      </c>
      <c r="L585" s="1" t="s">
        <v>76</v>
      </c>
      <c r="M585" s="1" t="s">
        <v>506</v>
      </c>
      <c r="N585" s="1" t="s">
        <v>645</v>
      </c>
      <c r="O585" s="1" t="s">
        <v>15</v>
      </c>
      <c r="P585" s="82">
        <v>0.91900000000000004</v>
      </c>
      <c r="Q585" s="1" t="s">
        <v>76</v>
      </c>
      <c r="R585" s="81" t="s">
        <v>87</v>
      </c>
      <c r="S585" s="1">
        <v>2</v>
      </c>
      <c r="T585" s="1" t="s">
        <v>78</v>
      </c>
      <c r="U585" s="1" t="s">
        <v>658</v>
      </c>
      <c r="V585" s="1" t="s">
        <v>655</v>
      </c>
      <c r="W585" s="1">
        <v>27</v>
      </c>
      <c r="X585" s="1"/>
      <c r="Y585" s="1" t="s">
        <v>645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2E-3</v>
      </c>
      <c r="AF585" s="1">
        <v>0</v>
      </c>
      <c r="AG585" s="1">
        <v>0</v>
      </c>
      <c r="AH585" s="1">
        <v>1E-3</v>
      </c>
      <c r="AI585" s="1">
        <v>0</v>
      </c>
      <c r="AJ585" s="1">
        <v>0.91900000000000004</v>
      </c>
      <c r="AK585" s="1">
        <v>4.2999999999999997E-2</v>
      </c>
      <c r="AL585" s="1">
        <v>4.0000000000000001E-3</v>
      </c>
      <c r="AM585" s="1">
        <v>1E-3</v>
      </c>
      <c r="AN585" s="1">
        <v>2.5000000000000001E-2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1E-3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1E-3</v>
      </c>
      <c r="CL585" s="1">
        <v>0</v>
      </c>
      <c r="CM585" s="1">
        <v>-13.112267900000001</v>
      </c>
      <c r="CN585" s="83">
        <v>-0.68865608099999998</v>
      </c>
    </row>
    <row r="586" spans="1:92" s="3" customFormat="1" x14ac:dyDescent="0.25">
      <c r="A586" s="72">
        <v>618</v>
      </c>
      <c r="B586" s="81" t="s">
        <v>1248</v>
      </c>
      <c r="C586" s="1" t="s">
        <v>83</v>
      </c>
      <c r="D586" s="1" t="s">
        <v>73</v>
      </c>
      <c r="E586" s="1" t="s">
        <v>99</v>
      </c>
      <c r="F586" s="1" t="s">
        <v>84</v>
      </c>
      <c r="G586" s="1" t="s">
        <v>355</v>
      </c>
      <c r="H586" s="1" t="s">
        <v>539</v>
      </c>
      <c r="I586" s="1"/>
      <c r="J586" s="9" t="s">
        <v>544</v>
      </c>
      <c r="K586" s="10">
        <v>0.45127916666666601</v>
      </c>
      <c r="L586" s="1" t="s">
        <v>641</v>
      </c>
      <c r="M586" s="1" t="s">
        <v>76</v>
      </c>
      <c r="N586" s="1" t="s">
        <v>649</v>
      </c>
      <c r="O586" s="1" t="s">
        <v>15</v>
      </c>
      <c r="P586" s="82">
        <v>0.88800000000000001</v>
      </c>
      <c r="Q586" s="1" t="s">
        <v>76</v>
      </c>
      <c r="R586" s="81" t="s">
        <v>95</v>
      </c>
      <c r="S586" s="1" t="s">
        <v>76</v>
      </c>
      <c r="T586" s="1" t="s">
        <v>78</v>
      </c>
      <c r="U586" s="1" t="s">
        <v>658</v>
      </c>
      <c r="V586" s="1" t="s">
        <v>655</v>
      </c>
      <c r="W586" s="1">
        <v>50</v>
      </c>
      <c r="X586" s="1" t="s">
        <v>356</v>
      </c>
      <c r="Y586" s="1" t="s">
        <v>645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3.0000000000000001E-3</v>
      </c>
      <c r="AF586" s="1">
        <v>0</v>
      </c>
      <c r="AG586" s="1">
        <v>0</v>
      </c>
      <c r="AH586" s="1">
        <v>1E-3</v>
      </c>
      <c r="AI586" s="1">
        <v>0</v>
      </c>
      <c r="AJ586" s="1">
        <v>0.88800000000000001</v>
      </c>
      <c r="AK586" s="1">
        <v>7.4999999999999997E-2</v>
      </c>
      <c r="AL586" s="1">
        <v>5.0000000000000001E-3</v>
      </c>
      <c r="AM586" s="1">
        <v>1E-3</v>
      </c>
      <c r="AN586" s="1">
        <v>8.9999999999999993E-3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1E-3</v>
      </c>
      <c r="BA586" s="1">
        <v>0</v>
      </c>
      <c r="BB586" s="1">
        <v>1E-3</v>
      </c>
      <c r="BC586" s="1">
        <v>0</v>
      </c>
      <c r="BD586" s="1">
        <v>1E-3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3.0000000000000001E-3</v>
      </c>
      <c r="BW586" s="1">
        <v>0</v>
      </c>
      <c r="BX586" s="1">
        <v>4.0000000000000001E-3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2E-3</v>
      </c>
      <c r="CL586" s="1">
        <v>0</v>
      </c>
      <c r="CM586" s="1">
        <v>-12.16561578</v>
      </c>
      <c r="CN586" s="83">
        <v>2.4361762740000001</v>
      </c>
    </row>
    <row r="587" spans="1:92" s="3" customFormat="1" x14ac:dyDescent="0.25">
      <c r="A587" s="72">
        <v>857</v>
      </c>
      <c r="B587" s="81" t="s">
        <v>793</v>
      </c>
      <c r="C587" s="1" t="s">
        <v>83</v>
      </c>
      <c r="D587" s="1" t="s">
        <v>73</v>
      </c>
      <c r="E587" s="1" t="s">
        <v>74</v>
      </c>
      <c r="F587" s="1" t="s">
        <v>211</v>
      </c>
      <c r="G587" s="1" t="s">
        <v>76</v>
      </c>
      <c r="H587" s="1" t="s">
        <v>212</v>
      </c>
      <c r="I587" s="1"/>
      <c r="J587" s="9" t="s">
        <v>544</v>
      </c>
      <c r="K587" s="10">
        <v>0.27229799999999998</v>
      </c>
      <c r="L587" s="1" t="s">
        <v>588</v>
      </c>
      <c r="M587" s="1" t="s">
        <v>506</v>
      </c>
      <c r="N587" s="1" t="s">
        <v>648</v>
      </c>
      <c r="O587" s="1" t="s">
        <v>37</v>
      </c>
      <c r="P587" s="82">
        <v>0.96499999999999997</v>
      </c>
      <c r="Q587" s="1" t="s">
        <v>76</v>
      </c>
      <c r="R587" s="81" t="s">
        <v>129</v>
      </c>
      <c r="S587" s="1">
        <v>3</v>
      </c>
      <c r="T587" s="1" t="s">
        <v>120</v>
      </c>
      <c r="U587" s="1" t="s">
        <v>658</v>
      </c>
      <c r="V587" s="1" t="s">
        <v>655</v>
      </c>
      <c r="W587" s="1">
        <v>57</v>
      </c>
      <c r="X587" s="1" t="s">
        <v>391</v>
      </c>
      <c r="Y587" s="1" t="s">
        <v>648</v>
      </c>
      <c r="Z587" s="1">
        <v>0</v>
      </c>
      <c r="AA587" s="1">
        <v>0</v>
      </c>
      <c r="AB587" s="1">
        <v>0</v>
      </c>
      <c r="AC587" s="1">
        <v>2E-3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1E-3</v>
      </c>
      <c r="AJ587" s="1">
        <v>0</v>
      </c>
      <c r="AK587" s="1">
        <v>0</v>
      </c>
      <c r="AL587" s="1">
        <v>0</v>
      </c>
      <c r="AM587" s="1">
        <v>0</v>
      </c>
      <c r="AN587" s="1">
        <v>5.0000000000000001E-3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0.96499999999999997</v>
      </c>
      <c r="BG587" s="1">
        <v>0</v>
      </c>
      <c r="BH587" s="1">
        <v>2.1999999999999999E-2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1E-3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-21.5873141</v>
      </c>
      <c r="CN587" s="83">
        <v>-56.875405069999999</v>
      </c>
    </row>
    <row r="588" spans="1:92" s="3" customFormat="1" x14ac:dyDescent="0.25">
      <c r="A588" s="72">
        <v>874</v>
      </c>
      <c r="B588" s="81" t="s">
        <v>1020</v>
      </c>
      <c r="C588" s="1" t="s">
        <v>83</v>
      </c>
      <c r="D588" s="1" t="s">
        <v>73</v>
      </c>
      <c r="E588" s="1" t="s">
        <v>74</v>
      </c>
      <c r="F588" s="1" t="s">
        <v>211</v>
      </c>
      <c r="G588" s="1" t="s">
        <v>76</v>
      </c>
      <c r="H588" s="1" t="s">
        <v>212</v>
      </c>
      <c r="I588" s="1"/>
      <c r="J588" s="9" t="s">
        <v>544</v>
      </c>
      <c r="K588" s="10">
        <v>0.30571799999999999</v>
      </c>
      <c r="L588" s="1" t="s">
        <v>609</v>
      </c>
      <c r="M588" s="1" t="s">
        <v>506</v>
      </c>
      <c r="N588" s="1" t="s">
        <v>648</v>
      </c>
      <c r="O588" s="1" t="s">
        <v>5</v>
      </c>
      <c r="P588" s="82">
        <v>0.98799999999999999</v>
      </c>
      <c r="Q588" s="1" t="s">
        <v>76</v>
      </c>
      <c r="R588" s="81" t="s">
        <v>171</v>
      </c>
      <c r="S588" s="1">
        <v>2</v>
      </c>
      <c r="T588" s="1" t="s">
        <v>120</v>
      </c>
      <c r="U588" s="1" t="s">
        <v>658</v>
      </c>
      <c r="V588" s="1" t="s">
        <v>655</v>
      </c>
      <c r="W588" s="1">
        <v>67</v>
      </c>
      <c r="X588" s="1" t="s">
        <v>391</v>
      </c>
      <c r="Y588" s="1" t="s">
        <v>648</v>
      </c>
      <c r="Z588" s="1">
        <v>0.98799999999999999</v>
      </c>
      <c r="AA588" s="1">
        <v>0</v>
      </c>
      <c r="AB588" s="1">
        <v>0</v>
      </c>
      <c r="AC588" s="1">
        <v>1E-3</v>
      </c>
      <c r="AD588" s="1">
        <v>0</v>
      </c>
      <c r="AE588" s="1">
        <v>0</v>
      </c>
      <c r="AF588" s="1">
        <v>0</v>
      </c>
      <c r="AG588" s="1">
        <v>0</v>
      </c>
      <c r="AH588" s="1">
        <v>4.0000000000000001E-3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1E-3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2E-3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2E-3</v>
      </c>
      <c r="CL588" s="1">
        <v>0</v>
      </c>
      <c r="CM588" s="1">
        <v>-7.4160652010000003</v>
      </c>
      <c r="CN588" s="83">
        <v>-56.70573211</v>
      </c>
    </row>
    <row r="589" spans="1:92" s="3" customFormat="1" hidden="1" x14ac:dyDescent="0.25">
      <c r="A589" s="72">
        <v>514</v>
      </c>
      <c r="B589" s="81" t="s">
        <v>1618</v>
      </c>
      <c r="C589" s="1" t="s">
        <v>83</v>
      </c>
      <c r="D589" s="1" t="s">
        <v>73</v>
      </c>
      <c r="E589" s="1" t="s">
        <v>76</v>
      </c>
      <c r="F589" s="1" t="s">
        <v>326</v>
      </c>
      <c r="G589" s="1" t="s">
        <v>76</v>
      </c>
      <c r="H589" s="1" t="s">
        <v>537</v>
      </c>
      <c r="I589" s="1"/>
      <c r="J589" s="9" t="s">
        <v>544</v>
      </c>
      <c r="K589" s="10">
        <v>0.33225116666666599</v>
      </c>
      <c r="L589" s="1" t="s">
        <v>514</v>
      </c>
      <c r="M589" s="1" t="s">
        <v>506</v>
      </c>
      <c r="N589" s="1" t="s">
        <v>648</v>
      </c>
      <c r="O589" s="1" t="s">
        <v>52</v>
      </c>
      <c r="P589" s="82">
        <v>0.99199999999999999</v>
      </c>
      <c r="Q589" s="1" t="s">
        <v>76</v>
      </c>
      <c r="R589" s="81" t="s">
        <v>76</v>
      </c>
      <c r="S589" s="1" t="s">
        <v>76</v>
      </c>
      <c r="T589" s="1" t="s">
        <v>120</v>
      </c>
      <c r="U589" s="1" t="s">
        <v>76</v>
      </c>
      <c r="V589" s="1" t="s">
        <v>655</v>
      </c>
      <c r="W589" s="1" t="s">
        <v>269</v>
      </c>
      <c r="X589" s="1" t="s">
        <v>76</v>
      </c>
      <c r="Y589" s="1" t="s">
        <v>648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0.99199999999999999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4.0000000000000001E-3</v>
      </c>
      <c r="CM589" s="1">
        <v>-33.8405372</v>
      </c>
      <c r="CN589" s="83">
        <v>-116.6625801</v>
      </c>
    </row>
    <row r="590" spans="1:92" s="3" customFormat="1" x14ac:dyDescent="0.25">
      <c r="A590" s="72">
        <v>622</v>
      </c>
      <c r="B590" s="81" t="s">
        <v>1533</v>
      </c>
      <c r="C590" s="1" t="s">
        <v>83</v>
      </c>
      <c r="D590" s="1" t="s">
        <v>73</v>
      </c>
      <c r="E590" s="1" t="s">
        <v>74</v>
      </c>
      <c r="F590" s="1" t="s">
        <v>84</v>
      </c>
      <c r="G590" s="1" t="s">
        <v>209</v>
      </c>
      <c r="H590" s="1" t="s">
        <v>538</v>
      </c>
      <c r="I590" s="1"/>
      <c r="J590" s="9" t="s">
        <v>544</v>
      </c>
      <c r="K590" s="10">
        <v>0.56887299999999996</v>
      </c>
      <c r="L590" s="1" t="s">
        <v>76</v>
      </c>
      <c r="M590" s="1" t="s">
        <v>506</v>
      </c>
      <c r="N590" s="1" t="s">
        <v>645</v>
      </c>
      <c r="O590" s="1" t="s">
        <v>20</v>
      </c>
      <c r="P590" s="82">
        <v>1</v>
      </c>
      <c r="Q590" s="1" t="s">
        <v>76</v>
      </c>
      <c r="R590" s="81" t="s">
        <v>1785</v>
      </c>
      <c r="S590" s="1">
        <v>3</v>
      </c>
      <c r="T590" s="1" t="s">
        <v>120</v>
      </c>
      <c r="U590" s="1" t="s">
        <v>658</v>
      </c>
      <c r="V590" s="1" t="s">
        <v>655</v>
      </c>
      <c r="W590" s="1">
        <v>14</v>
      </c>
      <c r="X590" s="1" t="s">
        <v>76</v>
      </c>
      <c r="Y590" s="1" t="s">
        <v>645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1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-41.908178329999998</v>
      </c>
      <c r="CN590" s="83">
        <v>22.180268600000002</v>
      </c>
    </row>
    <row r="591" spans="1:92" s="3" customFormat="1" x14ac:dyDescent="0.25">
      <c r="A591" s="72">
        <v>623</v>
      </c>
      <c r="B591" s="81" t="s">
        <v>1404</v>
      </c>
      <c r="C591" s="1" t="s">
        <v>83</v>
      </c>
      <c r="D591" s="1" t="s">
        <v>73</v>
      </c>
      <c r="E591" s="1" t="s">
        <v>99</v>
      </c>
      <c r="F591" s="1" t="s">
        <v>89</v>
      </c>
      <c r="G591" s="1" t="s">
        <v>76</v>
      </c>
      <c r="H591" s="1" t="s">
        <v>68</v>
      </c>
      <c r="I591" s="1"/>
      <c r="J591" s="9" t="s">
        <v>544</v>
      </c>
      <c r="K591" s="10">
        <v>0.31093433333333398</v>
      </c>
      <c r="L591" s="1" t="s">
        <v>641</v>
      </c>
      <c r="M591" s="1" t="s">
        <v>76</v>
      </c>
      <c r="N591" s="1" t="s">
        <v>644</v>
      </c>
      <c r="O591" s="1" t="s">
        <v>19</v>
      </c>
      <c r="P591" s="82">
        <v>0.17100000000000001</v>
      </c>
      <c r="Q591" s="1" t="s">
        <v>76</v>
      </c>
      <c r="R591" s="81" t="s">
        <v>332</v>
      </c>
      <c r="S591" s="1" t="s">
        <v>76</v>
      </c>
      <c r="T591" s="1" t="s">
        <v>78</v>
      </c>
      <c r="U591" s="1" t="s">
        <v>658</v>
      </c>
      <c r="V591" s="1" t="s">
        <v>655</v>
      </c>
      <c r="W591" s="1">
        <v>15</v>
      </c>
      <c r="X591" s="1" t="s">
        <v>348</v>
      </c>
      <c r="Y591" s="1" t="s">
        <v>644</v>
      </c>
      <c r="Z591" s="1">
        <v>4.8000000000000001E-2</v>
      </c>
      <c r="AA591" s="1">
        <v>5.0000000000000001E-3</v>
      </c>
      <c r="AB591" s="1">
        <v>4.0000000000000001E-3</v>
      </c>
      <c r="AC591" s="1">
        <v>1.7000000000000001E-2</v>
      </c>
      <c r="AD591" s="1">
        <v>8.0000000000000002E-3</v>
      </c>
      <c r="AE591" s="1">
        <v>1.2E-2</v>
      </c>
      <c r="AF591" s="1">
        <v>5.0000000000000001E-3</v>
      </c>
      <c r="AG591" s="1">
        <v>1E-3</v>
      </c>
      <c r="AH591" s="1">
        <v>2.5000000000000001E-2</v>
      </c>
      <c r="AI591" s="1">
        <v>3.0000000000000001E-3</v>
      </c>
      <c r="AJ591" s="1">
        <v>3.5999999999999997E-2</v>
      </c>
      <c r="AK591" s="1">
        <v>1.2E-2</v>
      </c>
      <c r="AL591" s="1">
        <v>0</v>
      </c>
      <c r="AM591" s="1">
        <v>4.0000000000000001E-3</v>
      </c>
      <c r="AN591" s="1">
        <v>0.17100000000000001</v>
      </c>
      <c r="AO591" s="1">
        <v>3.0000000000000001E-3</v>
      </c>
      <c r="AP591" s="1">
        <v>3.0000000000000001E-3</v>
      </c>
      <c r="AQ591" s="1">
        <v>3.0000000000000001E-3</v>
      </c>
      <c r="AR591" s="1">
        <v>3.1E-2</v>
      </c>
      <c r="AS591" s="1">
        <v>8.9999999999999993E-3</v>
      </c>
      <c r="AT591" s="1">
        <v>5.0000000000000001E-3</v>
      </c>
      <c r="AU591" s="1">
        <v>0.01</v>
      </c>
      <c r="AV591" s="1">
        <v>5.0000000000000001E-3</v>
      </c>
      <c r="AW591" s="1">
        <v>4.0000000000000001E-3</v>
      </c>
      <c r="AX591" s="1">
        <v>7.0000000000000001E-3</v>
      </c>
      <c r="AY591" s="1">
        <v>7.0000000000000001E-3</v>
      </c>
      <c r="AZ591" s="1">
        <v>0.01</v>
      </c>
      <c r="BA591" s="1">
        <v>1.2999999999999999E-2</v>
      </c>
      <c r="BB591" s="1">
        <v>8.0000000000000002E-3</v>
      </c>
      <c r="BC591" s="1">
        <v>3.0000000000000001E-3</v>
      </c>
      <c r="BD591" s="1">
        <v>1.9E-2</v>
      </c>
      <c r="BE591" s="1">
        <v>3.0000000000000001E-3</v>
      </c>
      <c r="BF591" s="1">
        <v>9.4E-2</v>
      </c>
      <c r="BG591" s="1">
        <v>1E-3</v>
      </c>
      <c r="BH591" s="1">
        <v>6.0000000000000001E-3</v>
      </c>
      <c r="BI591" s="1">
        <v>2E-3</v>
      </c>
      <c r="BJ591" s="1">
        <v>2E-3</v>
      </c>
      <c r="BK591" s="1">
        <v>2E-3</v>
      </c>
      <c r="BL591" s="1">
        <v>4.0000000000000001E-3</v>
      </c>
      <c r="BM591" s="1">
        <v>3.0000000000000001E-3</v>
      </c>
      <c r="BN591" s="1">
        <v>4.0000000000000001E-3</v>
      </c>
      <c r="BO591" s="1">
        <v>0.02</v>
      </c>
      <c r="BP591" s="1">
        <v>3.0000000000000001E-3</v>
      </c>
      <c r="BQ591" s="1">
        <v>6.0000000000000001E-3</v>
      </c>
      <c r="BR591" s="1">
        <v>4.0000000000000001E-3</v>
      </c>
      <c r="BS591" s="1">
        <v>8.1000000000000003E-2</v>
      </c>
      <c r="BT591" s="1">
        <v>2E-3</v>
      </c>
      <c r="BU591" s="1">
        <v>7.0000000000000001E-3</v>
      </c>
      <c r="BV591" s="1">
        <v>8.0000000000000002E-3</v>
      </c>
      <c r="BW591" s="1">
        <v>4.0000000000000001E-3</v>
      </c>
      <c r="BX591" s="1">
        <v>0.11799999999999999</v>
      </c>
      <c r="BY591" s="1">
        <v>8.9999999999999993E-3</v>
      </c>
      <c r="BZ591" s="1">
        <v>7.0000000000000001E-3</v>
      </c>
      <c r="CA591" s="1">
        <v>5.0000000000000001E-3</v>
      </c>
      <c r="CB591" s="1">
        <v>2E-3</v>
      </c>
      <c r="CC591" s="1">
        <v>4.0000000000000001E-3</v>
      </c>
      <c r="CD591" s="1">
        <v>0</v>
      </c>
      <c r="CE591" s="1">
        <v>4.0000000000000001E-3</v>
      </c>
      <c r="CF591" s="1">
        <v>4.0000000000000001E-3</v>
      </c>
      <c r="CG591" s="1">
        <v>6.0000000000000001E-3</v>
      </c>
      <c r="CH591" s="1">
        <v>6.0000000000000001E-3</v>
      </c>
      <c r="CI591" s="1">
        <v>5.0000000000000001E-3</v>
      </c>
      <c r="CJ591" s="1">
        <v>7.0000000000000001E-3</v>
      </c>
      <c r="CK591" s="1">
        <v>7.0999999999999994E-2</v>
      </c>
      <c r="CL591" s="1">
        <v>8.0000000000000002E-3</v>
      </c>
      <c r="CM591" s="1">
        <v>-15.001121980000001</v>
      </c>
      <c r="CN591" s="83">
        <v>-9.0652153040000005</v>
      </c>
    </row>
    <row r="592" spans="1:92" s="3" customFormat="1" x14ac:dyDescent="0.25">
      <c r="A592" s="72">
        <v>624</v>
      </c>
      <c r="B592" s="81" t="s">
        <v>1474</v>
      </c>
      <c r="C592" s="1" t="s">
        <v>83</v>
      </c>
      <c r="D592" s="1" t="s">
        <v>73</v>
      </c>
      <c r="E592" s="1" t="s">
        <v>74</v>
      </c>
      <c r="F592" s="1" t="s">
        <v>208</v>
      </c>
      <c r="G592" s="1" t="s">
        <v>80</v>
      </c>
      <c r="H592" s="1" t="s">
        <v>29</v>
      </c>
      <c r="I592" s="1"/>
      <c r="J592" s="9" t="s">
        <v>544</v>
      </c>
      <c r="K592" s="10">
        <v>0.29882766666666699</v>
      </c>
      <c r="L592" s="1" t="s">
        <v>76</v>
      </c>
      <c r="M592" s="1" t="s">
        <v>506</v>
      </c>
      <c r="N592" s="1" t="s">
        <v>645</v>
      </c>
      <c r="O592" s="1" t="s">
        <v>29</v>
      </c>
      <c r="P592" s="82">
        <v>1</v>
      </c>
      <c r="Q592" s="1" t="s">
        <v>76</v>
      </c>
      <c r="R592" s="81" t="s">
        <v>359</v>
      </c>
      <c r="S592" s="1">
        <v>3</v>
      </c>
      <c r="T592" s="1" t="s">
        <v>330</v>
      </c>
      <c r="U592" s="1" t="s">
        <v>658</v>
      </c>
      <c r="V592" s="1" t="s">
        <v>655</v>
      </c>
      <c r="W592" s="1">
        <v>26</v>
      </c>
      <c r="X592" s="1" t="s">
        <v>360</v>
      </c>
      <c r="Y592" s="1" t="s">
        <v>645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1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2.4108511190000002</v>
      </c>
      <c r="CN592" s="83">
        <v>-53.394489550000003</v>
      </c>
    </row>
    <row r="593" spans="1:92" s="3" customFormat="1" x14ac:dyDescent="0.25">
      <c r="A593" s="72">
        <v>625</v>
      </c>
      <c r="B593" s="81" t="s">
        <v>1444</v>
      </c>
      <c r="C593" s="1" t="s">
        <v>83</v>
      </c>
      <c r="D593" s="1" t="s">
        <v>73</v>
      </c>
      <c r="E593" s="1" t="s">
        <v>74</v>
      </c>
      <c r="F593" s="1" t="s">
        <v>208</v>
      </c>
      <c r="G593" s="1" t="s">
        <v>80</v>
      </c>
      <c r="H593" s="1" t="s">
        <v>29</v>
      </c>
      <c r="I593" s="1"/>
      <c r="J593" s="9" t="s">
        <v>544</v>
      </c>
      <c r="K593" s="10">
        <v>0.59693416666666699</v>
      </c>
      <c r="L593" s="1" t="s">
        <v>641</v>
      </c>
      <c r="M593" s="1" t="s">
        <v>76</v>
      </c>
      <c r="N593" s="1" t="s">
        <v>644</v>
      </c>
      <c r="O593" s="1" t="s">
        <v>49</v>
      </c>
      <c r="P593" s="82">
        <v>0.746</v>
      </c>
      <c r="Q593" s="1" t="s">
        <v>76</v>
      </c>
      <c r="R593" s="81" t="s">
        <v>100</v>
      </c>
      <c r="S593" s="1">
        <v>3</v>
      </c>
      <c r="T593" s="1" t="s">
        <v>229</v>
      </c>
      <c r="U593" s="1" t="s">
        <v>658</v>
      </c>
      <c r="V593" s="1" t="s">
        <v>655</v>
      </c>
      <c r="W593" s="1">
        <v>21</v>
      </c>
      <c r="X593" s="1" t="s">
        <v>361</v>
      </c>
      <c r="Y593" s="1" t="s">
        <v>644</v>
      </c>
      <c r="Z593" s="1">
        <v>1E-3</v>
      </c>
      <c r="AA593" s="1">
        <v>3.0000000000000001E-3</v>
      </c>
      <c r="AB593" s="1">
        <v>2E-3</v>
      </c>
      <c r="AC593" s="1">
        <v>0.01</v>
      </c>
      <c r="AD593" s="1">
        <v>1E-3</v>
      </c>
      <c r="AE593" s="1">
        <v>1E-3</v>
      </c>
      <c r="AF593" s="1">
        <v>2E-3</v>
      </c>
      <c r="AG593" s="1">
        <v>0</v>
      </c>
      <c r="AH593" s="1">
        <v>4.0000000000000001E-3</v>
      </c>
      <c r="AI593" s="1">
        <v>1E-3</v>
      </c>
      <c r="AJ593" s="1">
        <v>1E-3</v>
      </c>
      <c r="AK593" s="1">
        <v>3.0000000000000001E-3</v>
      </c>
      <c r="AL593" s="1">
        <v>3.0000000000000001E-3</v>
      </c>
      <c r="AM593" s="1">
        <v>3.0000000000000001E-3</v>
      </c>
      <c r="AN593" s="1">
        <v>1E-3</v>
      </c>
      <c r="AO593" s="1">
        <v>3.0000000000000001E-3</v>
      </c>
      <c r="AP593" s="1">
        <v>2E-3</v>
      </c>
      <c r="AQ593" s="1">
        <v>1E-3</v>
      </c>
      <c r="AR593" s="1">
        <v>1E-3</v>
      </c>
      <c r="AS593" s="1">
        <v>6.0000000000000001E-3</v>
      </c>
      <c r="AT593" s="1">
        <v>4.0000000000000001E-3</v>
      </c>
      <c r="AU593" s="1">
        <v>2E-3</v>
      </c>
      <c r="AV593" s="1">
        <v>1E-3</v>
      </c>
      <c r="AW593" s="1">
        <v>7.0000000000000001E-3</v>
      </c>
      <c r="AX593" s="1">
        <v>3.0000000000000001E-3</v>
      </c>
      <c r="AY593" s="1">
        <v>7.0000000000000001E-3</v>
      </c>
      <c r="AZ593" s="1">
        <v>3.0000000000000001E-3</v>
      </c>
      <c r="BA593" s="1">
        <v>8.9999999999999993E-3</v>
      </c>
      <c r="BB593" s="1">
        <v>1E-3</v>
      </c>
      <c r="BC593" s="1">
        <v>1E-3</v>
      </c>
      <c r="BD593" s="1">
        <v>8.0000000000000002E-3</v>
      </c>
      <c r="BE593" s="1">
        <v>1E-3</v>
      </c>
      <c r="BF593" s="1">
        <v>1E-3</v>
      </c>
      <c r="BG593" s="1">
        <v>2E-3</v>
      </c>
      <c r="BH593" s="1">
        <v>2E-3</v>
      </c>
      <c r="BI593" s="1">
        <v>1E-3</v>
      </c>
      <c r="BJ593" s="1">
        <v>1E-3</v>
      </c>
      <c r="BK593" s="1">
        <v>2E-3</v>
      </c>
      <c r="BL593" s="1">
        <v>2.5000000000000001E-2</v>
      </c>
      <c r="BM593" s="1">
        <v>5.0000000000000001E-3</v>
      </c>
      <c r="BN593" s="1">
        <v>4.0000000000000001E-3</v>
      </c>
      <c r="BO593" s="1">
        <v>1E-3</v>
      </c>
      <c r="BP593" s="1">
        <v>1E-3</v>
      </c>
      <c r="BQ593" s="1">
        <v>1.4E-2</v>
      </c>
      <c r="BR593" s="1">
        <v>0.746</v>
      </c>
      <c r="BS593" s="1">
        <v>1E-3</v>
      </c>
      <c r="BT593" s="1">
        <v>1E-3</v>
      </c>
      <c r="BU593" s="1">
        <v>1E-3</v>
      </c>
      <c r="BV593" s="1">
        <v>1E-3</v>
      </c>
      <c r="BW593" s="1">
        <v>3.0000000000000001E-3</v>
      </c>
      <c r="BX593" s="1">
        <v>4.0000000000000001E-3</v>
      </c>
      <c r="BY593" s="1">
        <v>8.0000000000000002E-3</v>
      </c>
      <c r="BZ593" s="1">
        <v>6.0000000000000001E-3</v>
      </c>
      <c r="CA593" s="1">
        <v>1E-3</v>
      </c>
      <c r="CB593" s="1">
        <v>0</v>
      </c>
      <c r="CC593" s="1">
        <v>3.0000000000000001E-3</v>
      </c>
      <c r="CD593" s="1">
        <v>0</v>
      </c>
      <c r="CE593" s="1">
        <v>2E-3</v>
      </c>
      <c r="CF593" s="1">
        <v>2E-3</v>
      </c>
      <c r="CG593" s="1">
        <v>8.0000000000000002E-3</v>
      </c>
      <c r="CH593" s="1">
        <v>4.0000000000000001E-3</v>
      </c>
      <c r="CI593" s="1">
        <v>3.0000000000000001E-3</v>
      </c>
      <c r="CJ593" s="1">
        <v>4.4999999999999998E-2</v>
      </c>
      <c r="CK593" s="1">
        <v>3.0000000000000001E-3</v>
      </c>
      <c r="CL593" s="1">
        <v>4.0000000000000001E-3</v>
      </c>
      <c r="CM593" s="1">
        <v>-23.314997300000002</v>
      </c>
      <c r="CN593" s="83">
        <v>59.025077760000002</v>
      </c>
    </row>
    <row r="594" spans="1:92" s="3" customFormat="1" hidden="1" x14ac:dyDescent="0.25">
      <c r="A594" s="72">
        <v>710</v>
      </c>
      <c r="B594" s="81" t="s">
        <v>1619</v>
      </c>
      <c r="C594" s="1" t="s">
        <v>83</v>
      </c>
      <c r="D594" s="1" t="s">
        <v>73</v>
      </c>
      <c r="E594" s="1" t="s">
        <v>76</v>
      </c>
      <c r="F594" s="1" t="s">
        <v>326</v>
      </c>
      <c r="G594" s="1" t="s">
        <v>76</v>
      </c>
      <c r="H594" s="1" t="s">
        <v>537</v>
      </c>
      <c r="I594" s="1"/>
      <c r="J594" s="9" t="s">
        <v>544</v>
      </c>
      <c r="K594" s="10">
        <v>0.40063349999999998</v>
      </c>
      <c r="L594" s="1" t="s">
        <v>639</v>
      </c>
      <c r="M594" s="1" t="s">
        <v>506</v>
      </c>
      <c r="N594" s="1" t="s">
        <v>648</v>
      </c>
      <c r="O594" s="1" t="s">
        <v>51</v>
      </c>
      <c r="P594" s="82">
        <v>0.98899999999999999</v>
      </c>
      <c r="Q594" s="1" t="s">
        <v>76</v>
      </c>
      <c r="R594" s="81" t="s">
        <v>76</v>
      </c>
      <c r="S594" s="1" t="s">
        <v>76</v>
      </c>
      <c r="T594" s="1" t="s">
        <v>120</v>
      </c>
      <c r="U594" s="1" t="s">
        <v>76</v>
      </c>
      <c r="V594" s="1" t="s">
        <v>655</v>
      </c>
      <c r="W594" s="1" t="s">
        <v>269</v>
      </c>
      <c r="X594" s="1" t="s">
        <v>76</v>
      </c>
      <c r="Y594" s="1" t="s">
        <v>648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6.0000000000000001E-3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0.98899999999999999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1E-3</v>
      </c>
      <c r="CJ594" s="1">
        <v>0</v>
      </c>
      <c r="CK594" s="1">
        <v>0</v>
      </c>
      <c r="CL594" s="1">
        <v>0</v>
      </c>
      <c r="CM594" s="1">
        <v>-60.605536890000003</v>
      </c>
      <c r="CN594" s="83">
        <v>-18.62706142</v>
      </c>
    </row>
    <row r="595" spans="1:92" s="3" customFormat="1" x14ac:dyDescent="0.25">
      <c r="A595" s="72">
        <v>627</v>
      </c>
      <c r="B595" s="81" t="s">
        <v>1454</v>
      </c>
      <c r="C595" s="1" t="s">
        <v>83</v>
      </c>
      <c r="D595" s="1" t="s">
        <v>73</v>
      </c>
      <c r="E595" s="1" t="s">
        <v>74</v>
      </c>
      <c r="F595" s="1" t="s">
        <v>208</v>
      </c>
      <c r="G595" s="1" t="s">
        <v>240</v>
      </c>
      <c r="H595" s="1" t="s">
        <v>29</v>
      </c>
      <c r="I595" s="1"/>
      <c r="J595" s="9" t="s">
        <v>544</v>
      </c>
      <c r="K595" s="10">
        <v>0.344082833333334</v>
      </c>
      <c r="L595" s="1" t="s">
        <v>76</v>
      </c>
      <c r="M595" s="1" t="s">
        <v>506</v>
      </c>
      <c r="N595" s="1" t="s">
        <v>645</v>
      </c>
      <c r="O595" s="1" t="s">
        <v>29</v>
      </c>
      <c r="P595" s="82">
        <v>0.999</v>
      </c>
      <c r="Q595" s="1" t="s">
        <v>76</v>
      </c>
      <c r="R595" s="81" t="s">
        <v>183</v>
      </c>
      <c r="S595" s="1">
        <v>3</v>
      </c>
      <c r="T595" s="1" t="s">
        <v>120</v>
      </c>
      <c r="U595" s="1" t="s">
        <v>658</v>
      </c>
      <c r="V595" s="1" t="s">
        <v>655</v>
      </c>
      <c r="W595" s="1">
        <v>25</v>
      </c>
      <c r="X595" s="1" t="s">
        <v>360</v>
      </c>
      <c r="Y595" s="1" t="s">
        <v>645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0.999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1E-3</v>
      </c>
      <c r="CL595" s="1">
        <v>0</v>
      </c>
      <c r="CM595" s="1">
        <v>-58.152443949999999</v>
      </c>
      <c r="CN595" s="83">
        <v>-8.9904393470000006</v>
      </c>
    </row>
    <row r="596" spans="1:92" s="3" customFormat="1" x14ac:dyDescent="0.25">
      <c r="A596" s="72">
        <v>628</v>
      </c>
      <c r="B596" s="81" t="s">
        <v>1595</v>
      </c>
      <c r="C596" s="1" t="s">
        <v>83</v>
      </c>
      <c r="D596" s="1" t="s">
        <v>73</v>
      </c>
      <c r="E596" s="1" t="s">
        <v>99</v>
      </c>
      <c r="F596" s="1" t="s">
        <v>208</v>
      </c>
      <c r="G596" s="1" t="s">
        <v>80</v>
      </c>
      <c r="H596" s="1" t="s">
        <v>29</v>
      </c>
      <c r="I596" s="1"/>
      <c r="J596" s="9" t="s">
        <v>544</v>
      </c>
      <c r="K596" s="10">
        <v>0.33780433333333298</v>
      </c>
      <c r="L596" s="1" t="s">
        <v>76</v>
      </c>
      <c r="M596" s="1" t="s">
        <v>506</v>
      </c>
      <c r="N596" s="1" t="s">
        <v>645</v>
      </c>
      <c r="O596" s="1" t="s">
        <v>29</v>
      </c>
      <c r="P596" s="82">
        <v>1</v>
      </c>
      <c r="Q596" s="1" t="s">
        <v>76</v>
      </c>
      <c r="R596" s="81" t="s">
        <v>157</v>
      </c>
      <c r="S596" s="1">
        <v>3</v>
      </c>
      <c r="T596" s="1" t="s">
        <v>120</v>
      </c>
      <c r="U596" s="1" t="s">
        <v>658</v>
      </c>
      <c r="V596" s="1" t="s">
        <v>655</v>
      </c>
      <c r="W596" s="1">
        <v>32</v>
      </c>
      <c r="X596" s="1" t="s">
        <v>76</v>
      </c>
      <c r="Y596" s="1" t="s">
        <v>645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1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15.13876686</v>
      </c>
      <c r="CN596" s="83">
        <v>-23.795132370000001</v>
      </c>
    </row>
    <row r="597" spans="1:92" s="3" customFormat="1" x14ac:dyDescent="0.25">
      <c r="A597" s="72">
        <v>629</v>
      </c>
      <c r="B597" s="81" t="s">
        <v>1287</v>
      </c>
      <c r="C597" s="1" t="s">
        <v>83</v>
      </c>
      <c r="D597" s="1" t="s">
        <v>73</v>
      </c>
      <c r="E597" s="1" t="s">
        <v>74</v>
      </c>
      <c r="F597" s="1" t="s">
        <v>93</v>
      </c>
      <c r="G597" s="1" t="s">
        <v>80</v>
      </c>
      <c r="H597" s="1" t="s">
        <v>34</v>
      </c>
      <c r="I597" s="1"/>
      <c r="J597" s="9" t="s">
        <v>544</v>
      </c>
      <c r="K597" s="10">
        <v>0.38374516666666603</v>
      </c>
      <c r="L597" s="1" t="s">
        <v>76</v>
      </c>
      <c r="M597" s="1" t="s">
        <v>506</v>
      </c>
      <c r="N597" s="1" t="s">
        <v>645</v>
      </c>
      <c r="O597" s="1" t="s">
        <v>34</v>
      </c>
      <c r="P597" s="82">
        <v>0.98799999999999999</v>
      </c>
      <c r="Q597" s="1" t="s">
        <v>76</v>
      </c>
      <c r="R597" s="81" t="s">
        <v>137</v>
      </c>
      <c r="S597" s="1" t="s">
        <v>76</v>
      </c>
      <c r="T597" s="1" t="s">
        <v>78</v>
      </c>
      <c r="U597" s="1" t="s">
        <v>658</v>
      </c>
      <c r="V597" s="1" t="s">
        <v>655</v>
      </c>
      <c r="W597" s="1">
        <v>18</v>
      </c>
      <c r="X597" s="1" t="s">
        <v>348</v>
      </c>
      <c r="Y597" s="1" t="s">
        <v>645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6.0000000000000001E-3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0.98799999999999999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1E-3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1E-3</v>
      </c>
      <c r="CL597" s="1">
        <v>0</v>
      </c>
      <c r="CM597" s="1">
        <v>45.669818130000003</v>
      </c>
      <c r="CN597" s="83">
        <v>-3.5117952269999999</v>
      </c>
    </row>
    <row r="598" spans="1:92" s="3" customFormat="1" x14ac:dyDescent="0.25">
      <c r="A598" s="72">
        <v>630</v>
      </c>
      <c r="B598" s="81" t="s">
        <v>1294</v>
      </c>
      <c r="C598" s="1" t="s">
        <v>83</v>
      </c>
      <c r="D598" s="1" t="s">
        <v>73</v>
      </c>
      <c r="E598" s="1" t="s">
        <v>99</v>
      </c>
      <c r="F598" s="1" t="s">
        <v>93</v>
      </c>
      <c r="G598" s="1" t="s">
        <v>80</v>
      </c>
      <c r="H598" s="1" t="s">
        <v>34</v>
      </c>
      <c r="I598" s="1"/>
      <c r="J598" s="9" t="s">
        <v>544</v>
      </c>
      <c r="K598" s="10">
        <v>0.38371699999999997</v>
      </c>
      <c r="L598" s="1" t="s">
        <v>641</v>
      </c>
      <c r="M598" s="1" t="s">
        <v>76</v>
      </c>
      <c r="N598" s="1" t="s">
        <v>644</v>
      </c>
      <c r="O598" s="1" t="s">
        <v>55</v>
      </c>
      <c r="P598" s="82">
        <v>0.56599999999999995</v>
      </c>
      <c r="Q598" s="1" t="s">
        <v>76</v>
      </c>
      <c r="R598" s="81" t="s">
        <v>363</v>
      </c>
      <c r="S598" s="1" t="s">
        <v>76</v>
      </c>
      <c r="T598" s="1" t="s">
        <v>78</v>
      </c>
      <c r="U598" s="1" t="s">
        <v>658</v>
      </c>
      <c r="V598" s="1" t="s">
        <v>655</v>
      </c>
      <c r="W598" s="1">
        <v>33</v>
      </c>
      <c r="X598" s="1" t="s">
        <v>348</v>
      </c>
      <c r="Y598" s="1" t="s">
        <v>644</v>
      </c>
      <c r="Z598" s="1">
        <v>3.0000000000000001E-3</v>
      </c>
      <c r="AA598" s="1">
        <v>4.0000000000000001E-3</v>
      </c>
      <c r="AB598" s="1">
        <v>2E-3</v>
      </c>
      <c r="AC598" s="1">
        <v>1.9E-2</v>
      </c>
      <c r="AD598" s="1">
        <v>3.0000000000000001E-3</v>
      </c>
      <c r="AE598" s="1">
        <v>6.0000000000000001E-3</v>
      </c>
      <c r="AF598" s="1">
        <v>2E-3</v>
      </c>
      <c r="AG598" s="1">
        <v>0</v>
      </c>
      <c r="AH598" s="1">
        <v>7.0000000000000001E-3</v>
      </c>
      <c r="AI598" s="1">
        <v>1E-3</v>
      </c>
      <c r="AJ598" s="1">
        <v>5.0000000000000001E-3</v>
      </c>
      <c r="AK598" s="1">
        <v>4.0000000000000001E-3</v>
      </c>
      <c r="AL598" s="1">
        <v>0</v>
      </c>
      <c r="AM598" s="1">
        <v>1E-3</v>
      </c>
      <c r="AN598" s="1">
        <v>6.0000000000000001E-3</v>
      </c>
      <c r="AO598" s="1">
        <v>2E-3</v>
      </c>
      <c r="AP598" s="1">
        <v>2E-3</v>
      </c>
      <c r="AQ598" s="1">
        <v>1E-3</v>
      </c>
      <c r="AR598" s="1">
        <v>6.0000000000000001E-3</v>
      </c>
      <c r="AS598" s="1">
        <v>7.0000000000000001E-3</v>
      </c>
      <c r="AT598" s="1">
        <v>4.0000000000000001E-3</v>
      </c>
      <c r="AU598" s="1">
        <v>5.0000000000000001E-3</v>
      </c>
      <c r="AV598" s="1">
        <v>2E-3</v>
      </c>
      <c r="AW598" s="1">
        <v>2E-3</v>
      </c>
      <c r="AX598" s="1">
        <v>3.0000000000000001E-3</v>
      </c>
      <c r="AY598" s="1">
        <v>3.0000000000000001E-3</v>
      </c>
      <c r="AZ598" s="1">
        <v>5.0000000000000001E-3</v>
      </c>
      <c r="BA598" s="1">
        <v>6.0000000000000001E-3</v>
      </c>
      <c r="BB598" s="1">
        <v>6.0000000000000001E-3</v>
      </c>
      <c r="BC598" s="1">
        <v>1E-3</v>
      </c>
      <c r="BD598" s="1">
        <v>0.01</v>
      </c>
      <c r="BE598" s="1">
        <v>3.0000000000000001E-3</v>
      </c>
      <c r="BF598" s="1">
        <v>7.0000000000000001E-3</v>
      </c>
      <c r="BG598" s="1">
        <v>1E-3</v>
      </c>
      <c r="BH598" s="1">
        <v>3.0000000000000001E-3</v>
      </c>
      <c r="BI598" s="1">
        <v>1E-3</v>
      </c>
      <c r="BJ598" s="1">
        <v>1E-3</v>
      </c>
      <c r="BK598" s="1">
        <v>1E-3</v>
      </c>
      <c r="BL598" s="1">
        <v>4.0000000000000001E-3</v>
      </c>
      <c r="BM598" s="1">
        <v>2E-3</v>
      </c>
      <c r="BN598" s="1">
        <v>5.0000000000000001E-3</v>
      </c>
      <c r="BO598" s="1">
        <v>1.4E-2</v>
      </c>
      <c r="BP598" s="1">
        <v>1E-3</v>
      </c>
      <c r="BQ598" s="1">
        <v>5.0000000000000001E-3</v>
      </c>
      <c r="BR598" s="1">
        <v>2E-3</v>
      </c>
      <c r="BS598" s="1">
        <v>0.01</v>
      </c>
      <c r="BT598" s="1">
        <v>1E-3</v>
      </c>
      <c r="BU598" s="1">
        <v>1E-3</v>
      </c>
      <c r="BV598" s="1">
        <v>4.0000000000000001E-3</v>
      </c>
      <c r="BW598" s="1">
        <v>3.0000000000000001E-3</v>
      </c>
      <c r="BX598" s="1">
        <v>0.56599999999999995</v>
      </c>
      <c r="BY598" s="1">
        <v>5.0000000000000001E-3</v>
      </c>
      <c r="BZ598" s="1">
        <v>6.0000000000000001E-3</v>
      </c>
      <c r="CA598" s="1">
        <v>3.0000000000000001E-3</v>
      </c>
      <c r="CB598" s="1">
        <v>4.0000000000000001E-3</v>
      </c>
      <c r="CC598" s="1">
        <v>4.0000000000000001E-3</v>
      </c>
      <c r="CD598" s="1">
        <v>0</v>
      </c>
      <c r="CE598" s="1">
        <v>2E-3</v>
      </c>
      <c r="CF598" s="1">
        <v>2E-3</v>
      </c>
      <c r="CG598" s="1">
        <v>3.0000000000000001E-3</v>
      </c>
      <c r="CH598" s="1">
        <v>4.0000000000000001E-3</v>
      </c>
      <c r="CI598" s="1">
        <v>3.0000000000000001E-3</v>
      </c>
      <c r="CJ598" s="1">
        <v>5.0000000000000001E-3</v>
      </c>
      <c r="CK598" s="1">
        <v>0.187</v>
      </c>
      <c r="CL598" s="1">
        <v>5.0000000000000001E-3</v>
      </c>
      <c r="CM598" s="1">
        <v>33.383427750000003</v>
      </c>
      <c r="CN598" s="83">
        <v>-3.553760596</v>
      </c>
    </row>
    <row r="599" spans="1:92" s="3" customFormat="1" x14ac:dyDescent="0.25">
      <c r="A599" s="72">
        <v>631</v>
      </c>
      <c r="B599" s="81" t="s">
        <v>1529</v>
      </c>
      <c r="C599" s="1" t="s">
        <v>83</v>
      </c>
      <c r="D599" s="1" t="s">
        <v>73</v>
      </c>
      <c r="E599" s="1" t="s">
        <v>74</v>
      </c>
      <c r="F599" s="1" t="s">
        <v>84</v>
      </c>
      <c r="G599" s="1" t="s">
        <v>209</v>
      </c>
      <c r="H599" s="1" t="s">
        <v>538</v>
      </c>
      <c r="I599" s="1"/>
      <c r="J599" s="9" t="s">
        <v>544</v>
      </c>
      <c r="K599" s="10">
        <v>0.56872216666666697</v>
      </c>
      <c r="L599" s="1" t="s">
        <v>76</v>
      </c>
      <c r="M599" s="1" t="s">
        <v>506</v>
      </c>
      <c r="N599" s="1" t="s">
        <v>645</v>
      </c>
      <c r="O599" s="1" t="s">
        <v>20</v>
      </c>
      <c r="P599" s="82">
        <v>1</v>
      </c>
      <c r="Q599" s="1" t="s">
        <v>76</v>
      </c>
      <c r="R599" s="81" t="s">
        <v>95</v>
      </c>
      <c r="S599" s="1">
        <v>3</v>
      </c>
      <c r="T599" s="1" t="s">
        <v>78</v>
      </c>
      <c r="U599" s="1" t="s">
        <v>658</v>
      </c>
      <c r="V599" s="1" t="s">
        <v>655</v>
      </c>
      <c r="W599" s="1">
        <v>31</v>
      </c>
      <c r="X599" s="1" t="s">
        <v>76</v>
      </c>
      <c r="Y599" s="1" t="s">
        <v>645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1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-35.88686062</v>
      </c>
      <c r="CN599" s="83">
        <v>25.224691109999998</v>
      </c>
    </row>
    <row r="600" spans="1:92" s="3" customFormat="1" hidden="1" x14ac:dyDescent="0.25">
      <c r="A600" s="72">
        <v>632</v>
      </c>
      <c r="B600" s="81" t="s">
        <v>1425</v>
      </c>
      <c r="C600" s="1" t="s">
        <v>83</v>
      </c>
      <c r="D600" s="1" t="s">
        <v>73</v>
      </c>
      <c r="E600" s="1" t="s">
        <v>74</v>
      </c>
      <c r="F600" s="1" t="s">
        <v>301</v>
      </c>
      <c r="G600" s="1" t="s">
        <v>76</v>
      </c>
      <c r="H600" s="1" t="s">
        <v>537</v>
      </c>
      <c r="I600" s="1"/>
      <c r="J600" s="9" t="s">
        <v>544</v>
      </c>
      <c r="K600" s="10">
        <v>0.29335650000000102</v>
      </c>
      <c r="L600" s="1" t="s">
        <v>76</v>
      </c>
      <c r="M600" s="1" t="s">
        <v>506</v>
      </c>
      <c r="N600" s="1" t="s">
        <v>645</v>
      </c>
      <c r="O600" s="1" t="s">
        <v>21</v>
      </c>
      <c r="P600" s="82">
        <v>0.98199999999999998</v>
      </c>
      <c r="Q600" s="1" t="s">
        <v>76</v>
      </c>
      <c r="R600" s="81" t="s">
        <v>81</v>
      </c>
      <c r="S600" s="1">
        <v>3</v>
      </c>
      <c r="T600" s="1" t="s">
        <v>78</v>
      </c>
      <c r="U600" s="1" t="s">
        <v>658</v>
      </c>
      <c r="V600" s="1" t="s">
        <v>655</v>
      </c>
      <c r="W600" s="1">
        <v>26</v>
      </c>
      <c r="X600" s="1" t="s">
        <v>76</v>
      </c>
      <c r="Y600" s="1" t="s">
        <v>645</v>
      </c>
      <c r="Z600" s="1">
        <v>0</v>
      </c>
      <c r="AA600" s="1">
        <v>0</v>
      </c>
      <c r="AB600" s="1">
        <v>0</v>
      </c>
      <c r="AC600" s="1">
        <v>1E-3</v>
      </c>
      <c r="AD600" s="1">
        <v>0</v>
      </c>
      <c r="AE600" s="1">
        <v>0</v>
      </c>
      <c r="AF600" s="1">
        <v>0</v>
      </c>
      <c r="AG600" s="1">
        <v>0</v>
      </c>
      <c r="AH600" s="1">
        <v>1E-3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0.98199999999999998</v>
      </c>
      <c r="AQ600" s="1">
        <v>0</v>
      </c>
      <c r="AR600" s="1">
        <v>0</v>
      </c>
      <c r="AS600" s="1">
        <v>1E-3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1E-3</v>
      </c>
      <c r="BB600" s="1">
        <v>0</v>
      </c>
      <c r="BC600" s="1">
        <v>0</v>
      </c>
      <c r="BD600" s="1">
        <v>1E-3</v>
      </c>
      <c r="BE600" s="1">
        <v>0</v>
      </c>
      <c r="BF600" s="1">
        <v>0</v>
      </c>
      <c r="BG600" s="1">
        <v>0</v>
      </c>
      <c r="BH600" s="1">
        <v>2E-3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1E-3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1E-3</v>
      </c>
      <c r="CL600" s="1">
        <v>0</v>
      </c>
      <c r="CM600" s="1">
        <v>-63.873113719999999</v>
      </c>
      <c r="CN600" s="83">
        <v>-76.291238609999994</v>
      </c>
    </row>
    <row r="601" spans="1:92" s="3" customFormat="1" x14ac:dyDescent="0.25">
      <c r="A601" s="72">
        <v>633</v>
      </c>
      <c r="B601" s="81" t="s">
        <v>1423</v>
      </c>
      <c r="C601" s="1" t="s">
        <v>83</v>
      </c>
      <c r="D601" s="1" t="s">
        <v>73</v>
      </c>
      <c r="E601" s="1" t="s">
        <v>99</v>
      </c>
      <c r="F601" s="1" t="s">
        <v>84</v>
      </c>
      <c r="G601" s="1" t="s">
        <v>209</v>
      </c>
      <c r="H601" s="1" t="s">
        <v>538</v>
      </c>
      <c r="I601" s="1"/>
      <c r="J601" s="9" t="s">
        <v>544</v>
      </c>
      <c r="K601" s="10">
        <v>0.55816299999999996</v>
      </c>
      <c r="L601" s="1" t="s">
        <v>76</v>
      </c>
      <c r="M601" s="1" t="s">
        <v>506</v>
      </c>
      <c r="N601" s="1" t="s">
        <v>645</v>
      </c>
      <c r="O601" s="1" t="s">
        <v>20</v>
      </c>
      <c r="P601" s="82">
        <v>1</v>
      </c>
      <c r="Q601" s="1" t="s">
        <v>76</v>
      </c>
      <c r="R601" s="81" t="s">
        <v>169</v>
      </c>
      <c r="S601" s="1">
        <v>3</v>
      </c>
      <c r="T601" s="1" t="s">
        <v>120</v>
      </c>
      <c r="U601" s="1" t="s">
        <v>658</v>
      </c>
      <c r="V601" s="1" t="s">
        <v>655</v>
      </c>
      <c r="W601" s="1">
        <v>26</v>
      </c>
      <c r="X601" s="1" t="s">
        <v>76</v>
      </c>
      <c r="Y601" s="1" t="s">
        <v>645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1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-41.027025209999998</v>
      </c>
      <c r="CN601" s="83">
        <v>23.87315035</v>
      </c>
    </row>
    <row r="602" spans="1:92" s="3" customFormat="1" x14ac:dyDescent="0.25">
      <c r="A602" s="72">
        <v>634</v>
      </c>
      <c r="B602" s="81" t="s">
        <v>1426</v>
      </c>
      <c r="C602" s="1" t="s">
        <v>83</v>
      </c>
      <c r="D602" s="1" t="s">
        <v>73</v>
      </c>
      <c r="E602" s="1" t="s">
        <v>74</v>
      </c>
      <c r="F602" s="1" t="s">
        <v>84</v>
      </c>
      <c r="G602" s="1" t="s">
        <v>209</v>
      </c>
      <c r="H602" s="1" t="s">
        <v>538</v>
      </c>
      <c r="I602" s="1"/>
      <c r="J602" s="9" t="s">
        <v>544</v>
      </c>
      <c r="K602" s="10">
        <v>0.62129599999999996</v>
      </c>
      <c r="L602" s="1" t="s">
        <v>76</v>
      </c>
      <c r="M602" s="1" t="s">
        <v>506</v>
      </c>
      <c r="N602" s="1" t="s">
        <v>645</v>
      </c>
      <c r="O602" s="1" t="s">
        <v>20</v>
      </c>
      <c r="P602" s="82">
        <v>1</v>
      </c>
      <c r="Q602" s="1" t="s">
        <v>76</v>
      </c>
      <c r="R602" s="81" t="s">
        <v>164</v>
      </c>
      <c r="S602" s="1">
        <v>3</v>
      </c>
      <c r="T602" s="1" t="s">
        <v>120</v>
      </c>
      <c r="U602" s="1" t="s">
        <v>658</v>
      </c>
      <c r="V602" s="1" t="s">
        <v>655</v>
      </c>
      <c r="W602" s="1">
        <v>30</v>
      </c>
      <c r="X602" s="1" t="s">
        <v>76</v>
      </c>
      <c r="Y602" s="1" t="s">
        <v>645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1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-39.073727720000001</v>
      </c>
      <c r="CN602" s="83">
        <v>23.212888589999999</v>
      </c>
    </row>
    <row r="603" spans="1:92" s="3" customFormat="1" x14ac:dyDescent="0.25">
      <c r="A603" s="72">
        <v>635</v>
      </c>
      <c r="B603" s="81" t="s">
        <v>1677</v>
      </c>
      <c r="C603" s="1" t="s">
        <v>83</v>
      </c>
      <c r="D603" s="1" t="s">
        <v>73</v>
      </c>
      <c r="E603" s="1" t="s">
        <v>99</v>
      </c>
      <c r="F603" s="1" t="s">
        <v>84</v>
      </c>
      <c r="G603" s="1" t="s">
        <v>209</v>
      </c>
      <c r="H603" s="1" t="s">
        <v>538</v>
      </c>
      <c r="I603" s="1"/>
      <c r="J603" s="9" t="s">
        <v>544</v>
      </c>
      <c r="K603" s="10">
        <v>0.60699733333333505</v>
      </c>
      <c r="L603" s="1" t="s">
        <v>76</v>
      </c>
      <c r="M603" s="1" t="s">
        <v>506</v>
      </c>
      <c r="N603" s="1" t="s">
        <v>645</v>
      </c>
      <c r="O603" s="1" t="s">
        <v>20</v>
      </c>
      <c r="P603" s="82">
        <v>1</v>
      </c>
      <c r="Q603" s="1" t="s">
        <v>76</v>
      </c>
      <c r="R603" s="81" t="s">
        <v>151</v>
      </c>
      <c r="S603" s="1">
        <v>3</v>
      </c>
      <c r="T603" s="1" t="s">
        <v>120</v>
      </c>
      <c r="U603" s="1" t="s">
        <v>658</v>
      </c>
      <c r="V603" s="1" t="s">
        <v>655</v>
      </c>
      <c r="W603" s="1">
        <v>53</v>
      </c>
      <c r="X603" s="1" t="s">
        <v>76</v>
      </c>
      <c r="Y603" s="1" t="s">
        <v>645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1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-40.200850639999999</v>
      </c>
      <c r="CN603" s="83">
        <v>22.6684366</v>
      </c>
    </row>
    <row r="604" spans="1:92" s="3" customFormat="1" x14ac:dyDescent="0.25">
      <c r="A604" s="72">
        <v>636</v>
      </c>
      <c r="B604" s="81" t="s">
        <v>922</v>
      </c>
      <c r="C604" s="1" t="s">
        <v>83</v>
      </c>
      <c r="D604" s="1" t="s">
        <v>73</v>
      </c>
      <c r="E604" s="1" t="s">
        <v>99</v>
      </c>
      <c r="F604" s="1" t="s">
        <v>84</v>
      </c>
      <c r="G604" s="1" t="s">
        <v>209</v>
      </c>
      <c r="H604" s="1" t="s">
        <v>538</v>
      </c>
      <c r="I604" s="1"/>
      <c r="J604" s="9" t="s">
        <v>544</v>
      </c>
      <c r="K604" s="10">
        <v>0.60311316666666703</v>
      </c>
      <c r="L604" s="1" t="s">
        <v>76</v>
      </c>
      <c r="M604" s="1" t="s">
        <v>506</v>
      </c>
      <c r="N604" s="1" t="s">
        <v>645</v>
      </c>
      <c r="O604" s="1" t="s">
        <v>20</v>
      </c>
      <c r="P604" s="82">
        <v>1</v>
      </c>
      <c r="Q604" s="1" t="s">
        <v>76</v>
      </c>
      <c r="R604" s="81" t="s">
        <v>178</v>
      </c>
      <c r="S604" s="1" t="s">
        <v>314</v>
      </c>
      <c r="T604" s="1" t="s">
        <v>78</v>
      </c>
      <c r="U604" s="1" t="s">
        <v>658</v>
      </c>
      <c r="V604" s="1" t="s">
        <v>655</v>
      </c>
      <c r="W604" s="1">
        <v>20</v>
      </c>
      <c r="X604" s="1" t="s">
        <v>76</v>
      </c>
      <c r="Y604" s="1" t="s">
        <v>645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1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-39.946913819999999</v>
      </c>
      <c r="CN604" s="83">
        <v>24.375915880000001</v>
      </c>
    </row>
    <row r="605" spans="1:92" s="3" customFormat="1" x14ac:dyDescent="0.25">
      <c r="A605" s="72">
        <v>637</v>
      </c>
      <c r="B605" s="81" t="s">
        <v>1068</v>
      </c>
      <c r="C605" s="1" t="s">
        <v>83</v>
      </c>
      <c r="D605" s="1" t="s">
        <v>73</v>
      </c>
      <c r="E605" s="1" t="s">
        <v>74</v>
      </c>
      <c r="F605" s="1" t="s">
        <v>84</v>
      </c>
      <c r="G605" s="1" t="s">
        <v>209</v>
      </c>
      <c r="H605" s="1" t="s">
        <v>538</v>
      </c>
      <c r="I605" s="1"/>
      <c r="J605" s="9" t="s">
        <v>544</v>
      </c>
      <c r="K605" s="10">
        <v>0.37379649999999998</v>
      </c>
      <c r="L605" s="1" t="s">
        <v>641</v>
      </c>
      <c r="M605" s="1" t="s">
        <v>76</v>
      </c>
      <c r="N605" s="1" t="s">
        <v>644</v>
      </c>
      <c r="O605" s="1" t="s">
        <v>29</v>
      </c>
      <c r="P605" s="82">
        <v>0.45100000000000001</v>
      </c>
      <c r="Q605" s="1" t="s">
        <v>76</v>
      </c>
      <c r="R605" s="81" t="s">
        <v>1793</v>
      </c>
      <c r="S605" s="1" t="s">
        <v>314</v>
      </c>
      <c r="T605" s="1" t="s">
        <v>78</v>
      </c>
      <c r="U605" s="1" t="s">
        <v>658</v>
      </c>
      <c r="V605" s="1" t="s">
        <v>655</v>
      </c>
      <c r="W605" s="1">
        <v>34</v>
      </c>
      <c r="X605" s="1" t="s">
        <v>76</v>
      </c>
      <c r="Y605" s="1" t="s">
        <v>644</v>
      </c>
      <c r="Z605" s="1">
        <v>2E-3</v>
      </c>
      <c r="AA605" s="1">
        <v>1E-3</v>
      </c>
      <c r="AB605" s="1">
        <v>1E-3</v>
      </c>
      <c r="AC605" s="1">
        <v>1E-3</v>
      </c>
      <c r="AD605" s="1">
        <v>1E-3</v>
      </c>
      <c r="AE605" s="1">
        <v>1E-3</v>
      </c>
      <c r="AF605" s="1">
        <v>1E-3</v>
      </c>
      <c r="AG605" s="1">
        <v>0</v>
      </c>
      <c r="AH605" s="1">
        <v>3.0000000000000001E-3</v>
      </c>
      <c r="AI605" s="1">
        <v>2E-3</v>
      </c>
      <c r="AJ605" s="1">
        <v>1E-3</v>
      </c>
      <c r="AK605" s="1">
        <v>1E-3</v>
      </c>
      <c r="AL605" s="1">
        <v>3.7999999999999999E-2</v>
      </c>
      <c r="AM605" s="1">
        <v>2E-3</v>
      </c>
      <c r="AN605" s="1">
        <v>6.0000000000000001E-3</v>
      </c>
      <c r="AO605" s="1">
        <v>1E-3</v>
      </c>
      <c r="AP605" s="1">
        <v>1E-3</v>
      </c>
      <c r="AQ605" s="1">
        <v>0</v>
      </c>
      <c r="AR605" s="1">
        <v>1E-3</v>
      </c>
      <c r="AS605" s="1">
        <v>1E-3</v>
      </c>
      <c r="AT605" s="1">
        <v>1E-3</v>
      </c>
      <c r="AU605" s="1">
        <v>1E-3</v>
      </c>
      <c r="AV605" s="1">
        <v>1E-3</v>
      </c>
      <c r="AW605" s="1">
        <v>1E-3</v>
      </c>
      <c r="AX605" s="1">
        <v>0.45100000000000001</v>
      </c>
      <c r="AY605" s="1">
        <v>1E-3</v>
      </c>
      <c r="AZ605" s="1">
        <v>1E-3</v>
      </c>
      <c r="BA605" s="1">
        <v>1E-3</v>
      </c>
      <c r="BB605" s="1">
        <v>1E-3</v>
      </c>
      <c r="BC605" s="1">
        <v>1E-3</v>
      </c>
      <c r="BD605" s="1">
        <v>2E-3</v>
      </c>
      <c r="BE605" s="1">
        <v>0</v>
      </c>
      <c r="BF605" s="1">
        <v>1E-3</v>
      </c>
      <c r="BG605" s="1">
        <v>1E-3</v>
      </c>
      <c r="BH605" s="1">
        <v>1E-3</v>
      </c>
      <c r="BI605" s="1">
        <v>0</v>
      </c>
      <c r="BJ605" s="1">
        <v>0</v>
      </c>
      <c r="BK605" s="1">
        <v>0</v>
      </c>
      <c r="BL605" s="1">
        <v>5.0000000000000001E-3</v>
      </c>
      <c r="BM605" s="1">
        <v>1E-3</v>
      </c>
      <c r="BN605" s="1">
        <v>1E-3</v>
      </c>
      <c r="BO605" s="1">
        <v>0</v>
      </c>
      <c r="BP605" s="1">
        <v>0</v>
      </c>
      <c r="BQ605" s="1">
        <v>2E-3</v>
      </c>
      <c r="BR605" s="1">
        <v>1E-3</v>
      </c>
      <c r="BS605" s="1">
        <v>1E-3</v>
      </c>
      <c r="BT605" s="1">
        <v>0</v>
      </c>
      <c r="BU605" s="1">
        <v>0</v>
      </c>
      <c r="BV605" s="1">
        <v>0</v>
      </c>
      <c r="BW605" s="1">
        <v>1E-3</v>
      </c>
      <c r="BX605" s="1">
        <v>4.0000000000000001E-3</v>
      </c>
      <c r="BY605" s="1">
        <v>2E-3</v>
      </c>
      <c r="BZ605" s="1">
        <v>3.0000000000000001E-3</v>
      </c>
      <c r="CA605" s="1">
        <v>1E-3</v>
      </c>
      <c r="CB605" s="1">
        <v>0</v>
      </c>
      <c r="CC605" s="1">
        <v>1E-3</v>
      </c>
      <c r="CD605" s="1">
        <v>0</v>
      </c>
      <c r="CE605" s="1">
        <v>1E-3</v>
      </c>
      <c r="CF605" s="1">
        <v>1E-3</v>
      </c>
      <c r="CG605" s="1">
        <v>2E-3</v>
      </c>
      <c r="CH605" s="1">
        <v>1E-3</v>
      </c>
      <c r="CI605" s="1">
        <v>1E-3</v>
      </c>
      <c r="CJ605" s="1">
        <v>1E-3</v>
      </c>
      <c r="CK605" s="1">
        <v>0.438</v>
      </c>
      <c r="CL605" s="1">
        <v>2E-3</v>
      </c>
      <c r="CM605" s="1">
        <v>14.427895469999999</v>
      </c>
      <c r="CN605" s="83">
        <v>-25.956374189999998</v>
      </c>
    </row>
    <row r="606" spans="1:92" s="3" customFormat="1" x14ac:dyDescent="0.25">
      <c r="A606" s="72">
        <v>638</v>
      </c>
      <c r="B606" s="81" t="s">
        <v>840</v>
      </c>
      <c r="C606" s="1" t="s">
        <v>83</v>
      </c>
      <c r="D606" s="1" t="s">
        <v>73</v>
      </c>
      <c r="E606" s="1" t="s">
        <v>74</v>
      </c>
      <c r="F606" s="1" t="s">
        <v>552</v>
      </c>
      <c r="G606" s="1" t="s">
        <v>76</v>
      </c>
      <c r="H606" s="1" t="s">
        <v>68</v>
      </c>
      <c r="I606" s="1"/>
      <c r="J606" s="9" t="s">
        <v>544</v>
      </c>
      <c r="K606" s="10">
        <v>0.39095683333333298</v>
      </c>
      <c r="L606" s="1" t="s">
        <v>641</v>
      </c>
      <c r="M606" s="1" t="s">
        <v>76</v>
      </c>
      <c r="N606" s="1" t="s">
        <v>644</v>
      </c>
      <c r="O606" s="1" t="s">
        <v>69</v>
      </c>
      <c r="P606" s="82">
        <v>0.81799999999999995</v>
      </c>
      <c r="Q606" s="1" t="s">
        <v>76</v>
      </c>
      <c r="R606" s="81" t="s">
        <v>77</v>
      </c>
      <c r="S606" s="1" t="s">
        <v>314</v>
      </c>
      <c r="T606" s="1" t="s">
        <v>78</v>
      </c>
      <c r="U606" s="1" t="s">
        <v>658</v>
      </c>
      <c r="V606" s="1" t="s">
        <v>655</v>
      </c>
      <c r="W606" s="1">
        <v>16</v>
      </c>
      <c r="X606" s="1" t="s">
        <v>76</v>
      </c>
      <c r="Y606" s="1" t="s">
        <v>644</v>
      </c>
      <c r="Z606" s="1">
        <v>6.0000000000000001E-3</v>
      </c>
      <c r="AA606" s="1">
        <v>1E-3</v>
      </c>
      <c r="AB606" s="1">
        <v>1E-3</v>
      </c>
      <c r="AC606" s="1">
        <v>4.0000000000000001E-3</v>
      </c>
      <c r="AD606" s="1">
        <v>3.0000000000000001E-3</v>
      </c>
      <c r="AE606" s="1">
        <v>1E-3</v>
      </c>
      <c r="AF606" s="1">
        <v>2E-3</v>
      </c>
      <c r="AG606" s="1">
        <v>0</v>
      </c>
      <c r="AH606" s="1">
        <v>4.0000000000000001E-3</v>
      </c>
      <c r="AI606" s="1">
        <v>1E-3</v>
      </c>
      <c r="AJ606" s="1">
        <v>3.0000000000000001E-3</v>
      </c>
      <c r="AK606" s="1">
        <v>2E-3</v>
      </c>
      <c r="AL606" s="1">
        <v>1E-3</v>
      </c>
      <c r="AM606" s="1">
        <v>1E-3</v>
      </c>
      <c r="AN606" s="1">
        <v>5.0000000000000001E-3</v>
      </c>
      <c r="AO606" s="1">
        <v>1E-3</v>
      </c>
      <c r="AP606" s="1">
        <v>1E-3</v>
      </c>
      <c r="AQ606" s="1">
        <v>1E-3</v>
      </c>
      <c r="AR606" s="1">
        <v>2E-3</v>
      </c>
      <c r="AS606" s="1">
        <v>3.0000000000000001E-3</v>
      </c>
      <c r="AT606" s="1">
        <v>1E-3</v>
      </c>
      <c r="AU606" s="1">
        <v>1E-3</v>
      </c>
      <c r="AV606" s="1">
        <v>5.0000000000000001E-3</v>
      </c>
      <c r="AW606" s="1">
        <v>1E-3</v>
      </c>
      <c r="AX606" s="1">
        <v>3.0000000000000001E-3</v>
      </c>
      <c r="AY606" s="1">
        <v>3.0000000000000001E-3</v>
      </c>
      <c r="AZ606" s="1">
        <v>6.0000000000000001E-3</v>
      </c>
      <c r="BA606" s="1">
        <v>4.0000000000000001E-3</v>
      </c>
      <c r="BB606" s="1">
        <v>1E-3</v>
      </c>
      <c r="BC606" s="1">
        <v>1E-3</v>
      </c>
      <c r="BD606" s="1">
        <v>1.0999999999999999E-2</v>
      </c>
      <c r="BE606" s="1">
        <v>2E-3</v>
      </c>
      <c r="BF606" s="1">
        <v>2E-3</v>
      </c>
      <c r="BG606" s="1">
        <v>0</v>
      </c>
      <c r="BH606" s="1">
        <v>1E-3</v>
      </c>
      <c r="BI606" s="1">
        <v>1E-3</v>
      </c>
      <c r="BJ606" s="1">
        <v>6.0000000000000001E-3</v>
      </c>
      <c r="BK606" s="1">
        <v>1E-3</v>
      </c>
      <c r="BL606" s="1">
        <v>1E-3</v>
      </c>
      <c r="BM606" s="1">
        <v>1E-3</v>
      </c>
      <c r="BN606" s="1">
        <v>3.0000000000000001E-3</v>
      </c>
      <c r="BO606" s="1">
        <v>1E-3</v>
      </c>
      <c r="BP606" s="1">
        <v>1E-3</v>
      </c>
      <c r="BQ606" s="1">
        <v>4.0000000000000001E-3</v>
      </c>
      <c r="BR606" s="1">
        <v>1E-3</v>
      </c>
      <c r="BS606" s="1">
        <v>1E-3</v>
      </c>
      <c r="BT606" s="1">
        <v>1E-3</v>
      </c>
      <c r="BU606" s="1">
        <v>6.0000000000000001E-3</v>
      </c>
      <c r="BV606" s="1">
        <v>1E-3</v>
      </c>
      <c r="BW606" s="1">
        <v>1E-3</v>
      </c>
      <c r="BX606" s="1">
        <v>3.0000000000000001E-3</v>
      </c>
      <c r="BY606" s="1">
        <v>2E-3</v>
      </c>
      <c r="BZ606" s="1">
        <v>7.0000000000000001E-3</v>
      </c>
      <c r="CA606" s="1">
        <v>1E-3</v>
      </c>
      <c r="CB606" s="1">
        <v>5.0000000000000001E-3</v>
      </c>
      <c r="CC606" s="1">
        <v>4.0000000000000001E-3</v>
      </c>
      <c r="CD606" s="1">
        <v>0</v>
      </c>
      <c r="CE606" s="1">
        <v>1E-3</v>
      </c>
      <c r="CF606" s="1">
        <v>1E-3</v>
      </c>
      <c r="CG606" s="1">
        <v>4.0000000000000001E-3</v>
      </c>
      <c r="CH606" s="1">
        <v>1E-3</v>
      </c>
      <c r="CI606" s="1">
        <v>1E-3</v>
      </c>
      <c r="CJ606" s="1">
        <v>3.0000000000000001E-3</v>
      </c>
      <c r="CK606" s="1">
        <v>3.3000000000000002E-2</v>
      </c>
      <c r="CL606" s="1">
        <v>0.81799999999999995</v>
      </c>
      <c r="CM606" s="1">
        <v>-35.842923059999997</v>
      </c>
      <c r="CN606" s="83">
        <v>44.107470720000002</v>
      </c>
    </row>
    <row r="607" spans="1:92" s="3" customFormat="1" x14ac:dyDescent="0.25">
      <c r="A607" s="72">
        <v>639</v>
      </c>
      <c r="B607" s="81" t="s">
        <v>1063</v>
      </c>
      <c r="C607" s="1" t="s">
        <v>83</v>
      </c>
      <c r="D607" s="1" t="s">
        <v>73</v>
      </c>
      <c r="E607" s="1" t="s">
        <v>99</v>
      </c>
      <c r="F607" s="1" t="s">
        <v>128</v>
      </c>
      <c r="G607" s="1" t="s">
        <v>303</v>
      </c>
      <c r="H607" s="1" t="s">
        <v>570</v>
      </c>
      <c r="I607" s="1"/>
      <c r="J607" s="9" t="s">
        <v>544</v>
      </c>
      <c r="K607" s="10">
        <v>0.58151583333333401</v>
      </c>
      <c r="L607" s="1" t="s">
        <v>76</v>
      </c>
      <c r="M607" s="1" t="s">
        <v>506</v>
      </c>
      <c r="N607" s="1" t="s">
        <v>645</v>
      </c>
      <c r="O607" s="1" t="s">
        <v>55</v>
      </c>
      <c r="P607" s="82">
        <v>0.996</v>
      </c>
      <c r="Q607" s="1" t="s">
        <v>76</v>
      </c>
      <c r="R607" s="81" t="s">
        <v>77</v>
      </c>
      <c r="S607" s="1">
        <v>3</v>
      </c>
      <c r="T607" s="1" t="s">
        <v>78</v>
      </c>
      <c r="U607" s="1" t="s">
        <v>658</v>
      </c>
      <c r="V607" s="1" t="s">
        <v>654</v>
      </c>
      <c r="W607" s="1">
        <v>20</v>
      </c>
      <c r="X607" s="1" t="s">
        <v>76</v>
      </c>
      <c r="Y607" s="1" t="s">
        <v>645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2E-3</v>
      </c>
      <c r="BW607" s="1">
        <v>0</v>
      </c>
      <c r="BX607" s="1">
        <v>0.996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54.99570336</v>
      </c>
      <c r="CN607" s="83">
        <v>25.207251790000001</v>
      </c>
    </row>
    <row r="608" spans="1:92" s="3" customFormat="1" x14ac:dyDescent="0.25">
      <c r="A608" s="72">
        <v>640</v>
      </c>
      <c r="B608" s="81" t="s">
        <v>1411</v>
      </c>
      <c r="C608" s="1" t="s">
        <v>83</v>
      </c>
      <c r="D608" s="1" t="s">
        <v>73</v>
      </c>
      <c r="E608" s="1" t="s">
        <v>99</v>
      </c>
      <c r="F608" s="1" t="s">
        <v>128</v>
      </c>
      <c r="G608" s="1" t="s">
        <v>303</v>
      </c>
      <c r="H608" s="1" t="s">
        <v>570</v>
      </c>
      <c r="I608" s="1"/>
      <c r="J608" s="9" t="s">
        <v>544</v>
      </c>
      <c r="K608" s="10">
        <v>0.45507550000000002</v>
      </c>
      <c r="L608" s="1" t="s">
        <v>76</v>
      </c>
      <c r="M608" s="1" t="s">
        <v>506</v>
      </c>
      <c r="N608" s="1" t="s">
        <v>645</v>
      </c>
      <c r="O608" s="1" t="s">
        <v>55</v>
      </c>
      <c r="P608" s="82">
        <v>1</v>
      </c>
      <c r="Q608" s="1" t="s">
        <v>76</v>
      </c>
      <c r="R608" s="81" t="s">
        <v>87</v>
      </c>
      <c r="S608" s="1">
        <v>3</v>
      </c>
      <c r="T608" s="1" t="s">
        <v>78</v>
      </c>
      <c r="U608" s="1" t="s">
        <v>658</v>
      </c>
      <c r="V608" s="1" t="s">
        <v>654</v>
      </c>
      <c r="W608" s="1">
        <v>16</v>
      </c>
      <c r="X608" s="1" t="s">
        <v>304</v>
      </c>
      <c r="Y608" s="1" t="s">
        <v>645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1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27.582816439999998</v>
      </c>
      <c r="CN608" s="83">
        <v>8.6982963269999996</v>
      </c>
    </row>
    <row r="609" spans="1:92" s="3" customFormat="1" x14ac:dyDescent="0.25">
      <c r="A609" s="72">
        <v>641</v>
      </c>
      <c r="B609" s="81" t="s">
        <v>1413</v>
      </c>
      <c r="C609" s="1" t="s">
        <v>83</v>
      </c>
      <c r="D609" s="1" t="s">
        <v>73</v>
      </c>
      <c r="E609" s="1" t="s">
        <v>99</v>
      </c>
      <c r="F609" s="1" t="s">
        <v>128</v>
      </c>
      <c r="G609" s="1" t="s">
        <v>364</v>
      </c>
      <c r="H609" s="1" t="s">
        <v>570</v>
      </c>
      <c r="I609" s="1"/>
      <c r="J609" s="9" t="s">
        <v>544</v>
      </c>
      <c r="K609" s="10">
        <v>0.53852516666666705</v>
      </c>
      <c r="L609" s="1" t="s">
        <v>76</v>
      </c>
      <c r="M609" s="1" t="s">
        <v>506</v>
      </c>
      <c r="N609" s="1" t="s">
        <v>645</v>
      </c>
      <c r="O609" s="1" t="s">
        <v>55</v>
      </c>
      <c r="P609" s="82">
        <v>0.996</v>
      </c>
      <c r="Q609" s="1" t="s">
        <v>76</v>
      </c>
      <c r="R609" s="81" t="s">
        <v>243</v>
      </c>
      <c r="S609" s="1">
        <v>3</v>
      </c>
      <c r="T609" s="1" t="s">
        <v>78</v>
      </c>
      <c r="U609" s="1" t="s">
        <v>658</v>
      </c>
      <c r="V609" s="1" t="s">
        <v>654</v>
      </c>
      <c r="W609" s="1">
        <v>16</v>
      </c>
      <c r="X609" s="1" t="s">
        <v>304</v>
      </c>
      <c r="Y609" s="1" t="s">
        <v>645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1E-3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0.996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1E-3</v>
      </c>
      <c r="CL609" s="1">
        <v>0</v>
      </c>
      <c r="CM609" s="1">
        <v>63.111035370000003</v>
      </c>
      <c r="CN609" s="83">
        <v>22.647983</v>
      </c>
    </row>
    <row r="610" spans="1:92" s="3" customFormat="1" x14ac:dyDescent="0.25">
      <c r="A610" s="72">
        <v>139</v>
      </c>
      <c r="B610" s="81" t="s">
        <v>985</v>
      </c>
      <c r="C610" s="1" t="s">
        <v>162</v>
      </c>
      <c r="D610" s="1" t="s">
        <v>73</v>
      </c>
      <c r="E610" s="1" t="s">
        <v>99</v>
      </c>
      <c r="F610" s="1" t="s">
        <v>128</v>
      </c>
      <c r="G610" s="1" t="s">
        <v>185</v>
      </c>
      <c r="H610" s="1" t="s">
        <v>570</v>
      </c>
      <c r="I610" s="1"/>
      <c r="J610" s="9" t="s">
        <v>544</v>
      </c>
      <c r="K610" s="10">
        <v>0.39340716666666598</v>
      </c>
      <c r="L610" s="1" t="s">
        <v>1719</v>
      </c>
      <c r="M610" s="1" t="s">
        <v>506</v>
      </c>
      <c r="N610" s="96" t="s">
        <v>647</v>
      </c>
      <c r="O610" s="1" t="s">
        <v>68</v>
      </c>
      <c r="P610" s="82">
        <v>1</v>
      </c>
      <c r="Q610" s="1" t="s">
        <v>76</v>
      </c>
      <c r="R610" s="81" t="s">
        <v>129</v>
      </c>
      <c r="S610" s="1">
        <v>3</v>
      </c>
      <c r="T610" s="1" t="s">
        <v>78</v>
      </c>
      <c r="U610" s="1" t="s">
        <v>658</v>
      </c>
      <c r="V610" s="1" t="s">
        <v>655</v>
      </c>
      <c r="W610" s="1">
        <v>52</v>
      </c>
      <c r="X610" s="1" t="s">
        <v>76</v>
      </c>
      <c r="Y610" s="1" t="s">
        <v>647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1</v>
      </c>
      <c r="CL610" s="1">
        <v>0</v>
      </c>
      <c r="CM610" s="1">
        <v>27.78377309</v>
      </c>
      <c r="CN610" s="83">
        <v>-33.100875700000003</v>
      </c>
    </row>
    <row r="611" spans="1:92" s="3" customFormat="1" x14ac:dyDescent="0.25">
      <c r="A611" s="72">
        <v>643</v>
      </c>
      <c r="B611" s="81" t="s">
        <v>1443</v>
      </c>
      <c r="C611" s="1" t="s">
        <v>83</v>
      </c>
      <c r="D611" s="1" t="s">
        <v>73</v>
      </c>
      <c r="E611" s="1" t="s">
        <v>99</v>
      </c>
      <c r="F611" s="1" t="s">
        <v>128</v>
      </c>
      <c r="G611" s="1" t="s">
        <v>303</v>
      </c>
      <c r="H611" s="1" t="s">
        <v>570</v>
      </c>
      <c r="I611" s="1"/>
      <c r="J611" s="9" t="s">
        <v>544</v>
      </c>
      <c r="K611" s="10">
        <v>0.54905150000000003</v>
      </c>
      <c r="L611" s="1" t="s">
        <v>76</v>
      </c>
      <c r="M611" s="1" t="s">
        <v>506</v>
      </c>
      <c r="N611" s="1" t="s">
        <v>645</v>
      </c>
      <c r="O611" s="1" t="s">
        <v>55</v>
      </c>
      <c r="P611" s="82">
        <v>1</v>
      </c>
      <c r="Q611" s="1" t="s">
        <v>76</v>
      </c>
      <c r="R611" s="81" t="s">
        <v>87</v>
      </c>
      <c r="S611" s="1">
        <v>3</v>
      </c>
      <c r="T611" s="1" t="s">
        <v>78</v>
      </c>
      <c r="U611" s="1" t="s">
        <v>658</v>
      </c>
      <c r="V611" s="1" t="s">
        <v>654</v>
      </c>
      <c r="W611" s="1">
        <v>10</v>
      </c>
      <c r="X611" s="1" t="s">
        <v>304</v>
      </c>
      <c r="Y611" s="1" t="s">
        <v>645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1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61.33205967</v>
      </c>
      <c r="CN611" s="83">
        <v>17.47963751</v>
      </c>
    </row>
    <row r="612" spans="1:92" s="3" customFormat="1" x14ac:dyDescent="0.25">
      <c r="A612" s="72">
        <v>644</v>
      </c>
      <c r="B612" s="81" t="s">
        <v>1604</v>
      </c>
      <c r="C612" s="1" t="s">
        <v>83</v>
      </c>
      <c r="D612" s="1" t="s">
        <v>73</v>
      </c>
      <c r="E612" s="1" t="s">
        <v>74</v>
      </c>
      <c r="F612" s="1" t="s">
        <v>128</v>
      </c>
      <c r="G612" s="1" t="s">
        <v>307</v>
      </c>
      <c r="H612" s="1" t="s">
        <v>570</v>
      </c>
      <c r="I612" s="1"/>
      <c r="J612" s="9" t="s">
        <v>544</v>
      </c>
      <c r="K612" s="10">
        <v>0.57280049999999905</v>
      </c>
      <c r="L612" s="1" t="s">
        <v>76</v>
      </c>
      <c r="M612" s="1" t="s">
        <v>506</v>
      </c>
      <c r="N612" s="1" t="s">
        <v>645</v>
      </c>
      <c r="O612" s="1" t="s">
        <v>55</v>
      </c>
      <c r="P612" s="82">
        <v>0.99299999999999999</v>
      </c>
      <c r="Q612" s="1" t="s">
        <v>76</v>
      </c>
      <c r="R612" s="81" t="s">
        <v>87</v>
      </c>
      <c r="S612" s="1">
        <v>3</v>
      </c>
      <c r="T612" s="1" t="s">
        <v>78</v>
      </c>
      <c r="U612" s="1" t="s">
        <v>658</v>
      </c>
      <c r="V612" s="1" t="s">
        <v>654</v>
      </c>
      <c r="W612" s="1">
        <v>15</v>
      </c>
      <c r="X612" s="1" t="s">
        <v>170</v>
      </c>
      <c r="Y612" s="1" t="s">
        <v>645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1E-3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1E-3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0.99299999999999999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15.30696541</v>
      </c>
      <c r="CN612" s="83">
        <v>31.730122779999999</v>
      </c>
    </row>
    <row r="613" spans="1:92" s="3" customFormat="1" x14ac:dyDescent="0.25">
      <c r="A613" s="72">
        <v>645</v>
      </c>
      <c r="B613" s="81" t="s">
        <v>1370</v>
      </c>
      <c r="C613" s="1" t="s">
        <v>83</v>
      </c>
      <c r="D613" s="1" t="s">
        <v>79</v>
      </c>
      <c r="E613" s="1" t="s">
        <v>99</v>
      </c>
      <c r="F613" s="1" t="s">
        <v>128</v>
      </c>
      <c r="G613" s="1" t="s">
        <v>320</v>
      </c>
      <c r="H613" s="1" t="s">
        <v>570</v>
      </c>
      <c r="I613" s="1"/>
      <c r="J613" s="9" t="s">
        <v>544</v>
      </c>
      <c r="K613" s="10">
        <v>0.40332283333333302</v>
      </c>
      <c r="L613" s="1" t="s">
        <v>76</v>
      </c>
      <c r="M613" s="1" t="s">
        <v>506</v>
      </c>
      <c r="N613" s="1" t="s">
        <v>645</v>
      </c>
      <c r="O613" s="1" t="s">
        <v>55</v>
      </c>
      <c r="P613" s="82">
        <v>1</v>
      </c>
      <c r="Q613" s="1" t="s">
        <v>76</v>
      </c>
      <c r="R613" s="81" t="s">
        <v>243</v>
      </c>
      <c r="S613" s="1">
        <v>3</v>
      </c>
      <c r="T613" s="1" t="s">
        <v>78</v>
      </c>
      <c r="U613" s="1" t="s">
        <v>658</v>
      </c>
      <c r="V613" s="1" t="s">
        <v>654</v>
      </c>
      <c r="W613" s="1">
        <v>16</v>
      </c>
      <c r="X613" s="1" t="s">
        <v>304</v>
      </c>
      <c r="Y613" s="1" t="s">
        <v>645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1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29.200829710000001</v>
      </c>
      <c r="CN613" s="83">
        <v>2.5629936409999998</v>
      </c>
    </row>
    <row r="614" spans="1:92" s="3" customFormat="1" x14ac:dyDescent="0.25">
      <c r="A614" s="72">
        <v>646</v>
      </c>
      <c r="B614" s="81" t="s">
        <v>1447</v>
      </c>
      <c r="C614" s="1" t="s">
        <v>83</v>
      </c>
      <c r="D614" s="1" t="s">
        <v>79</v>
      </c>
      <c r="E614" s="1" t="s">
        <v>74</v>
      </c>
      <c r="F614" s="1" t="s">
        <v>128</v>
      </c>
      <c r="G614" s="1" t="s">
        <v>365</v>
      </c>
      <c r="H614" s="1" t="s">
        <v>570</v>
      </c>
      <c r="I614" s="1"/>
      <c r="J614" s="9" t="s">
        <v>544</v>
      </c>
      <c r="K614" s="10">
        <v>0.577460999999999</v>
      </c>
      <c r="L614" s="1" t="s">
        <v>641</v>
      </c>
      <c r="M614" s="1" t="s">
        <v>76</v>
      </c>
      <c r="N614" s="1" t="s">
        <v>649</v>
      </c>
      <c r="O614" s="1" t="s">
        <v>55</v>
      </c>
      <c r="P614" s="82">
        <v>0.872</v>
      </c>
      <c r="Q614" s="1" t="s">
        <v>76</v>
      </c>
      <c r="R614" s="81" t="s">
        <v>77</v>
      </c>
      <c r="S614" s="1">
        <v>3</v>
      </c>
      <c r="T614" s="1" t="s">
        <v>78</v>
      </c>
      <c r="U614" s="1" t="s">
        <v>658</v>
      </c>
      <c r="V614" s="1" t="s">
        <v>654</v>
      </c>
      <c r="W614" s="1">
        <v>67</v>
      </c>
      <c r="X614" s="1" t="s">
        <v>76</v>
      </c>
      <c r="Y614" s="1" t="s">
        <v>645</v>
      </c>
      <c r="Z614" s="1">
        <v>0</v>
      </c>
      <c r="AA614" s="1">
        <v>1E-3</v>
      </c>
      <c r="AB614" s="1">
        <v>1E-3</v>
      </c>
      <c r="AC614" s="1">
        <v>5.0000000000000001E-3</v>
      </c>
      <c r="AD614" s="1">
        <v>1E-3</v>
      </c>
      <c r="AE614" s="1">
        <v>1E-3</v>
      </c>
      <c r="AF614" s="1">
        <v>1E-3</v>
      </c>
      <c r="AG614" s="1">
        <v>0</v>
      </c>
      <c r="AH614" s="1">
        <v>2E-3</v>
      </c>
      <c r="AI614" s="1">
        <v>0</v>
      </c>
      <c r="AJ614" s="1">
        <v>1E-3</v>
      </c>
      <c r="AK614" s="1">
        <v>3.0000000000000001E-3</v>
      </c>
      <c r="AL614" s="1">
        <v>8.0000000000000002E-3</v>
      </c>
      <c r="AM614" s="1">
        <v>1E-3</v>
      </c>
      <c r="AN614" s="1">
        <v>1E-3</v>
      </c>
      <c r="AO614" s="1">
        <v>3.0000000000000001E-3</v>
      </c>
      <c r="AP614" s="1">
        <v>1E-3</v>
      </c>
      <c r="AQ614" s="1">
        <v>1E-3</v>
      </c>
      <c r="AR614" s="1">
        <v>0</v>
      </c>
      <c r="AS614" s="1">
        <v>3.0000000000000001E-3</v>
      </c>
      <c r="AT614" s="1">
        <v>2E-3</v>
      </c>
      <c r="AU614" s="1">
        <v>1E-3</v>
      </c>
      <c r="AV614" s="1">
        <v>1E-3</v>
      </c>
      <c r="AW614" s="1">
        <v>2E-3</v>
      </c>
      <c r="AX614" s="1">
        <v>1E-3</v>
      </c>
      <c r="AY614" s="1">
        <v>1E-3</v>
      </c>
      <c r="AZ614" s="1">
        <v>1E-3</v>
      </c>
      <c r="BA614" s="1">
        <v>2E-3</v>
      </c>
      <c r="BB614" s="1">
        <v>2E-3</v>
      </c>
      <c r="BC614" s="1">
        <v>1E-3</v>
      </c>
      <c r="BD614" s="1">
        <v>3.0000000000000001E-3</v>
      </c>
      <c r="BE614" s="1">
        <v>1E-3</v>
      </c>
      <c r="BF614" s="1">
        <v>0</v>
      </c>
      <c r="BG614" s="1">
        <v>1E-3</v>
      </c>
      <c r="BH614" s="1">
        <v>1E-3</v>
      </c>
      <c r="BI614" s="1">
        <v>1E-3</v>
      </c>
      <c r="BJ614" s="1">
        <v>0</v>
      </c>
      <c r="BK614" s="1">
        <v>0</v>
      </c>
      <c r="BL614" s="1">
        <v>5.0000000000000001E-3</v>
      </c>
      <c r="BM614" s="1">
        <v>1E-3</v>
      </c>
      <c r="BN614" s="1">
        <v>1E-3</v>
      </c>
      <c r="BO614" s="1">
        <v>1E-3</v>
      </c>
      <c r="BP614" s="1">
        <v>0</v>
      </c>
      <c r="BQ614" s="1">
        <v>1.7999999999999999E-2</v>
      </c>
      <c r="BR614" s="1">
        <v>1E-3</v>
      </c>
      <c r="BS614" s="1">
        <v>0</v>
      </c>
      <c r="BT614" s="1">
        <v>0</v>
      </c>
      <c r="BU614" s="1">
        <v>0</v>
      </c>
      <c r="BV614" s="1">
        <v>1.2E-2</v>
      </c>
      <c r="BW614" s="1">
        <v>1E-3</v>
      </c>
      <c r="BX614" s="1">
        <v>0.872</v>
      </c>
      <c r="BY614" s="1">
        <v>3.0000000000000001E-3</v>
      </c>
      <c r="BZ614" s="1">
        <v>4.0000000000000001E-3</v>
      </c>
      <c r="CA614" s="1">
        <v>1E-3</v>
      </c>
      <c r="CB614" s="1">
        <v>0</v>
      </c>
      <c r="CC614" s="1">
        <v>1E-3</v>
      </c>
      <c r="CD614" s="1">
        <v>0</v>
      </c>
      <c r="CE614" s="1">
        <v>1E-3</v>
      </c>
      <c r="CF614" s="1">
        <v>1E-3</v>
      </c>
      <c r="CG614" s="1">
        <v>6.0000000000000001E-3</v>
      </c>
      <c r="CH614" s="1">
        <v>2E-3</v>
      </c>
      <c r="CI614" s="1">
        <v>1E-3</v>
      </c>
      <c r="CJ614" s="1">
        <v>2E-3</v>
      </c>
      <c r="CK614" s="1">
        <v>8.0000000000000002E-3</v>
      </c>
      <c r="CL614" s="1">
        <v>2E-3</v>
      </c>
      <c r="CM614" s="1">
        <v>27.837749859999999</v>
      </c>
      <c r="CN614" s="83">
        <v>43.398527829999999</v>
      </c>
    </row>
    <row r="615" spans="1:92" s="3" customFormat="1" x14ac:dyDescent="0.25">
      <c r="A615" s="72">
        <v>647</v>
      </c>
      <c r="B615" s="81" t="s">
        <v>1475</v>
      </c>
      <c r="C615" s="1" t="s">
        <v>83</v>
      </c>
      <c r="D615" s="1" t="s">
        <v>73</v>
      </c>
      <c r="E615" s="1" t="s">
        <v>74</v>
      </c>
      <c r="F615" s="1" t="s">
        <v>128</v>
      </c>
      <c r="G615" s="1" t="s">
        <v>303</v>
      </c>
      <c r="H615" s="1" t="s">
        <v>570</v>
      </c>
      <c r="I615" s="1"/>
      <c r="J615" s="9" t="s">
        <v>544</v>
      </c>
      <c r="K615" s="10">
        <v>0.46312633333333297</v>
      </c>
      <c r="L615" s="1" t="s">
        <v>76</v>
      </c>
      <c r="M615" s="1" t="s">
        <v>506</v>
      </c>
      <c r="N615" s="1" t="s">
        <v>645</v>
      </c>
      <c r="O615" s="1" t="s">
        <v>55</v>
      </c>
      <c r="P615" s="82">
        <v>1</v>
      </c>
      <c r="Q615" s="1" t="s">
        <v>76</v>
      </c>
      <c r="R615" s="81" t="s">
        <v>77</v>
      </c>
      <c r="S615" s="1">
        <v>3</v>
      </c>
      <c r="T615" s="1" t="s">
        <v>78</v>
      </c>
      <c r="U615" s="1" t="s">
        <v>658</v>
      </c>
      <c r="V615" s="1" t="s">
        <v>654</v>
      </c>
      <c r="W615" s="1">
        <v>15</v>
      </c>
      <c r="X615" s="1" t="s">
        <v>304</v>
      </c>
      <c r="Y615" s="1" t="s">
        <v>645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1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27.384494279999998</v>
      </c>
      <c r="CN615" s="83">
        <v>9.8499409349999993</v>
      </c>
    </row>
    <row r="616" spans="1:92" s="3" customFormat="1" x14ac:dyDescent="0.25">
      <c r="A616" s="72">
        <v>648</v>
      </c>
      <c r="B616" s="81" t="s">
        <v>1551</v>
      </c>
      <c r="C616" s="1" t="s">
        <v>83</v>
      </c>
      <c r="D616" s="1" t="s">
        <v>73</v>
      </c>
      <c r="E616" s="1" t="s">
        <v>74</v>
      </c>
      <c r="F616" s="1" t="s">
        <v>128</v>
      </c>
      <c r="G616" s="1" t="s">
        <v>303</v>
      </c>
      <c r="H616" s="1" t="s">
        <v>570</v>
      </c>
      <c r="I616" s="1"/>
      <c r="J616" s="9" t="s">
        <v>544</v>
      </c>
      <c r="K616" s="10">
        <v>0.45601366666666698</v>
      </c>
      <c r="L616" s="1" t="s">
        <v>76</v>
      </c>
      <c r="M616" s="1" t="s">
        <v>506</v>
      </c>
      <c r="N616" s="1" t="s">
        <v>645</v>
      </c>
      <c r="O616" s="1" t="s">
        <v>55</v>
      </c>
      <c r="P616" s="82">
        <v>1</v>
      </c>
      <c r="Q616" s="1" t="s">
        <v>76</v>
      </c>
      <c r="R616" s="81" t="s">
        <v>81</v>
      </c>
      <c r="S616" s="1">
        <v>3</v>
      </c>
      <c r="T616" s="1" t="s">
        <v>78</v>
      </c>
      <c r="U616" s="1" t="s">
        <v>658</v>
      </c>
      <c r="V616" s="1" t="s">
        <v>654</v>
      </c>
      <c r="W616" s="1">
        <v>36</v>
      </c>
      <c r="X616" s="1" t="s">
        <v>76</v>
      </c>
      <c r="Y616" s="1" t="s">
        <v>645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1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21.147182319999999</v>
      </c>
      <c r="CN616" s="83">
        <v>35.912926859999999</v>
      </c>
    </row>
    <row r="617" spans="1:92" s="3" customFormat="1" x14ac:dyDescent="0.25">
      <c r="A617" s="72">
        <v>649</v>
      </c>
      <c r="B617" s="81" t="s">
        <v>1487</v>
      </c>
      <c r="C617" s="1" t="s">
        <v>83</v>
      </c>
      <c r="D617" s="1" t="s">
        <v>73</v>
      </c>
      <c r="E617" s="1" t="s">
        <v>99</v>
      </c>
      <c r="F617" s="1" t="s">
        <v>128</v>
      </c>
      <c r="G617" s="1" t="s">
        <v>303</v>
      </c>
      <c r="H617" s="1" t="s">
        <v>570</v>
      </c>
      <c r="I617" s="1"/>
      <c r="J617" s="9" t="s">
        <v>544</v>
      </c>
      <c r="K617" s="10">
        <v>0.53501183333333302</v>
      </c>
      <c r="L617" s="1" t="s">
        <v>76</v>
      </c>
      <c r="M617" s="1" t="s">
        <v>506</v>
      </c>
      <c r="N617" s="1" t="s">
        <v>645</v>
      </c>
      <c r="O617" s="1" t="s">
        <v>55</v>
      </c>
      <c r="P617" s="82">
        <v>1</v>
      </c>
      <c r="Q617" s="1" t="s">
        <v>76</v>
      </c>
      <c r="R617" s="81" t="s">
        <v>87</v>
      </c>
      <c r="S617" s="1">
        <v>3</v>
      </c>
      <c r="T617" s="1" t="s">
        <v>78</v>
      </c>
      <c r="U617" s="1" t="s">
        <v>658</v>
      </c>
      <c r="V617" s="1" t="s">
        <v>654</v>
      </c>
      <c r="W617" s="1">
        <v>10</v>
      </c>
      <c r="X617" s="1" t="s">
        <v>304</v>
      </c>
      <c r="Y617" s="1" t="s">
        <v>645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1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21.499462940000001</v>
      </c>
      <c r="CN617" s="83">
        <v>30.68373506</v>
      </c>
    </row>
    <row r="618" spans="1:92" s="3" customFormat="1" x14ac:dyDescent="0.25">
      <c r="A618" s="72">
        <v>650</v>
      </c>
      <c r="B618" s="81" t="s">
        <v>1530</v>
      </c>
      <c r="C618" s="1" t="s">
        <v>83</v>
      </c>
      <c r="D618" s="1" t="s">
        <v>73</v>
      </c>
      <c r="E618" s="1" t="s">
        <v>99</v>
      </c>
      <c r="F618" s="1" t="s">
        <v>128</v>
      </c>
      <c r="G618" s="1" t="s">
        <v>307</v>
      </c>
      <c r="H618" s="1" t="s">
        <v>570</v>
      </c>
      <c r="I618" s="1"/>
      <c r="J618" s="9" t="s">
        <v>544</v>
      </c>
      <c r="K618" s="10">
        <v>0.46213900000000002</v>
      </c>
      <c r="L618" s="1" t="s">
        <v>76</v>
      </c>
      <c r="M618" s="1" t="s">
        <v>506</v>
      </c>
      <c r="N618" s="1" t="s">
        <v>645</v>
      </c>
      <c r="O618" s="1" t="s">
        <v>55</v>
      </c>
      <c r="P618" s="82">
        <v>0.98699999999999999</v>
      </c>
      <c r="Q618" s="1" t="s">
        <v>76</v>
      </c>
      <c r="R618" s="81" t="s">
        <v>87</v>
      </c>
      <c r="S618" s="1">
        <v>3</v>
      </c>
      <c r="T618" s="1" t="s">
        <v>78</v>
      </c>
      <c r="U618" s="1" t="s">
        <v>658</v>
      </c>
      <c r="V618" s="1" t="s">
        <v>654</v>
      </c>
      <c r="W618" s="1">
        <v>14</v>
      </c>
      <c r="X618" s="1" t="s">
        <v>76</v>
      </c>
      <c r="Y618" s="1" t="s">
        <v>645</v>
      </c>
      <c r="Z618" s="1">
        <v>0</v>
      </c>
      <c r="AA618" s="1">
        <v>0</v>
      </c>
      <c r="AB618" s="1">
        <v>0</v>
      </c>
      <c r="AC618" s="1">
        <v>1E-3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2E-3</v>
      </c>
      <c r="BW618" s="1">
        <v>0</v>
      </c>
      <c r="BX618" s="1">
        <v>0.98699999999999999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2E-3</v>
      </c>
      <c r="CL618" s="1">
        <v>0</v>
      </c>
      <c r="CM618" s="1">
        <v>23.316381530000001</v>
      </c>
      <c r="CN618" s="83">
        <v>15.38036318</v>
      </c>
    </row>
    <row r="619" spans="1:92" s="3" customFormat="1" x14ac:dyDescent="0.25">
      <c r="A619" s="72">
        <v>651</v>
      </c>
      <c r="B619" s="81" t="s">
        <v>1562</v>
      </c>
      <c r="C619" s="1" t="s">
        <v>83</v>
      </c>
      <c r="D619" s="1" t="s">
        <v>73</v>
      </c>
      <c r="E619" s="1" t="s">
        <v>99</v>
      </c>
      <c r="F619" s="1" t="s">
        <v>128</v>
      </c>
      <c r="G619" s="1" t="s">
        <v>303</v>
      </c>
      <c r="H619" s="1" t="s">
        <v>570</v>
      </c>
      <c r="I619" s="1"/>
      <c r="J619" s="9" t="s">
        <v>544</v>
      </c>
      <c r="K619" s="10">
        <v>0.46885599999999999</v>
      </c>
      <c r="L619" s="1" t="s">
        <v>76</v>
      </c>
      <c r="M619" s="1" t="s">
        <v>506</v>
      </c>
      <c r="N619" s="1" t="s">
        <v>645</v>
      </c>
      <c r="O619" s="1" t="s">
        <v>55</v>
      </c>
      <c r="P619" s="82">
        <v>1</v>
      </c>
      <c r="Q619" s="1" t="s">
        <v>76</v>
      </c>
      <c r="R619" s="81" t="s">
        <v>87</v>
      </c>
      <c r="S619" s="1">
        <v>3</v>
      </c>
      <c r="T619" s="1" t="s">
        <v>78</v>
      </c>
      <c r="U619" s="1" t="s">
        <v>658</v>
      </c>
      <c r="V619" s="1" t="s">
        <v>654</v>
      </c>
      <c r="W619" s="1">
        <v>17</v>
      </c>
      <c r="X619" s="1" t="s">
        <v>366</v>
      </c>
      <c r="Y619" s="1" t="s">
        <v>645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1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26.591517379999999</v>
      </c>
      <c r="CN619" s="83">
        <v>24.89612348</v>
      </c>
    </row>
    <row r="620" spans="1:92" s="3" customFormat="1" x14ac:dyDescent="0.25">
      <c r="A620" s="72">
        <v>652</v>
      </c>
      <c r="B620" s="81" t="s">
        <v>1394</v>
      </c>
      <c r="C620" s="1" t="s">
        <v>83</v>
      </c>
      <c r="D620" s="1" t="s">
        <v>73</v>
      </c>
      <c r="E620" s="1" t="s">
        <v>74</v>
      </c>
      <c r="F620" s="1" t="s">
        <v>128</v>
      </c>
      <c r="G620" s="1" t="s">
        <v>320</v>
      </c>
      <c r="H620" s="1" t="s">
        <v>570</v>
      </c>
      <c r="I620" s="1"/>
      <c r="J620" s="9" t="s">
        <v>544</v>
      </c>
      <c r="K620" s="10">
        <v>0.392792166666667</v>
      </c>
      <c r="L620" s="1" t="s">
        <v>76</v>
      </c>
      <c r="M620" s="1" t="s">
        <v>506</v>
      </c>
      <c r="N620" s="1" t="s">
        <v>645</v>
      </c>
      <c r="O620" s="1" t="s">
        <v>55</v>
      </c>
      <c r="P620" s="82">
        <v>0.98099999999999998</v>
      </c>
      <c r="Q620" s="1" t="s">
        <v>76</v>
      </c>
      <c r="R620" s="81" t="s">
        <v>243</v>
      </c>
      <c r="S620" s="1">
        <v>3</v>
      </c>
      <c r="T620" s="1" t="s">
        <v>78</v>
      </c>
      <c r="U620" s="1" t="s">
        <v>658</v>
      </c>
      <c r="V620" s="1" t="s">
        <v>654</v>
      </c>
      <c r="W620" s="1">
        <v>13</v>
      </c>
      <c r="X620" s="1" t="s">
        <v>76</v>
      </c>
      <c r="Y620" s="1" t="s">
        <v>645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0.98099999999999998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1.2999999999999999E-2</v>
      </c>
      <c r="CL620" s="1">
        <v>0</v>
      </c>
      <c r="CM620" s="1">
        <v>32.489080870000002</v>
      </c>
      <c r="CN620" s="83">
        <v>-5.3947752060000003</v>
      </c>
    </row>
    <row r="621" spans="1:92" s="3" customFormat="1" x14ac:dyDescent="0.25">
      <c r="A621" s="72">
        <v>653</v>
      </c>
      <c r="B621" s="81" t="s">
        <v>1539</v>
      </c>
      <c r="C621" s="1" t="s">
        <v>83</v>
      </c>
      <c r="D621" s="1" t="s">
        <v>79</v>
      </c>
      <c r="E621" s="1" t="s">
        <v>99</v>
      </c>
      <c r="F621" s="1" t="s">
        <v>128</v>
      </c>
      <c r="G621" s="1" t="s">
        <v>303</v>
      </c>
      <c r="H621" s="1" t="s">
        <v>570</v>
      </c>
      <c r="I621" s="1"/>
      <c r="J621" s="9" t="s">
        <v>544</v>
      </c>
      <c r="K621" s="10">
        <v>0.581530833333333</v>
      </c>
      <c r="L621" s="1" t="s">
        <v>641</v>
      </c>
      <c r="M621" s="1" t="s">
        <v>76</v>
      </c>
      <c r="N621" s="1" t="s">
        <v>644</v>
      </c>
      <c r="O621" s="1" t="s">
        <v>68</v>
      </c>
      <c r="P621" s="82">
        <v>0.435</v>
      </c>
      <c r="Q621" s="1" t="s">
        <v>76</v>
      </c>
      <c r="R621" s="81" t="s">
        <v>87</v>
      </c>
      <c r="S621" s="1">
        <v>3</v>
      </c>
      <c r="T621" s="1" t="s">
        <v>78</v>
      </c>
      <c r="U621" s="1" t="s">
        <v>658</v>
      </c>
      <c r="V621" s="1" t="s">
        <v>654</v>
      </c>
      <c r="W621" s="1">
        <v>34</v>
      </c>
      <c r="X621" s="1" t="s">
        <v>304</v>
      </c>
      <c r="Y621" s="1" t="s">
        <v>644</v>
      </c>
      <c r="Z621" s="1">
        <v>3.0000000000000001E-3</v>
      </c>
      <c r="AA621" s="1">
        <v>6.0000000000000001E-3</v>
      </c>
      <c r="AB621" s="1">
        <v>4.0000000000000001E-3</v>
      </c>
      <c r="AC621" s="1">
        <v>1.7000000000000001E-2</v>
      </c>
      <c r="AD621" s="1">
        <v>5.0000000000000001E-3</v>
      </c>
      <c r="AE621" s="1">
        <v>6.0000000000000001E-3</v>
      </c>
      <c r="AF621" s="1">
        <v>7.0000000000000001E-3</v>
      </c>
      <c r="AG621" s="1">
        <v>1E-3</v>
      </c>
      <c r="AH621" s="1">
        <v>1.4E-2</v>
      </c>
      <c r="AI621" s="1">
        <v>1E-3</v>
      </c>
      <c r="AJ621" s="1">
        <v>6.0000000000000001E-3</v>
      </c>
      <c r="AK621" s="1">
        <v>1.4E-2</v>
      </c>
      <c r="AL621" s="1">
        <v>3.0000000000000001E-3</v>
      </c>
      <c r="AM621" s="1">
        <v>2E-3</v>
      </c>
      <c r="AN621" s="1">
        <v>4.0000000000000001E-3</v>
      </c>
      <c r="AO621" s="1">
        <v>4.0000000000000001E-3</v>
      </c>
      <c r="AP621" s="1">
        <v>3.0000000000000001E-3</v>
      </c>
      <c r="AQ621" s="1">
        <v>2E-3</v>
      </c>
      <c r="AR621" s="1">
        <v>0.01</v>
      </c>
      <c r="AS621" s="1">
        <v>1.2999999999999999E-2</v>
      </c>
      <c r="AT621" s="1">
        <v>7.0000000000000001E-3</v>
      </c>
      <c r="AU621" s="1">
        <v>1.2E-2</v>
      </c>
      <c r="AV621" s="1">
        <v>3.0000000000000001E-3</v>
      </c>
      <c r="AW621" s="1">
        <v>7.0000000000000001E-3</v>
      </c>
      <c r="AX621" s="1">
        <v>2.3E-2</v>
      </c>
      <c r="AY621" s="1">
        <v>6.0000000000000001E-3</v>
      </c>
      <c r="AZ621" s="1">
        <v>8.0000000000000002E-3</v>
      </c>
      <c r="BA621" s="1">
        <v>1.6E-2</v>
      </c>
      <c r="BB621" s="1">
        <v>6.0000000000000001E-3</v>
      </c>
      <c r="BC621" s="1">
        <v>3.0000000000000001E-3</v>
      </c>
      <c r="BD621" s="1">
        <v>1.4E-2</v>
      </c>
      <c r="BE621" s="1">
        <v>4.0000000000000001E-3</v>
      </c>
      <c r="BF621" s="1">
        <v>2E-3</v>
      </c>
      <c r="BG621" s="1">
        <v>5.0000000000000001E-3</v>
      </c>
      <c r="BH621" s="1">
        <v>2E-3</v>
      </c>
      <c r="BI621" s="1">
        <v>3.0000000000000001E-3</v>
      </c>
      <c r="BJ621" s="1">
        <v>1E-3</v>
      </c>
      <c r="BK621" s="1">
        <v>2E-3</v>
      </c>
      <c r="BL621" s="1">
        <v>1.0999999999999999E-2</v>
      </c>
      <c r="BM621" s="1">
        <v>3.0000000000000001E-3</v>
      </c>
      <c r="BN621" s="1">
        <v>5.0000000000000001E-3</v>
      </c>
      <c r="BO621" s="1">
        <v>8.0000000000000002E-3</v>
      </c>
      <c r="BP621" s="1">
        <v>3.0000000000000001E-3</v>
      </c>
      <c r="BQ621" s="1">
        <v>1.4999999999999999E-2</v>
      </c>
      <c r="BR621" s="1">
        <v>4.0000000000000001E-3</v>
      </c>
      <c r="BS621" s="1">
        <v>1.2999999999999999E-2</v>
      </c>
      <c r="BT621" s="1">
        <v>2E-3</v>
      </c>
      <c r="BU621" s="1">
        <v>2E-3</v>
      </c>
      <c r="BV621" s="1">
        <v>6.0000000000000001E-3</v>
      </c>
      <c r="BW621" s="1">
        <v>6.0000000000000001E-3</v>
      </c>
      <c r="BX621" s="1">
        <v>0.152</v>
      </c>
      <c r="BY621" s="1">
        <v>0.01</v>
      </c>
      <c r="BZ621" s="1">
        <v>0.01</v>
      </c>
      <c r="CA621" s="1">
        <v>5.0000000000000001E-3</v>
      </c>
      <c r="CB621" s="1">
        <v>2E-3</v>
      </c>
      <c r="CC621" s="1">
        <v>7.0000000000000001E-3</v>
      </c>
      <c r="CD621" s="1">
        <v>0</v>
      </c>
      <c r="CE621" s="1">
        <v>4.0000000000000001E-3</v>
      </c>
      <c r="CF621" s="1">
        <v>3.0000000000000001E-3</v>
      </c>
      <c r="CG621" s="1">
        <v>7.0000000000000001E-3</v>
      </c>
      <c r="CH621" s="1">
        <v>7.0000000000000001E-3</v>
      </c>
      <c r="CI621" s="1">
        <v>6.0000000000000001E-3</v>
      </c>
      <c r="CJ621" s="1">
        <v>1.2E-2</v>
      </c>
      <c r="CK621" s="1">
        <v>0.435</v>
      </c>
      <c r="CL621" s="1">
        <v>1.2E-2</v>
      </c>
      <c r="CM621" s="1">
        <v>63.526282739999999</v>
      </c>
      <c r="CN621" s="83">
        <v>-7.54422631</v>
      </c>
    </row>
    <row r="622" spans="1:92" s="3" customFormat="1" x14ac:dyDescent="0.25">
      <c r="A622" s="72">
        <v>654</v>
      </c>
      <c r="B622" s="81" t="s">
        <v>1467</v>
      </c>
      <c r="C622" s="1" t="s">
        <v>83</v>
      </c>
      <c r="D622" s="1" t="s">
        <v>79</v>
      </c>
      <c r="E622" s="1" t="s">
        <v>99</v>
      </c>
      <c r="F622" s="1" t="s">
        <v>128</v>
      </c>
      <c r="G622" s="1" t="s">
        <v>303</v>
      </c>
      <c r="H622" s="1" t="s">
        <v>570</v>
      </c>
      <c r="I622" s="1"/>
      <c r="J622" s="9" t="s">
        <v>544</v>
      </c>
      <c r="K622" s="10">
        <v>0.43479266666666699</v>
      </c>
      <c r="L622" s="1" t="s">
        <v>76</v>
      </c>
      <c r="M622" s="1" t="s">
        <v>506</v>
      </c>
      <c r="N622" s="1" t="s">
        <v>645</v>
      </c>
      <c r="O622" s="1" t="s">
        <v>55</v>
      </c>
      <c r="P622" s="82">
        <v>0.998</v>
      </c>
      <c r="Q622" s="1" t="s">
        <v>76</v>
      </c>
      <c r="R622" s="81" t="s">
        <v>87</v>
      </c>
      <c r="S622" s="1">
        <v>3</v>
      </c>
      <c r="T622" s="1" t="s">
        <v>78</v>
      </c>
      <c r="U622" s="1" t="s">
        <v>658</v>
      </c>
      <c r="V622" s="1" t="s">
        <v>654</v>
      </c>
      <c r="W622" s="1">
        <v>40</v>
      </c>
      <c r="X622" s="1" t="s">
        <v>367</v>
      </c>
      <c r="Y622" s="1" t="s">
        <v>645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0.998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1E-3</v>
      </c>
      <c r="CL622" s="1">
        <v>0</v>
      </c>
      <c r="CM622" s="1">
        <v>58.530327610000001</v>
      </c>
      <c r="CN622" s="83">
        <v>-9.7115399369999995</v>
      </c>
    </row>
    <row r="623" spans="1:92" s="3" customFormat="1" x14ac:dyDescent="0.25">
      <c r="A623" s="72">
        <v>655</v>
      </c>
      <c r="B623" s="81" t="s">
        <v>1568</v>
      </c>
      <c r="C623" s="1" t="s">
        <v>83</v>
      </c>
      <c r="D623" s="1" t="s">
        <v>73</v>
      </c>
      <c r="E623" s="1" t="s">
        <v>99</v>
      </c>
      <c r="F623" s="1" t="s">
        <v>128</v>
      </c>
      <c r="G623" s="1" t="s">
        <v>368</v>
      </c>
      <c r="H623" s="1" t="s">
        <v>570</v>
      </c>
      <c r="I623" s="1"/>
      <c r="J623" s="9" t="s">
        <v>544</v>
      </c>
      <c r="K623" s="10">
        <v>0.439878833333333</v>
      </c>
      <c r="L623" s="1" t="s">
        <v>76</v>
      </c>
      <c r="M623" s="1" t="s">
        <v>506</v>
      </c>
      <c r="N623" s="1" t="s">
        <v>645</v>
      </c>
      <c r="O623" s="1" t="s">
        <v>55</v>
      </c>
      <c r="P623" s="82">
        <v>1</v>
      </c>
      <c r="Q623" s="1" t="s">
        <v>76</v>
      </c>
      <c r="R623" s="81" t="s">
        <v>87</v>
      </c>
      <c r="S623" s="1">
        <v>3</v>
      </c>
      <c r="T623" s="1" t="s">
        <v>78</v>
      </c>
      <c r="U623" s="1" t="s">
        <v>658</v>
      </c>
      <c r="V623" s="1" t="s">
        <v>654</v>
      </c>
      <c r="W623" s="1">
        <v>13</v>
      </c>
      <c r="X623" s="1" t="s">
        <v>304</v>
      </c>
      <c r="Y623" s="1" t="s">
        <v>645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1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25.88385122</v>
      </c>
      <c r="CN623" s="83">
        <v>11.1357119</v>
      </c>
    </row>
    <row r="624" spans="1:92" s="3" customFormat="1" x14ac:dyDescent="0.25">
      <c r="A624" s="72">
        <v>510</v>
      </c>
      <c r="B624" s="81" t="s">
        <v>993</v>
      </c>
      <c r="C624" s="1" t="s">
        <v>83</v>
      </c>
      <c r="D624" s="1" t="s">
        <v>73</v>
      </c>
      <c r="E624" s="1" t="s">
        <v>99</v>
      </c>
      <c r="F624" s="1" t="s">
        <v>128</v>
      </c>
      <c r="G624" s="1" t="s">
        <v>250</v>
      </c>
      <c r="H624" s="1" t="s">
        <v>570</v>
      </c>
      <c r="I624" s="1"/>
      <c r="J624" s="9" t="s">
        <v>544</v>
      </c>
      <c r="K624" s="10">
        <v>0.42104799999999998</v>
      </c>
      <c r="L624" s="1" t="s">
        <v>1720</v>
      </c>
      <c r="M624" s="1" t="s">
        <v>506</v>
      </c>
      <c r="N624" s="96" t="s">
        <v>647</v>
      </c>
      <c r="O624" s="1" t="s">
        <v>59</v>
      </c>
      <c r="P624" s="82">
        <v>0.94199999999999995</v>
      </c>
      <c r="Q624" s="1" t="s">
        <v>76</v>
      </c>
      <c r="R624" s="81" t="s">
        <v>118</v>
      </c>
      <c r="S624" s="1">
        <v>3</v>
      </c>
      <c r="T624" s="1" t="s">
        <v>78</v>
      </c>
      <c r="U624" s="1" t="s">
        <v>658</v>
      </c>
      <c r="V624" s="1" t="s">
        <v>655</v>
      </c>
      <c r="W624" s="1">
        <v>9</v>
      </c>
      <c r="X624" s="1" t="s">
        <v>76</v>
      </c>
      <c r="Y624" s="1" t="s">
        <v>647</v>
      </c>
      <c r="Z624" s="1">
        <v>0</v>
      </c>
      <c r="AA624" s="1">
        <v>0</v>
      </c>
      <c r="AB624" s="1">
        <v>0</v>
      </c>
      <c r="AC624" s="1">
        <v>2E-3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1E-3</v>
      </c>
      <c r="AO624" s="1">
        <v>0</v>
      </c>
      <c r="AP624" s="1">
        <v>0</v>
      </c>
      <c r="AQ624" s="1">
        <v>0</v>
      </c>
      <c r="AR624" s="1">
        <v>0</v>
      </c>
      <c r="AS624" s="1">
        <v>2E-3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1E-3</v>
      </c>
      <c r="BA624" s="1">
        <v>0</v>
      </c>
      <c r="BB624" s="1">
        <v>0</v>
      </c>
      <c r="BC624" s="1">
        <v>0</v>
      </c>
      <c r="BD624" s="1">
        <v>0</v>
      </c>
      <c r="BE624" s="1">
        <v>5.0000000000000001E-3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0.01</v>
      </c>
      <c r="BO624" s="1">
        <v>0</v>
      </c>
      <c r="BP624" s="1">
        <v>0</v>
      </c>
      <c r="BQ624" s="1">
        <v>4.0000000000000001E-3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1E-3</v>
      </c>
      <c r="CA624" s="1">
        <v>0</v>
      </c>
      <c r="CB624" s="1">
        <v>0.94199999999999995</v>
      </c>
      <c r="CC624" s="1">
        <v>3.0000000000000001E-3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1.4999999999999999E-2</v>
      </c>
      <c r="CL624" s="1">
        <v>7.0000000000000001E-3</v>
      </c>
      <c r="CM624" s="1">
        <v>-55.09890661</v>
      </c>
      <c r="CN624" s="83">
        <v>18.85296039</v>
      </c>
    </row>
    <row r="625" spans="1:92" s="3" customFormat="1" x14ac:dyDescent="0.25">
      <c r="A625" s="72">
        <v>657</v>
      </c>
      <c r="B625" s="81" t="s">
        <v>1588</v>
      </c>
      <c r="C625" s="1" t="s">
        <v>83</v>
      </c>
      <c r="D625" s="1" t="s">
        <v>73</v>
      </c>
      <c r="E625" s="1" t="s">
        <v>74</v>
      </c>
      <c r="F625" s="1" t="s">
        <v>128</v>
      </c>
      <c r="G625" s="1" t="s">
        <v>303</v>
      </c>
      <c r="H625" s="1" t="s">
        <v>570</v>
      </c>
      <c r="I625" s="1"/>
      <c r="J625" s="9" t="s">
        <v>544</v>
      </c>
      <c r="K625" s="10">
        <v>0.45167533333333298</v>
      </c>
      <c r="L625" s="1" t="s">
        <v>76</v>
      </c>
      <c r="M625" s="1" t="s">
        <v>506</v>
      </c>
      <c r="N625" s="1" t="s">
        <v>645</v>
      </c>
      <c r="O625" s="1" t="s">
        <v>55</v>
      </c>
      <c r="P625" s="82">
        <v>1</v>
      </c>
      <c r="Q625" s="1" t="s">
        <v>76</v>
      </c>
      <c r="R625" s="81" t="s">
        <v>87</v>
      </c>
      <c r="S625" s="1">
        <v>3</v>
      </c>
      <c r="T625" s="1" t="s">
        <v>78</v>
      </c>
      <c r="U625" s="1" t="s">
        <v>658</v>
      </c>
      <c r="V625" s="1" t="s">
        <v>654</v>
      </c>
      <c r="W625" s="1">
        <v>4</v>
      </c>
      <c r="X625" s="1" t="s">
        <v>304</v>
      </c>
      <c r="Y625" s="1" t="s">
        <v>645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1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52.025925030000003</v>
      </c>
      <c r="CN625" s="83">
        <v>12.183156049999999</v>
      </c>
    </row>
    <row r="626" spans="1:92" s="3" customFormat="1" x14ac:dyDescent="0.25">
      <c r="A626" s="72">
        <v>658</v>
      </c>
      <c r="B626" s="81" t="s">
        <v>1509</v>
      </c>
      <c r="C626" s="1" t="s">
        <v>83</v>
      </c>
      <c r="D626" s="1" t="s">
        <v>73</v>
      </c>
      <c r="E626" s="1" t="s">
        <v>99</v>
      </c>
      <c r="F626" s="1" t="s">
        <v>128</v>
      </c>
      <c r="G626" s="1" t="s">
        <v>1705</v>
      </c>
      <c r="H626" s="1" t="s">
        <v>570</v>
      </c>
      <c r="I626" s="1"/>
      <c r="J626" s="9" t="s">
        <v>544</v>
      </c>
      <c r="K626" s="10">
        <v>0.31930883333333299</v>
      </c>
      <c r="L626" s="1" t="s">
        <v>641</v>
      </c>
      <c r="M626" s="1" t="s">
        <v>76</v>
      </c>
      <c r="N626" s="1" t="s">
        <v>649</v>
      </c>
      <c r="O626" s="1" t="s">
        <v>55</v>
      </c>
      <c r="P626" s="82">
        <v>0.55100000000000005</v>
      </c>
      <c r="Q626" s="1" t="s">
        <v>76</v>
      </c>
      <c r="R626" s="81" t="s">
        <v>87</v>
      </c>
      <c r="S626" s="1">
        <v>3</v>
      </c>
      <c r="T626" s="1" t="s">
        <v>78</v>
      </c>
      <c r="U626" s="1" t="s">
        <v>658</v>
      </c>
      <c r="V626" s="1" t="s">
        <v>654</v>
      </c>
      <c r="W626" s="1">
        <v>35</v>
      </c>
      <c r="X626" s="1" t="s">
        <v>369</v>
      </c>
      <c r="Y626" s="1" t="s">
        <v>649</v>
      </c>
      <c r="Z626" s="1">
        <v>0.29299999999999998</v>
      </c>
      <c r="AA626" s="1">
        <v>1E-3</v>
      </c>
      <c r="AB626" s="1">
        <v>1E-3</v>
      </c>
      <c r="AC626" s="1">
        <v>1.7000000000000001E-2</v>
      </c>
      <c r="AD626" s="1">
        <v>1E-3</v>
      </c>
      <c r="AE626" s="1">
        <v>1E-3</v>
      </c>
      <c r="AF626" s="1">
        <v>1E-3</v>
      </c>
      <c r="AG626" s="1">
        <v>0</v>
      </c>
      <c r="AH626" s="1">
        <v>3.9E-2</v>
      </c>
      <c r="AI626" s="1">
        <v>4.0000000000000001E-3</v>
      </c>
      <c r="AJ626" s="1">
        <v>1E-3</v>
      </c>
      <c r="AK626" s="1">
        <v>1E-3</v>
      </c>
      <c r="AL626" s="1">
        <v>0</v>
      </c>
      <c r="AM626" s="1">
        <v>1E-3</v>
      </c>
      <c r="AN626" s="1">
        <v>1.9E-2</v>
      </c>
      <c r="AO626" s="1">
        <v>1E-3</v>
      </c>
      <c r="AP626" s="1">
        <v>1E-3</v>
      </c>
      <c r="AQ626" s="1">
        <v>0</v>
      </c>
      <c r="AR626" s="1">
        <v>0</v>
      </c>
      <c r="AS626" s="1">
        <v>1E-3</v>
      </c>
      <c r="AT626" s="1">
        <v>1E-3</v>
      </c>
      <c r="AU626" s="1">
        <v>1E-3</v>
      </c>
      <c r="AV626" s="1">
        <v>1E-3</v>
      </c>
      <c r="AW626" s="1">
        <v>1E-3</v>
      </c>
      <c r="AX626" s="1">
        <v>2E-3</v>
      </c>
      <c r="AY626" s="1">
        <v>3.0000000000000001E-3</v>
      </c>
      <c r="AZ626" s="1">
        <v>1E-3</v>
      </c>
      <c r="BA626" s="1">
        <v>4.0000000000000001E-3</v>
      </c>
      <c r="BB626" s="1">
        <v>1E-3</v>
      </c>
      <c r="BC626" s="1">
        <v>1E-3</v>
      </c>
      <c r="BD626" s="1">
        <v>5.0000000000000001E-3</v>
      </c>
      <c r="BE626" s="1">
        <v>1E-3</v>
      </c>
      <c r="BF626" s="1">
        <v>5.0000000000000001E-3</v>
      </c>
      <c r="BG626" s="1">
        <v>0</v>
      </c>
      <c r="BH626" s="1">
        <v>1E-3</v>
      </c>
      <c r="BI626" s="1">
        <v>0</v>
      </c>
      <c r="BJ626" s="1">
        <v>0</v>
      </c>
      <c r="BK626" s="1">
        <v>0</v>
      </c>
      <c r="BL626" s="1">
        <v>2E-3</v>
      </c>
      <c r="BM626" s="1">
        <v>1E-3</v>
      </c>
      <c r="BN626" s="1">
        <v>1E-3</v>
      </c>
      <c r="BO626" s="1">
        <v>0</v>
      </c>
      <c r="BP626" s="1">
        <v>0</v>
      </c>
      <c r="BQ626" s="1">
        <v>1E-3</v>
      </c>
      <c r="BR626" s="1">
        <v>2E-3</v>
      </c>
      <c r="BS626" s="1">
        <v>1E-3</v>
      </c>
      <c r="BT626" s="1">
        <v>0</v>
      </c>
      <c r="BU626" s="1">
        <v>1E-3</v>
      </c>
      <c r="BV626" s="1">
        <v>0</v>
      </c>
      <c r="BW626" s="1">
        <v>1E-3</v>
      </c>
      <c r="BX626" s="1">
        <v>0.55100000000000005</v>
      </c>
      <c r="BY626" s="1">
        <v>2E-3</v>
      </c>
      <c r="BZ626" s="1">
        <v>2E-3</v>
      </c>
      <c r="CA626" s="1">
        <v>1E-3</v>
      </c>
      <c r="CB626" s="1">
        <v>0</v>
      </c>
      <c r="CC626" s="1">
        <v>1E-3</v>
      </c>
      <c r="CD626" s="1">
        <v>0</v>
      </c>
      <c r="CE626" s="1">
        <v>1E-3</v>
      </c>
      <c r="CF626" s="1">
        <v>1E-3</v>
      </c>
      <c r="CG626" s="1">
        <v>4.0000000000000001E-3</v>
      </c>
      <c r="CH626" s="1">
        <v>1E-3</v>
      </c>
      <c r="CI626" s="1">
        <v>1E-3</v>
      </c>
      <c r="CJ626" s="1">
        <v>2E-3</v>
      </c>
      <c r="CK626" s="1">
        <v>8.0000000000000002E-3</v>
      </c>
      <c r="CL626" s="1">
        <v>4.0000000000000001E-3</v>
      </c>
      <c r="CM626" s="1">
        <v>-0.26876398800000001</v>
      </c>
      <c r="CN626" s="83">
        <v>-24.114136909999999</v>
      </c>
    </row>
    <row r="627" spans="1:92" s="3" customFormat="1" x14ac:dyDescent="0.25">
      <c r="A627" s="72">
        <v>659</v>
      </c>
      <c r="B627" s="81" t="s">
        <v>1523</v>
      </c>
      <c r="C627" s="1" t="s">
        <v>83</v>
      </c>
      <c r="D627" s="1" t="s">
        <v>73</v>
      </c>
      <c r="E627" s="1" t="s">
        <v>99</v>
      </c>
      <c r="F627" s="1" t="s">
        <v>128</v>
      </c>
      <c r="G627" s="1" t="s">
        <v>250</v>
      </c>
      <c r="H627" s="1" t="s">
        <v>570</v>
      </c>
      <c r="I627" s="1"/>
      <c r="J627" s="9" t="s">
        <v>544</v>
      </c>
      <c r="K627" s="10">
        <v>0.35192833333333401</v>
      </c>
      <c r="L627" s="1" t="s">
        <v>641</v>
      </c>
      <c r="M627" s="1" t="s">
        <v>76</v>
      </c>
      <c r="N627" s="1" t="s">
        <v>644</v>
      </c>
      <c r="O627" s="1" t="s">
        <v>68</v>
      </c>
      <c r="P627" s="82">
        <v>0.83899999999999997</v>
      </c>
      <c r="Q627" s="1" t="s">
        <v>76</v>
      </c>
      <c r="R627" s="81" t="s">
        <v>77</v>
      </c>
      <c r="S627" s="1">
        <v>3</v>
      </c>
      <c r="T627" s="1" t="s">
        <v>78</v>
      </c>
      <c r="U627" s="1" t="s">
        <v>658</v>
      </c>
      <c r="V627" s="1" t="s">
        <v>654</v>
      </c>
      <c r="W627" s="1">
        <v>30</v>
      </c>
      <c r="X627" s="1" t="s">
        <v>370</v>
      </c>
      <c r="Y627" s="1" t="s">
        <v>644</v>
      </c>
      <c r="Z627" s="1">
        <v>0.152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1E-3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1E-3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1E-3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1E-3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0.83899999999999997</v>
      </c>
      <c r="CL627" s="1">
        <v>1E-3</v>
      </c>
      <c r="CM627" s="1">
        <v>26.1223192</v>
      </c>
      <c r="CN627" s="83">
        <v>-37.382711190000002</v>
      </c>
    </row>
    <row r="628" spans="1:92" s="3" customFormat="1" x14ac:dyDescent="0.25">
      <c r="A628" s="72">
        <v>660</v>
      </c>
      <c r="B628" s="81" t="s">
        <v>1608</v>
      </c>
      <c r="C628" s="1" t="s">
        <v>83</v>
      </c>
      <c r="D628" s="1" t="s">
        <v>79</v>
      </c>
      <c r="E628" s="1" t="s">
        <v>74</v>
      </c>
      <c r="F628" s="1" t="s">
        <v>128</v>
      </c>
      <c r="G628" s="1" t="s">
        <v>349</v>
      </c>
      <c r="H628" s="1" t="s">
        <v>570</v>
      </c>
      <c r="I628" s="1"/>
      <c r="J628" s="9" t="s">
        <v>544</v>
      </c>
      <c r="K628" s="10">
        <v>0.31418516666666702</v>
      </c>
      <c r="L628" s="1" t="s">
        <v>641</v>
      </c>
      <c r="M628" s="1" t="s">
        <v>76</v>
      </c>
      <c r="N628" s="1" t="s">
        <v>649</v>
      </c>
      <c r="O628" s="1" t="s">
        <v>55</v>
      </c>
      <c r="P628" s="82">
        <v>0.71599999999999997</v>
      </c>
      <c r="Q628" s="1" t="s">
        <v>76</v>
      </c>
      <c r="R628" s="81" t="s">
        <v>77</v>
      </c>
      <c r="S628" s="1">
        <v>3</v>
      </c>
      <c r="T628" s="1" t="s">
        <v>78</v>
      </c>
      <c r="U628" s="1" t="s">
        <v>658</v>
      </c>
      <c r="V628" s="1" t="s">
        <v>654</v>
      </c>
      <c r="W628" s="1">
        <v>16</v>
      </c>
      <c r="X628" s="1" t="s">
        <v>348</v>
      </c>
      <c r="Y628" s="1" t="s">
        <v>649</v>
      </c>
      <c r="Z628" s="1">
        <v>3.0000000000000001E-3</v>
      </c>
      <c r="AA628" s="1">
        <v>2E-3</v>
      </c>
      <c r="AB628" s="1">
        <v>1E-3</v>
      </c>
      <c r="AC628" s="1">
        <v>1.2E-2</v>
      </c>
      <c r="AD628" s="1">
        <v>2E-3</v>
      </c>
      <c r="AE628" s="1">
        <v>3.0000000000000001E-3</v>
      </c>
      <c r="AF628" s="1">
        <v>1E-3</v>
      </c>
      <c r="AG628" s="1">
        <v>0</v>
      </c>
      <c r="AH628" s="1">
        <v>4.0000000000000001E-3</v>
      </c>
      <c r="AI628" s="1">
        <v>1E-3</v>
      </c>
      <c r="AJ628" s="1">
        <v>4.0000000000000001E-3</v>
      </c>
      <c r="AK628" s="1">
        <v>1E-3</v>
      </c>
      <c r="AL628" s="1">
        <v>0</v>
      </c>
      <c r="AM628" s="1">
        <v>1E-3</v>
      </c>
      <c r="AN628" s="1">
        <v>3.9E-2</v>
      </c>
      <c r="AO628" s="1">
        <v>1E-3</v>
      </c>
      <c r="AP628" s="1">
        <v>1E-3</v>
      </c>
      <c r="AQ628" s="1">
        <v>1E-3</v>
      </c>
      <c r="AR628" s="1">
        <v>1E-3</v>
      </c>
      <c r="AS628" s="1">
        <v>2E-3</v>
      </c>
      <c r="AT628" s="1">
        <v>1E-3</v>
      </c>
      <c r="AU628" s="1">
        <v>1E-3</v>
      </c>
      <c r="AV628" s="1">
        <v>1E-3</v>
      </c>
      <c r="AW628" s="1">
        <v>1E-3</v>
      </c>
      <c r="AX628" s="1">
        <v>1E-3</v>
      </c>
      <c r="AY628" s="1">
        <v>1E-3</v>
      </c>
      <c r="AZ628" s="1">
        <v>2E-3</v>
      </c>
      <c r="BA628" s="1">
        <v>3.0000000000000001E-3</v>
      </c>
      <c r="BB628" s="1">
        <v>2E-3</v>
      </c>
      <c r="BC628" s="1">
        <v>1E-3</v>
      </c>
      <c r="BD628" s="1">
        <v>4.0000000000000001E-3</v>
      </c>
      <c r="BE628" s="1">
        <v>1E-3</v>
      </c>
      <c r="BF628" s="1">
        <v>0.14099999999999999</v>
      </c>
      <c r="BG628" s="1">
        <v>0</v>
      </c>
      <c r="BH628" s="1">
        <v>4.0000000000000001E-3</v>
      </c>
      <c r="BI628" s="1">
        <v>1E-3</v>
      </c>
      <c r="BJ628" s="1">
        <v>0</v>
      </c>
      <c r="BK628" s="1">
        <v>0</v>
      </c>
      <c r="BL628" s="1">
        <v>1E-3</v>
      </c>
      <c r="BM628" s="1">
        <v>1E-3</v>
      </c>
      <c r="BN628" s="1">
        <v>1E-3</v>
      </c>
      <c r="BO628" s="1">
        <v>1E-3</v>
      </c>
      <c r="BP628" s="1">
        <v>0</v>
      </c>
      <c r="BQ628" s="1">
        <v>1E-3</v>
      </c>
      <c r="BR628" s="1">
        <v>1E-3</v>
      </c>
      <c r="BS628" s="1">
        <v>1E-3</v>
      </c>
      <c r="BT628" s="1">
        <v>1E-3</v>
      </c>
      <c r="BU628" s="1">
        <v>1E-3</v>
      </c>
      <c r="BV628" s="1">
        <v>1E-3</v>
      </c>
      <c r="BW628" s="1">
        <v>1E-3</v>
      </c>
      <c r="BX628" s="1">
        <v>0.71599999999999997</v>
      </c>
      <c r="BY628" s="1">
        <v>2E-3</v>
      </c>
      <c r="BZ628" s="1">
        <v>1E-3</v>
      </c>
      <c r="CA628" s="1">
        <v>1E-3</v>
      </c>
      <c r="CB628" s="1">
        <v>0</v>
      </c>
      <c r="CC628" s="1">
        <v>1E-3</v>
      </c>
      <c r="CD628" s="1">
        <v>0</v>
      </c>
      <c r="CE628" s="1">
        <v>1E-3</v>
      </c>
      <c r="CF628" s="1">
        <v>1E-3</v>
      </c>
      <c r="CG628" s="1">
        <v>2E-3</v>
      </c>
      <c r="CH628" s="1">
        <v>1E-3</v>
      </c>
      <c r="CI628" s="1">
        <v>1E-3</v>
      </c>
      <c r="CJ628" s="1">
        <v>2E-3</v>
      </c>
      <c r="CK628" s="1">
        <v>1.2E-2</v>
      </c>
      <c r="CL628" s="1">
        <v>2E-3</v>
      </c>
      <c r="CM628" s="1">
        <v>-3.1940292459999999</v>
      </c>
      <c r="CN628" s="83">
        <v>-40.981125509999998</v>
      </c>
    </row>
    <row r="629" spans="1:92" s="3" customFormat="1" x14ac:dyDescent="0.25">
      <c r="A629" s="72">
        <v>661</v>
      </c>
      <c r="B629" s="81" t="s">
        <v>997</v>
      </c>
      <c r="C629" s="1" t="s">
        <v>83</v>
      </c>
      <c r="D629" s="1" t="s">
        <v>79</v>
      </c>
      <c r="E629" s="1" t="s">
        <v>74</v>
      </c>
      <c r="F629" s="1" t="s">
        <v>128</v>
      </c>
      <c r="G629" s="1" t="s">
        <v>310</v>
      </c>
      <c r="H629" s="1" t="s">
        <v>570</v>
      </c>
      <c r="I629" s="1"/>
      <c r="J629" s="9" t="s">
        <v>544</v>
      </c>
      <c r="K629" s="10">
        <v>0.40618716666666699</v>
      </c>
      <c r="L629" s="1" t="s">
        <v>641</v>
      </c>
      <c r="M629" s="1" t="s">
        <v>76</v>
      </c>
      <c r="N629" s="1" t="s">
        <v>644</v>
      </c>
      <c r="O629" s="1" t="s">
        <v>68</v>
      </c>
      <c r="P629" s="82">
        <v>0.438</v>
      </c>
      <c r="Q629" s="1" t="s">
        <v>76</v>
      </c>
      <c r="R629" s="81" t="s">
        <v>87</v>
      </c>
      <c r="S629" s="1">
        <v>3</v>
      </c>
      <c r="T629" s="1" t="s">
        <v>78</v>
      </c>
      <c r="U629" s="1" t="s">
        <v>658</v>
      </c>
      <c r="V629" s="1" t="s">
        <v>654</v>
      </c>
      <c r="W629" s="1">
        <v>10</v>
      </c>
      <c r="X629" s="1" t="s">
        <v>304</v>
      </c>
      <c r="Y629" s="1" t="s">
        <v>644</v>
      </c>
      <c r="Z629" s="1">
        <v>8.0000000000000002E-3</v>
      </c>
      <c r="AA629" s="1">
        <v>4.0000000000000001E-3</v>
      </c>
      <c r="AB629" s="1">
        <v>3.0000000000000001E-3</v>
      </c>
      <c r="AC629" s="1">
        <v>4.5999999999999999E-2</v>
      </c>
      <c r="AD629" s="1">
        <v>6.0000000000000001E-3</v>
      </c>
      <c r="AE629" s="1">
        <v>6.0000000000000001E-3</v>
      </c>
      <c r="AF629" s="1">
        <v>4.0000000000000001E-3</v>
      </c>
      <c r="AG629" s="1">
        <v>0</v>
      </c>
      <c r="AH629" s="1">
        <v>0.01</v>
      </c>
      <c r="AI629" s="1">
        <v>2E-3</v>
      </c>
      <c r="AJ629" s="1">
        <v>4.0000000000000001E-3</v>
      </c>
      <c r="AK629" s="1">
        <v>4.0000000000000001E-3</v>
      </c>
      <c r="AL629" s="1">
        <v>1E-3</v>
      </c>
      <c r="AM629" s="1">
        <v>2E-3</v>
      </c>
      <c r="AN629" s="1">
        <v>1.4E-2</v>
      </c>
      <c r="AO629" s="1">
        <v>3.0000000000000001E-3</v>
      </c>
      <c r="AP629" s="1">
        <v>3.0000000000000001E-3</v>
      </c>
      <c r="AQ629" s="1">
        <v>2E-3</v>
      </c>
      <c r="AR629" s="1">
        <v>6.0000000000000001E-3</v>
      </c>
      <c r="AS629" s="1">
        <v>1.2999999999999999E-2</v>
      </c>
      <c r="AT629" s="1">
        <v>5.0000000000000001E-3</v>
      </c>
      <c r="AU629" s="1">
        <v>5.0000000000000001E-3</v>
      </c>
      <c r="AV629" s="1">
        <v>3.0000000000000001E-3</v>
      </c>
      <c r="AW629" s="1">
        <v>3.0000000000000001E-3</v>
      </c>
      <c r="AX629" s="1">
        <v>4.0000000000000001E-3</v>
      </c>
      <c r="AY629" s="1">
        <v>5.0000000000000001E-3</v>
      </c>
      <c r="AZ629" s="1">
        <v>8.0000000000000002E-3</v>
      </c>
      <c r="BA629" s="1">
        <v>0.01</v>
      </c>
      <c r="BB629" s="1">
        <v>4.0000000000000001E-3</v>
      </c>
      <c r="BC629" s="1">
        <v>2E-3</v>
      </c>
      <c r="BD629" s="1">
        <v>1.4999999999999999E-2</v>
      </c>
      <c r="BE629" s="1">
        <v>1.7000000000000001E-2</v>
      </c>
      <c r="BF629" s="1">
        <v>1.7000000000000001E-2</v>
      </c>
      <c r="BG629" s="1">
        <v>1E-3</v>
      </c>
      <c r="BH629" s="1">
        <v>8.0000000000000002E-3</v>
      </c>
      <c r="BI629" s="1">
        <v>2E-3</v>
      </c>
      <c r="BJ629" s="1">
        <v>1E-3</v>
      </c>
      <c r="BK629" s="1">
        <v>2E-3</v>
      </c>
      <c r="BL629" s="1">
        <v>5.0000000000000001E-3</v>
      </c>
      <c r="BM629" s="1">
        <v>3.0000000000000001E-3</v>
      </c>
      <c r="BN629" s="1">
        <v>1.2E-2</v>
      </c>
      <c r="BO629" s="1">
        <v>6.0000000000000001E-3</v>
      </c>
      <c r="BP629" s="1">
        <v>2E-3</v>
      </c>
      <c r="BQ629" s="1">
        <v>1.2E-2</v>
      </c>
      <c r="BR629" s="1">
        <v>3.0000000000000001E-3</v>
      </c>
      <c r="BS629" s="1">
        <v>4.0000000000000001E-3</v>
      </c>
      <c r="BT629" s="1">
        <v>2E-3</v>
      </c>
      <c r="BU629" s="1">
        <v>3.0000000000000001E-3</v>
      </c>
      <c r="BV629" s="1">
        <v>3.0000000000000001E-3</v>
      </c>
      <c r="BW629" s="1">
        <v>3.0000000000000001E-3</v>
      </c>
      <c r="BX629" s="1">
        <v>0.151</v>
      </c>
      <c r="BY629" s="1">
        <v>6.0000000000000001E-3</v>
      </c>
      <c r="BZ629" s="1">
        <v>1.0999999999999999E-2</v>
      </c>
      <c r="CA629" s="1">
        <v>4.0000000000000001E-3</v>
      </c>
      <c r="CB629" s="1">
        <v>2.1000000000000001E-2</v>
      </c>
      <c r="CC629" s="1">
        <v>1.4E-2</v>
      </c>
      <c r="CD629" s="1">
        <v>0</v>
      </c>
      <c r="CE629" s="1">
        <v>3.0000000000000001E-3</v>
      </c>
      <c r="CF629" s="1">
        <v>3.0000000000000001E-3</v>
      </c>
      <c r="CG629" s="1">
        <v>5.0000000000000001E-3</v>
      </c>
      <c r="CH629" s="1">
        <v>5.0000000000000001E-3</v>
      </c>
      <c r="CI629" s="1">
        <v>4.0000000000000001E-3</v>
      </c>
      <c r="CJ629" s="1">
        <v>8.0000000000000002E-3</v>
      </c>
      <c r="CK629" s="1">
        <v>0.438</v>
      </c>
      <c r="CL629" s="1">
        <v>1.7999999999999999E-2</v>
      </c>
      <c r="CM629" s="1">
        <v>30.348714180000002</v>
      </c>
      <c r="CN629" s="83">
        <v>0.77192925300000004</v>
      </c>
    </row>
    <row r="630" spans="1:92" s="3" customFormat="1" x14ac:dyDescent="0.25">
      <c r="A630" s="72">
        <v>662</v>
      </c>
      <c r="B630" s="81" t="s">
        <v>1593</v>
      </c>
      <c r="C630" s="1" t="s">
        <v>83</v>
      </c>
      <c r="D630" s="1" t="s">
        <v>79</v>
      </c>
      <c r="E630" s="1" t="s">
        <v>99</v>
      </c>
      <c r="F630" s="1" t="s">
        <v>128</v>
      </c>
      <c r="G630" s="1" t="s">
        <v>303</v>
      </c>
      <c r="H630" s="1" t="s">
        <v>570</v>
      </c>
      <c r="I630" s="1"/>
      <c r="J630" s="9" t="s">
        <v>544</v>
      </c>
      <c r="K630" s="10">
        <v>0.43184349999999999</v>
      </c>
      <c r="L630" s="1" t="s">
        <v>76</v>
      </c>
      <c r="M630" s="1" t="s">
        <v>506</v>
      </c>
      <c r="N630" s="1" t="s">
        <v>645</v>
      </c>
      <c r="O630" s="1" t="s">
        <v>55</v>
      </c>
      <c r="P630" s="82">
        <v>1</v>
      </c>
      <c r="Q630" s="1" t="s">
        <v>76</v>
      </c>
      <c r="R630" s="81" t="s">
        <v>87</v>
      </c>
      <c r="S630" s="1">
        <v>3</v>
      </c>
      <c r="T630" s="1" t="s">
        <v>78</v>
      </c>
      <c r="U630" s="1" t="s">
        <v>658</v>
      </c>
      <c r="V630" s="1" t="s">
        <v>654</v>
      </c>
      <c r="W630" s="1">
        <v>12</v>
      </c>
      <c r="X630" s="1" t="s">
        <v>304</v>
      </c>
      <c r="Y630" s="1" t="s">
        <v>645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1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22.85654422</v>
      </c>
      <c r="CN630" s="83">
        <v>8.6516159259999998</v>
      </c>
    </row>
    <row r="631" spans="1:92" s="3" customFormat="1" x14ac:dyDescent="0.25">
      <c r="A631" s="72">
        <v>663</v>
      </c>
      <c r="B631" s="81" t="s">
        <v>1527</v>
      </c>
      <c r="C631" s="1" t="s">
        <v>83</v>
      </c>
      <c r="D631" s="1" t="s">
        <v>73</v>
      </c>
      <c r="E631" s="1" t="s">
        <v>99</v>
      </c>
      <c r="F631" s="1" t="s">
        <v>128</v>
      </c>
      <c r="G631" s="1" t="s">
        <v>303</v>
      </c>
      <c r="H631" s="1" t="s">
        <v>570</v>
      </c>
      <c r="I631" s="1"/>
      <c r="J631" s="9" t="s">
        <v>544</v>
      </c>
      <c r="K631" s="10">
        <v>0.45652599999999999</v>
      </c>
      <c r="L631" s="1" t="s">
        <v>76</v>
      </c>
      <c r="M631" s="1" t="s">
        <v>506</v>
      </c>
      <c r="N631" s="1" t="s">
        <v>645</v>
      </c>
      <c r="O631" s="1" t="s">
        <v>55</v>
      </c>
      <c r="P631" s="82">
        <v>1</v>
      </c>
      <c r="Q631" s="1" t="s">
        <v>76</v>
      </c>
      <c r="R631" s="81" t="s">
        <v>87</v>
      </c>
      <c r="S631" s="1">
        <v>3</v>
      </c>
      <c r="T631" s="1" t="s">
        <v>78</v>
      </c>
      <c r="U631" s="1" t="s">
        <v>658</v>
      </c>
      <c r="V631" s="1" t="s">
        <v>654</v>
      </c>
      <c r="W631" s="1">
        <v>13</v>
      </c>
      <c r="X631" s="1" t="s">
        <v>304</v>
      </c>
      <c r="Y631" s="1" t="s">
        <v>645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1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50.46185552</v>
      </c>
      <c r="CN631" s="83">
        <v>12.22642456</v>
      </c>
    </row>
    <row r="632" spans="1:92" s="3" customFormat="1" x14ac:dyDescent="0.25">
      <c r="A632" s="72">
        <v>664</v>
      </c>
      <c r="B632" s="81" t="s">
        <v>1540</v>
      </c>
      <c r="C632" s="1" t="s">
        <v>83</v>
      </c>
      <c r="D632" s="1" t="s">
        <v>73</v>
      </c>
      <c r="E632" s="1" t="s">
        <v>74</v>
      </c>
      <c r="F632" s="1" t="s">
        <v>128</v>
      </c>
      <c r="G632" s="1" t="s">
        <v>318</v>
      </c>
      <c r="H632" s="1" t="s">
        <v>570</v>
      </c>
      <c r="I632" s="1"/>
      <c r="J632" s="9" t="s">
        <v>544</v>
      </c>
      <c r="K632" s="10">
        <v>0.53019249999999996</v>
      </c>
      <c r="L632" s="1" t="s">
        <v>76</v>
      </c>
      <c r="M632" s="1" t="s">
        <v>506</v>
      </c>
      <c r="N632" s="1" t="s">
        <v>645</v>
      </c>
      <c r="O632" s="1" t="s">
        <v>55</v>
      </c>
      <c r="P632" s="82">
        <v>1</v>
      </c>
      <c r="Q632" s="1" t="s">
        <v>76</v>
      </c>
      <c r="R632" s="81" t="s">
        <v>77</v>
      </c>
      <c r="S632" s="1">
        <v>3</v>
      </c>
      <c r="T632" s="1" t="s">
        <v>78</v>
      </c>
      <c r="U632" s="1" t="s">
        <v>658</v>
      </c>
      <c r="V632" s="1" t="s">
        <v>654</v>
      </c>
      <c r="W632" s="1">
        <v>12</v>
      </c>
      <c r="X632" s="1" t="s">
        <v>76</v>
      </c>
      <c r="Y632" s="1" t="s">
        <v>645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1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42.602312990000001</v>
      </c>
      <c r="CN632" s="83">
        <v>32.214546779999999</v>
      </c>
    </row>
    <row r="633" spans="1:92" s="3" customFormat="1" x14ac:dyDescent="0.25">
      <c r="A633" s="72">
        <v>665</v>
      </c>
      <c r="B633" s="81" t="s">
        <v>1534</v>
      </c>
      <c r="C633" s="1" t="s">
        <v>83</v>
      </c>
      <c r="D633" s="1" t="s">
        <v>73</v>
      </c>
      <c r="E633" s="1" t="s">
        <v>99</v>
      </c>
      <c r="F633" s="1" t="s">
        <v>128</v>
      </c>
      <c r="G633" s="1" t="s">
        <v>307</v>
      </c>
      <c r="H633" s="1" t="s">
        <v>570</v>
      </c>
      <c r="I633" s="1"/>
      <c r="J633" s="9" t="s">
        <v>544</v>
      </c>
      <c r="K633" s="10">
        <v>0.59899716666666702</v>
      </c>
      <c r="L633" s="1" t="s">
        <v>76</v>
      </c>
      <c r="M633" s="1" t="s">
        <v>506</v>
      </c>
      <c r="N633" s="1" t="s">
        <v>645</v>
      </c>
      <c r="O633" s="1" t="s">
        <v>55</v>
      </c>
      <c r="P633" s="82">
        <v>0.999</v>
      </c>
      <c r="Q633" s="1" t="s">
        <v>76</v>
      </c>
      <c r="R633" s="81" t="s">
        <v>87</v>
      </c>
      <c r="S633" s="1">
        <v>3</v>
      </c>
      <c r="T633" s="1" t="s">
        <v>78</v>
      </c>
      <c r="U633" s="1" t="s">
        <v>658</v>
      </c>
      <c r="V633" s="1" t="s">
        <v>654</v>
      </c>
      <c r="W633" s="1">
        <v>20</v>
      </c>
      <c r="X633" s="1" t="s">
        <v>304</v>
      </c>
      <c r="Y633" s="1" t="s">
        <v>645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0.999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44.489774160000003</v>
      </c>
      <c r="CN633" s="83">
        <v>34.718677479999997</v>
      </c>
    </row>
    <row r="634" spans="1:92" s="3" customFormat="1" x14ac:dyDescent="0.25">
      <c r="A634" s="72">
        <v>666</v>
      </c>
      <c r="B634" s="81" t="s">
        <v>1450</v>
      </c>
      <c r="C634" s="1" t="s">
        <v>83</v>
      </c>
      <c r="D634" s="1" t="s">
        <v>73</v>
      </c>
      <c r="E634" s="1" t="s">
        <v>99</v>
      </c>
      <c r="F634" s="1" t="s">
        <v>128</v>
      </c>
      <c r="G634" s="1" t="s">
        <v>318</v>
      </c>
      <c r="H634" s="1" t="s">
        <v>570</v>
      </c>
      <c r="I634" s="1"/>
      <c r="J634" s="9" t="s">
        <v>544</v>
      </c>
      <c r="K634" s="10">
        <v>0.34187366666666702</v>
      </c>
      <c r="L634" s="1" t="s">
        <v>641</v>
      </c>
      <c r="M634" s="1" t="s">
        <v>76</v>
      </c>
      <c r="N634" s="1" t="s">
        <v>644</v>
      </c>
      <c r="O634" s="1" t="s">
        <v>53</v>
      </c>
      <c r="P634" s="82">
        <v>0.80600000000000005</v>
      </c>
      <c r="Q634" s="1" t="s">
        <v>76</v>
      </c>
      <c r="R634" s="81" t="s">
        <v>77</v>
      </c>
      <c r="S634" s="1">
        <v>3</v>
      </c>
      <c r="T634" s="1" t="s">
        <v>78</v>
      </c>
      <c r="U634" s="1" t="s">
        <v>658</v>
      </c>
      <c r="V634" s="1" t="s">
        <v>654</v>
      </c>
      <c r="W634" s="1">
        <v>36</v>
      </c>
      <c r="X634" s="1" t="s">
        <v>76</v>
      </c>
      <c r="Y634" s="1" t="s">
        <v>644</v>
      </c>
      <c r="Z634" s="1">
        <v>0</v>
      </c>
      <c r="AA634" s="1">
        <v>0</v>
      </c>
      <c r="AB634" s="1">
        <v>0</v>
      </c>
      <c r="AC634" s="1">
        <v>1E-3</v>
      </c>
      <c r="AD634" s="1">
        <v>0</v>
      </c>
      <c r="AE634" s="1">
        <v>1E-3</v>
      </c>
      <c r="AF634" s="1">
        <v>0</v>
      </c>
      <c r="AG634" s="1">
        <v>0</v>
      </c>
      <c r="AH634" s="1">
        <v>0</v>
      </c>
      <c r="AI634" s="1">
        <v>0</v>
      </c>
      <c r="AJ634" s="1">
        <v>2E-3</v>
      </c>
      <c r="AK634" s="1">
        <v>1E-3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1E-3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1E-3</v>
      </c>
      <c r="BC634" s="1">
        <v>0</v>
      </c>
      <c r="BD634" s="1">
        <v>1E-3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1E-3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0.80600000000000005</v>
      </c>
      <c r="BW634" s="1">
        <v>0</v>
      </c>
      <c r="BX634" s="1">
        <v>0.17199999999999999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8.9999999999999993E-3</v>
      </c>
      <c r="CL634" s="1">
        <v>0</v>
      </c>
      <c r="CM634" s="1">
        <v>-2.4360919069999998</v>
      </c>
      <c r="CN634" s="83">
        <v>4.1804570840000004</v>
      </c>
    </row>
    <row r="635" spans="1:92" s="3" customFormat="1" x14ac:dyDescent="0.25">
      <c r="A635" s="72">
        <v>667</v>
      </c>
      <c r="B635" s="81" t="s">
        <v>1292</v>
      </c>
      <c r="C635" s="1" t="s">
        <v>83</v>
      </c>
      <c r="D635" s="1" t="s">
        <v>73</v>
      </c>
      <c r="E635" s="1" t="s">
        <v>99</v>
      </c>
      <c r="F635" s="1" t="s">
        <v>128</v>
      </c>
      <c r="G635" s="1" t="s">
        <v>182</v>
      </c>
      <c r="H635" s="1" t="s">
        <v>570</v>
      </c>
      <c r="I635" s="1"/>
      <c r="J635" s="9" t="s">
        <v>544</v>
      </c>
      <c r="K635" s="10">
        <v>0.43656900000000098</v>
      </c>
      <c r="L635" s="1" t="s">
        <v>641</v>
      </c>
      <c r="M635" s="1" t="s">
        <v>76</v>
      </c>
      <c r="N635" s="1" t="s">
        <v>644</v>
      </c>
      <c r="O635" s="1" t="s">
        <v>29</v>
      </c>
      <c r="P635" s="82">
        <v>0.84299999999999997</v>
      </c>
      <c r="Q635" s="1" t="s">
        <v>76</v>
      </c>
      <c r="R635" s="81" t="s">
        <v>151</v>
      </c>
      <c r="S635" s="1">
        <v>3</v>
      </c>
      <c r="T635" s="1" t="s">
        <v>78</v>
      </c>
      <c r="U635" s="1" t="s">
        <v>658</v>
      </c>
      <c r="V635" s="1" t="s">
        <v>654</v>
      </c>
      <c r="W635" s="1">
        <v>23</v>
      </c>
      <c r="X635" s="1" t="s">
        <v>304</v>
      </c>
      <c r="Y635" s="1" t="s">
        <v>644</v>
      </c>
      <c r="Z635" s="1">
        <v>0</v>
      </c>
      <c r="AA635" s="1">
        <v>1E-3</v>
      </c>
      <c r="AB635" s="1">
        <v>1E-3</v>
      </c>
      <c r="AC635" s="1">
        <v>1E-3</v>
      </c>
      <c r="AD635" s="1">
        <v>1E-3</v>
      </c>
      <c r="AE635" s="1">
        <v>2E-3</v>
      </c>
      <c r="AF635" s="1">
        <v>1E-3</v>
      </c>
      <c r="AG635" s="1">
        <v>0</v>
      </c>
      <c r="AH635" s="1">
        <v>2E-3</v>
      </c>
      <c r="AI635" s="1">
        <v>0</v>
      </c>
      <c r="AJ635" s="1">
        <v>1E-3</v>
      </c>
      <c r="AK635" s="1">
        <v>3.0000000000000001E-3</v>
      </c>
      <c r="AL635" s="1">
        <v>1E-3</v>
      </c>
      <c r="AM635" s="1">
        <v>0</v>
      </c>
      <c r="AN635" s="1">
        <v>1E-3</v>
      </c>
      <c r="AO635" s="1">
        <v>1E-3</v>
      </c>
      <c r="AP635" s="1">
        <v>0</v>
      </c>
      <c r="AQ635" s="1">
        <v>0</v>
      </c>
      <c r="AR635" s="1">
        <v>0</v>
      </c>
      <c r="AS635" s="1">
        <v>2E-3</v>
      </c>
      <c r="AT635" s="1">
        <v>1E-3</v>
      </c>
      <c r="AU635" s="1">
        <v>1E-3</v>
      </c>
      <c r="AV635" s="1">
        <v>1E-3</v>
      </c>
      <c r="AW635" s="1">
        <v>1E-3</v>
      </c>
      <c r="AX635" s="1">
        <v>0.84299999999999997</v>
      </c>
      <c r="AY635" s="1">
        <v>1E-3</v>
      </c>
      <c r="AZ635" s="1">
        <v>1E-3</v>
      </c>
      <c r="BA635" s="1">
        <v>2E-3</v>
      </c>
      <c r="BB635" s="1">
        <v>1E-3</v>
      </c>
      <c r="BC635" s="1">
        <v>0</v>
      </c>
      <c r="BD635" s="1">
        <v>2E-3</v>
      </c>
      <c r="BE635" s="1">
        <v>0</v>
      </c>
      <c r="BF635" s="1">
        <v>0</v>
      </c>
      <c r="BG635" s="1">
        <v>2E-3</v>
      </c>
      <c r="BH635" s="1">
        <v>0</v>
      </c>
      <c r="BI635" s="1">
        <v>0</v>
      </c>
      <c r="BJ635" s="1">
        <v>0</v>
      </c>
      <c r="BK635" s="1">
        <v>0</v>
      </c>
      <c r="BL635" s="1">
        <v>1E-3</v>
      </c>
      <c r="BM635" s="1">
        <v>1E-3</v>
      </c>
      <c r="BN635" s="1">
        <v>1E-3</v>
      </c>
      <c r="BO635" s="1">
        <v>1E-3</v>
      </c>
      <c r="BP635" s="1">
        <v>0</v>
      </c>
      <c r="BQ635" s="1">
        <v>2E-3</v>
      </c>
      <c r="BR635" s="1">
        <v>1E-3</v>
      </c>
      <c r="BS635" s="1">
        <v>0</v>
      </c>
      <c r="BT635" s="1">
        <v>0</v>
      </c>
      <c r="BU635" s="1">
        <v>0</v>
      </c>
      <c r="BV635" s="1">
        <v>2E-3</v>
      </c>
      <c r="BW635" s="1">
        <v>1E-3</v>
      </c>
      <c r="BX635" s="1">
        <v>1.0999999999999999E-2</v>
      </c>
      <c r="BY635" s="1">
        <v>2E-3</v>
      </c>
      <c r="BZ635" s="1">
        <v>2E-3</v>
      </c>
      <c r="CA635" s="1">
        <v>1E-3</v>
      </c>
      <c r="CB635" s="1">
        <v>0</v>
      </c>
      <c r="CC635" s="1">
        <v>1E-3</v>
      </c>
      <c r="CD635" s="1">
        <v>0</v>
      </c>
      <c r="CE635" s="1">
        <v>0</v>
      </c>
      <c r="CF635" s="1">
        <v>1E-3</v>
      </c>
      <c r="CG635" s="1">
        <v>1E-3</v>
      </c>
      <c r="CH635" s="1">
        <v>1E-3</v>
      </c>
      <c r="CI635" s="1">
        <v>1E-3</v>
      </c>
      <c r="CJ635" s="1">
        <v>2E-3</v>
      </c>
      <c r="CK635" s="1">
        <v>9.0999999999999998E-2</v>
      </c>
      <c r="CL635" s="1">
        <v>1E-3</v>
      </c>
      <c r="CM635" s="1">
        <v>-51.453458249999997</v>
      </c>
      <c r="CN635" s="83">
        <v>15.65935745</v>
      </c>
    </row>
    <row r="636" spans="1:92" s="3" customFormat="1" x14ac:dyDescent="0.25">
      <c r="A636" s="72">
        <v>668</v>
      </c>
      <c r="B636" s="81" t="s">
        <v>1670</v>
      </c>
      <c r="C636" s="1" t="s">
        <v>83</v>
      </c>
      <c r="D636" s="1" t="s">
        <v>79</v>
      </c>
      <c r="E636" s="1" t="s">
        <v>424</v>
      </c>
      <c r="F636" s="1" t="s">
        <v>128</v>
      </c>
      <c r="G636" s="1" t="s">
        <v>424</v>
      </c>
      <c r="H636" s="1" t="s">
        <v>570</v>
      </c>
      <c r="I636" s="1"/>
      <c r="J636" s="9" t="s">
        <v>544</v>
      </c>
      <c r="K636" s="10">
        <v>0.42108533333333298</v>
      </c>
      <c r="L636" s="1" t="s">
        <v>641</v>
      </c>
      <c r="M636" s="1" t="s">
        <v>76</v>
      </c>
      <c r="N636" s="1" t="s">
        <v>649</v>
      </c>
      <c r="O636" s="1" t="s">
        <v>55</v>
      </c>
      <c r="P636" s="82">
        <v>0.53700000000000003</v>
      </c>
      <c r="Q636" s="1" t="s">
        <v>76</v>
      </c>
      <c r="R636" s="81" t="s">
        <v>181</v>
      </c>
      <c r="S636" s="1" t="s">
        <v>181</v>
      </c>
      <c r="T636" s="1" t="s">
        <v>78</v>
      </c>
      <c r="U636" s="1" t="s">
        <v>658</v>
      </c>
      <c r="V636" s="1" t="s">
        <v>654</v>
      </c>
      <c r="W636" s="1" t="s">
        <v>424</v>
      </c>
      <c r="X636" s="1" t="s">
        <v>76</v>
      </c>
      <c r="Y636" s="1" t="s">
        <v>649</v>
      </c>
      <c r="Z636" s="1">
        <v>3.0000000000000001E-3</v>
      </c>
      <c r="AA636" s="1">
        <v>4.0000000000000001E-3</v>
      </c>
      <c r="AB636" s="1">
        <v>5.0000000000000001E-3</v>
      </c>
      <c r="AC636" s="1">
        <v>4.2000000000000003E-2</v>
      </c>
      <c r="AD636" s="1">
        <v>5.0000000000000001E-3</v>
      </c>
      <c r="AE636" s="1">
        <v>7.0000000000000001E-3</v>
      </c>
      <c r="AF636" s="1">
        <v>4.0000000000000001E-3</v>
      </c>
      <c r="AG636" s="1">
        <v>1E-3</v>
      </c>
      <c r="AH636" s="1">
        <v>1.7999999999999999E-2</v>
      </c>
      <c r="AI636" s="1">
        <v>2E-3</v>
      </c>
      <c r="AJ636" s="1">
        <v>5.0000000000000001E-3</v>
      </c>
      <c r="AK636" s="1">
        <v>1.4999999999999999E-2</v>
      </c>
      <c r="AL636" s="1">
        <v>1E-3</v>
      </c>
      <c r="AM636" s="1">
        <v>2E-3</v>
      </c>
      <c r="AN636" s="1">
        <v>7.0000000000000001E-3</v>
      </c>
      <c r="AO636" s="1">
        <v>7.0000000000000001E-3</v>
      </c>
      <c r="AP636" s="1">
        <v>5.0000000000000001E-3</v>
      </c>
      <c r="AQ636" s="1">
        <v>2E-3</v>
      </c>
      <c r="AR636" s="1">
        <v>2E-3</v>
      </c>
      <c r="AS636" s="1">
        <v>1.4999999999999999E-2</v>
      </c>
      <c r="AT636" s="1">
        <v>8.9999999999999993E-3</v>
      </c>
      <c r="AU636" s="1">
        <v>4.0000000000000001E-3</v>
      </c>
      <c r="AV636" s="1">
        <v>2E-3</v>
      </c>
      <c r="AW636" s="1">
        <v>8.0000000000000002E-3</v>
      </c>
      <c r="AX636" s="1">
        <v>4.0000000000000001E-3</v>
      </c>
      <c r="AY636" s="1">
        <v>6.0000000000000001E-3</v>
      </c>
      <c r="AZ636" s="1">
        <v>6.0000000000000001E-3</v>
      </c>
      <c r="BA636" s="1">
        <v>1.4E-2</v>
      </c>
      <c r="BB636" s="1">
        <v>0.01</v>
      </c>
      <c r="BC636" s="1">
        <v>2E-3</v>
      </c>
      <c r="BD636" s="1">
        <v>0.02</v>
      </c>
      <c r="BE636" s="1">
        <v>3.0000000000000001E-3</v>
      </c>
      <c r="BF636" s="1">
        <v>4.0000000000000001E-3</v>
      </c>
      <c r="BG636" s="1">
        <v>4.0000000000000001E-3</v>
      </c>
      <c r="BH636" s="1">
        <v>0.01</v>
      </c>
      <c r="BI636" s="1">
        <v>3.0000000000000001E-3</v>
      </c>
      <c r="BJ636" s="1">
        <v>1E-3</v>
      </c>
      <c r="BK636" s="1">
        <v>2E-3</v>
      </c>
      <c r="BL636" s="1">
        <v>7.0000000000000001E-3</v>
      </c>
      <c r="BM636" s="1">
        <v>3.0000000000000001E-3</v>
      </c>
      <c r="BN636" s="1">
        <v>7.0000000000000001E-3</v>
      </c>
      <c r="BO636" s="1">
        <v>4.0000000000000001E-3</v>
      </c>
      <c r="BP636" s="1">
        <v>1E-3</v>
      </c>
      <c r="BQ636" s="1">
        <v>8.0000000000000002E-3</v>
      </c>
      <c r="BR636" s="1">
        <v>4.0000000000000001E-3</v>
      </c>
      <c r="BS636" s="1">
        <v>3.0000000000000001E-3</v>
      </c>
      <c r="BT636" s="1">
        <v>2E-3</v>
      </c>
      <c r="BU636" s="1">
        <v>2E-3</v>
      </c>
      <c r="BV636" s="1">
        <v>8.0000000000000002E-3</v>
      </c>
      <c r="BW636" s="1">
        <v>4.0000000000000001E-3</v>
      </c>
      <c r="BX636" s="1">
        <v>0.53700000000000003</v>
      </c>
      <c r="BY636" s="1">
        <v>1.2E-2</v>
      </c>
      <c r="BZ636" s="1">
        <v>7.0000000000000001E-3</v>
      </c>
      <c r="CA636" s="1">
        <v>4.0000000000000001E-3</v>
      </c>
      <c r="CB636" s="1">
        <v>1E-3</v>
      </c>
      <c r="CC636" s="1">
        <v>5.0000000000000001E-3</v>
      </c>
      <c r="CD636" s="1">
        <v>0</v>
      </c>
      <c r="CE636" s="1">
        <v>3.0000000000000001E-3</v>
      </c>
      <c r="CF636" s="1">
        <v>5.0000000000000001E-3</v>
      </c>
      <c r="CG636" s="1">
        <v>1.2E-2</v>
      </c>
      <c r="CH636" s="1">
        <v>8.0000000000000002E-3</v>
      </c>
      <c r="CI636" s="1">
        <v>6.0000000000000001E-3</v>
      </c>
      <c r="CJ636" s="1">
        <v>1.7000000000000001E-2</v>
      </c>
      <c r="CK636" s="1">
        <v>5.5E-2</v>
      </c>
      <c r="CL636" s="1">
        <v>0.01</v>
      </c>
      <c r="CM636" s="1">
        <v>26.46658716</v>
      </c>
      <c r="CN636" s="83">
        <v>2.0260373509999998</v>
      </c>
    </row>
    <row r="637" spans="1:92" s="3" customFormat="1" x14ac:dyDescent="0.25">
      <c r="A637" s="72">
        <v>669</v>
      </c>
      <c r="B637" s="81" t="s">
        <v>1010</v>
      </c>
      <c r="C637" s="1" t="s">
        <v>83</v>
      </c>
      <c r="D637" s="1" t="s">
        <v>79</v>
      </c>
      <c r="E637" s="1" t="s">
        <v>99</v>
      </c>
      <c r="F637" s="1" t="s">
        <v>128</v>
      </c>
      <c r="G637" s="1" t="s">
        <v>371</v>
      </c>
      <c r="H637" s="1" t="s">
        <v>570</v>
      </c>
      <c r="I637" s="1"/>
      <c r="J637" s="9" t="s">
        <v>544</v>
      </c>
      <c r="K637" s="10">
        <v>0.39883366666666697</v>
      </c>
      <c r="L637" s="1" t="s">
        <v>641</v>
      </c>
      <c r="M637" s="1" t="s">
        <v>76</v>
      </c>
      <c r="N637" s="1" t="s">
        <v>644</v>
      </c>
      <c r="O637" s="1" t="s">
        <v>68</v>
      </c>
      <c r="P637" s="82">
        <v>0.10100000000000001</v>
      </c>
      <c r="Q637" s="1" t="s">
        <v>76</v>
      </c>
      <c r="R637" s="81" t="s">
        <v>87</v>
      </c>
      <c r="S637" s="1">
        <v>3</v>
      </c>
      <c r="T637" s="1" t="s">
        <v>78</v>
      </c>
      <c r="U637" s="1" t="s">
        <v>658</v>
      </c>
      <c r="V637" s="1" t="s">
        <v>654</v>
      </c>
      <c r="W637" s="1">
        <v>44</v>
      </c>
      <c r="X637" s="1" t="s">
        <v>372</v>
      </c>
      <c r="Y637" s="1" t="s">
        <v>644</v>
      </c>
      <c r="Z637" s="1">
        <v>4.0000000000000001E-3</v>
      </c>
      <c r="AA637" s="1">
        <v>1.4E-2</v>
      </c>
      <c r="AB637" s="1">
        <v>8.0000000000000002E-3</v>
      </c>
      <c r="AC637" s="1">
        <v>6.0999999999999999E-2</v>
      </c>
      <c r="AD637" s="1">
        <v>7.0000000000000001E-3</v>
      </c>
      <c r="AE637" s="1">
        <v>7.0000000000000001E-3</v>
      </c>
      <c r="AF637" s="1">
        <v>6.0000000000000001E-3</v>
      </c>
      <c r="AG637" s="1">
        <v>1E-3</v>
      </c>
      <c r="AH637" s="1">
        <v>0.03</v>
      </c>
      <c r="AI637" s="1">
        <v>3.0000000000000001E-3</v>
      </c>
      <c r="AJ637" s="1">
        <v>3.0000000000000001E-3</v>
      </c>
      <c r="AK637" s="1">
        <v>1.9E-2</v>
      </c>
      <c r="AL637" s="1">
        <v>3.0000000000000001E-3</v>
      </c>
      <c r="AM637" s="1">
        <v>4.0000000000000001E-3</v>
      </c>
      <c r="AN637" s="1">
        <v>6.0000000000000001E-3</v>
      </c>
      <c r="AO637" s="1">
        <v>1.2999999999999999E-2</v>
      </c>
      <c r="AP637" s="1">
        <v>2.1000000000000001E-2</v>
      </c>
      <c r="AQ637" s="1">
        <v>6.0000000000000001E-3</v>
      </c>
      <c r="AR637" s="1">
        <v>3.0000000000000001E-3</v>
      </c>
      <c r="AS637" s="1">
        <v>2.8000000000000001E-2</v>
      </c>
      <c r="AT637" s="1">
        <v>2.4E-2</v>
      </c>
      <c r="AU637" s="1">
        <v>7.0000000000000001E-3</v>
      </c>
      <c r="AV637" s="1">
        <v>5.0000000000000001E-3</v>
      </c>
      <c r="AW637" s="1">
        <v>1.7000000000000001E-2</v>
      </c>
      <c r="AX637" s="1">
        <v>8.9999999999999993E-3</v>
      </c>
      <c r="AY637" s="1">
        <v>1.9E-2</v>
      </c>
      <c r="AZ637" s="1">
        <v>1.2E-2</v>
      </c>
      <c r="BA637" s="1">
        <v>2.5000000000000001E-2</v>
      </c>
      <c r="BB637" s="1">
        <v>5.0000000000000001E-3</v>
      </c>
      <c r="BC637" s="1">
        <v>4.0000000000000001E-3</v>
      </c>
      <c r="BD637" s="1">
        <v>3.4000000000000002E-2</v>
      </c>
      <c r="BE637" s="1">
        <v>7.0000000000000001E-3</v>
      </c>
      <c r="BF637" s="1">
        <v>5.0000000000000001E-3</v>
      </c>
      <c r="BG637" s="1">
        <v>0.01</v>
      </c>
      <c r="BH637" s="1">
        <v>8.7999999999999995E-2</v>
      </c>
      <c r="BI637" s="1">
        <v>6.0000000000000001E-3</v>
      </c>
      <c r="BJ637" s="1">
        <v>2E-3</v>
      </c>
      <c r="BK637" s="1">
        <v>4.0000000000000001E-3</v>
      </c>
      <c r="BL637" s="1">
        <v>1.7999999999999999E-2</v>
      </c>
      <c r="BM637" s="1">
        <v>7.0000000000000001E-3</v>
      </c>
      <c r="BN637" s="1">
        <v>1.4E-2</v>
      </c>
      <c r="BO637" s="1">
        <v>3.0000000000000001E-3</v>
      </c>
      <c r="BP637" s="1">
        <v>2E-3</v>
      </c>
      <c r="BQ637" s="1">
        <v>1.4999999999999999E-2</v>
      </c>
      <c r="BR637" s="1">
        <v>8.0000000000000002E-3</v>
      </c>
      <c r="BS637" s="1">
        <v>4.0000000000000001E-3</v>
      </c>
      <c r="BT637" s="1">
        <v>4.0000000000000001E-3</v>
      </c>
      <c r="BU637" s="1">
        <v>3.0000000000000001E-3</v>
      </c>
      <c r="BV637" s="1">
        <v>4.0000000000000001E-3</v>
      </c>
      <c r="BW637" s="1">
        <v>8.9999999999999993E-3</v>
      </c>
      <c r="BX637" s="1">
        <v>4.5999999999999999E-2</v>
      </c>
      <c r="BY637" s="1">
        <v>4.5999999999999999E-2</v>
      </c>
      <c r="BZ637" s="1">
        <v>1.4E-2</v>
      </c>
      <c r="CA637" s="1">
        <v>1.2E-2</v>
      </c>
      <c r="CB637" s="1">
        <v>2E-3</v>
      </c>
      <c r="CC637" s="1">
        <v>8.0000000000000002E-3</v>
      </c>
      <c r="CD637" s="1">
        <v>1E-3</v>
      </c>
      <c r="CE637" s="1">
        <v>0.01</v>
      </c>
      <c r="CF637" s="1">
        <v>8.9999999999999993E-3</v>
      </c>
      <c r="CG637" s="1">
        <v>3.5000000000000003E-2</v>
      </c>
      <c r="CH637" s="1">
        <v>1.4999999999999999E-2</v>
      </c>
      <c r="CI637" s="1">
        <v>1.2999999999999999E-2</v>
      </c>
      <c r="CJ637" s="1">
        <v>4.2999999999999997E-2</v>
      </c>
      <c r="CK637" s="1">
        <v>0.10100000000000001</v>
      </c>
      <c r="CL637" s="1">
        <v>2.3E-2</v>
      </c>
      <c r="CM637" s="1">
        <v>-0.21002736</v>
      </c>
      <c r="CN637" s="83">
        <v>-44.95109841</v>
      </c>
    </row>
    <row r="638" spans="1:92" s="3" customFormat="1" x14ac:dyDescent="0.25">
      <c r="A638" s="72">
        <v>670</v>
      </c>
      <c r="B638" s="81" t="s">
        <v>1435</v>
      </c>
      <c r="C638" s="1" t="s">
        <v>83</v>
      </c>
      <c r="D638" s="1" t="s">
        <v>79</v>
      </c>
      <c r="E638" s="1" t="s">
        <v>99</v>
      </c>
      <c r="F638" s="1" t="s">
        <v>128</v>
      </c>
      <c r="G638" s="1" t="s">
        <v>303</v>
      </c>
      <c r="H638" s="1" t="s">
        <v>570</v>
      </c>
      <c r="I638" s="1"/>
      <c r="J638" s="9" t="s">
        <v>544</v>
      </c>
      <c r="K638" s="10">
        <v>0.54108416666666603</v>
      </c>
      <c r="L638" s="1" t="s">
        <v>76</v>
      </c>
      <c r="M638" s="1" t="s">
        <v>506</v>
      </c>
      <c r="N638" s="1" t="s">
        <v>645</v>
      </c>
      <c r="O638" s="1" t="s">
        <v>55</v>
      </c>
      <c r="P638" s="82">
        <v>0.97299999999999998</v>
      </c>
      <c r="Q638" s="1" t="s">
        <v>76</v>
      </c>
      <c r="R638" s="81" t="s">
        <v>243</v>
      </c>
      <c r="S638" s="1">
        <v>3</v>
      </c>
      <c r="T638" s="1" t="s">
        <v>78</v>
      </c>
      <c r="U638" s="1" t="s">
        <v>658</v>
      </c>
      <c r="V638" s="1" t="s">
        <v>654</v>
      </c>
      <c r="W638" s="1">
        <v>15</v>
      </c>
      <c r="X638" s="1" t="s">
        <v>366</v>
      </c>
      <c r="Y638" s="1" t="s">
        <v>645</v>
      </c>
      <c r="Z638" s="1">
        <v>0</v>
      </c>
      <c r="AA638" s="1">
        <v>0</v>
      </c>
      <c r="AB638" s="1">
        <v>0</v>
      </c>
      <c r="AC638" s="1">
        <v>1E-3</v>
      </c>
      <c r="AD638" s="1">
        <v>0</v>
      </c>
      <c r="AE638" s="1">
        <v>0</v>
      </c>
      <c r="AF638" s="1">
        <v>0</v>
      </c>
      <c r="AG638" s="1">
        <v>0</v>
      </c>
      <c r="AH638" s="1">
        <v>1E-3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1E-3</v>
      </c>
      <c r="AT638" s="1">
        <v>0</v>
      </c>
      <c r="AU638" s="1">
        <v>2E-3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1E-3</v>
      </c>
      <c r="BB638" s="1">
        <v>0</v>
      </c>
      <c r="BC638" s="1">
        <v>0</v>
      </c>
      <c r="BD638" s="1">
        <v>1E-3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1E-3</v>
      </c>
      <c r="BM638" s="1">
        <v>0</v>
      </c>
      <c r="BN638" s="1">
        <v>0</v>
      </c>
      <c r="BO638" s="1">
        <v>0</v>
      </c>
      <c r="BP638" s="1">
        <v>0</v>
      </c>
      <c r="BQ638" s="1">
        <v>1E-3</v>
      </c>
      <c r="BR638" s="1">
        <v>0</v>
      </c>
      <c r="BS638" s="1">
        <v>1E-3</v>
      </c>
      <c r="BT638" s="1">
        <v>0</v>
      </c>
      <c r="BU638" s="1">
        <v>0</v>
      </c>
      <c r="BV638" s="1">
        <v>0</v>
      </c>
      <c r="BW638" s="1">
        <v>0</v>
      </c>
      <c r="BX638" s="1">
        <v>0.97299999999999998</v>
      </c>
      <c r="BY638" s="1">
        <v>1E-3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6.0000000000000001E-3</v>
      </c>
      <c r="CL638" s="1">
        <v>0</v>
      </c>
      <c r="CM638" s="1">
        <v>59.106883510000003</v>
      </c>
      <c r="CN638" s="83">
        <v>-11.755931670000001</v>
      </c>
    </row>
    <row r="639" spans="1:92" s="3" customFormat="1" x14ac:dyDescent="0.25">
      <c r="A639" s="72">
        <v>671</v>
      </c>
      <c r="B639" s="81" t="s">
        <v>1409</v>
      </c>
      <c r="C639" s="1" t="s">
        <v>83</v>
      </c>
      <c r="D639" s="1" t="s">
        <v>73</v>
      </c>
      <c r="E639" s="1" t="s">
        <v>99</v>
      </c>
      <c r="F639" s="1" t="s">
        <v>128</v>
      </c>
      <c r="G639" s="1" t="s">
        <v>307</v>
      </c>
      <c r="H639" s="1" t="s">
        <v>570</v>
      </c>
      <c r="I639" s="1"/>
      <c r="J639" s="9" t="s">
        <v>544</v>
      </c>
      <c r="K639" s="10">
        <v>0.36730033333333401</v>
      </c>
      <c r="L639" s="1" t="s">
        <v>76</v>
      </c>
      <c r="M639" s="1" t="s">
        <v>506</v>
      </c>
      <c r="N639" s="1" t="s">
        <v>645</v>
      </c>
      <c r="O639" s="1" t="s">
        <v>55</v>
      </c>
      <c r="P639" s="82">
        <v>0.98499999999999999</v>
      </c>
      <c r="Q639" s="1" t="s">
        <v>76</v>
      </c>
      <c r="R639" s="81" t="s">
        <v>77</v>
      </c>
      <c r="S639" s="1">
        <v>3</v>
      </c>
      <c r="T639" s="1" t="s">
        <v>78</v>
      </c>
      <c r="U639" s="1" t="s">
        <v>658</v>
      </c>
      <c r="V639" s="1" t="s">
        <v>654</v>
      </c>
      <c r="W639" s="1">
        <v>17</v>
      </c>
      <c r="X639" s="1" t="s">
        <v>76</v>
      </c>
      <c r="Y639" s="1" t="s">
        <v>645</v>
      </c>
      <c r="Z639" s="1">
        <v>0</v>
      </c>
      <c r="AA639" s="1">
        <v>0</v>
      </c>
      <c r="AB639" s="1">
        <v>0</v>
      </c>
      <c r="AC639" s="1">
        <v>1E-3</v>
      </c>
      <c r="AD639" s="1">
        <v>0</v>
      </c>
      <c r="AE639" s="1">
        <v>0</v>
      </c>
      <c r="AF639" s="1">
        <v>0</v>
      </c>
      <c r="AG639" s="1">
        <v>0</v>
      </c>
      <c r="AH639" s="1">
        <v>1E-3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3.0000000000000001E-3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0.98499999999999999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3.0000000000000001E-3</v>
      </c>
      <c r="CL639" s="1">
        <v>0</v>
      </c>
      <c r="CM639" s="1">
        <v>17.945720720000001</v>
      </c>
      <c r="CN639" s="83">
        <v>2.6597015759999998</v>
      </c>
    </row>
    <row r="640" spans="1:92" s="3" customFormat="1" x14ac:dyDescent="0.25">
      <c r="A640" s="72">
        <v>672</v>
      </c>
      <c r="B640" s="81" t="s">
        <v>1406</v>
      </c>
      <c r="C640" s="1" t="s">
        <v>83</v>
      </c>
      <c r="D640" s="1" t="s">
        <v>73</v>
      </c>
      <c r="E640" s="1" t="s">
        <v>99</v>
      </c>
      <c r="F640" s="1" t="s">
        <v>128</v>
      </c>
      <c r="G640" s="1" t="s">
        <v>307</v>
      </c>
      <c r="H640" s="1" t="s">
        <v>570</v>
      </c>
      <c r="I640" s="1"/>
      <c r="J640" s="9" t="s">
        <v>544</v>
      </c>
      <c r="K640" s="10">
        <v>0.50471650000000001</v>
      </c>
      <c r="L640" s="1" t="s">
        <v>76</v>
      </c>
      <c r="M640" s="1" t="s">
        <v>506</v>
      </c>
      <c r="N640" s="1" t="s">
        <v>645</v>
      </c>
      <c r="O640" s="1" t="s">
        <v>55</v>
      </c>
      <c r="P640" s="82">
        <v>0.998</v>
      </c>
      <c r="Q640" s="1" t="s">
        <v>76</v>
      </c>
      <c r="R640" s="81" t="s">
        <v>77</v>
      </c>
      <c r="S640" s="1">
        <v>3</v>
      </c>
      <c r="T640" s="1" t="s">
        <v>78</v>
      </c>
      <c r="U640" s="1" t="s">
        <v>658</v>
      </c>
      <c r="V640" s="1" t="s">
        <v>654</v>
      </c>
      <c r="W640" s="1">
        <v>17</v>
      </c>
      <c r="X640" s="1" t="s">
        <v>304</v>
      </c>
      <c r="Y640" s="1" t="s">
        <v>645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0.998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20.473390040000002</v>
      </c>
      <c r="CN640" s="83">
        <v>32.346433230000002</v>
      </c>
    </row>
    <row r="641" spans="1:92" s="3" customFormat="1" x14ac:dyDescent="0.25">
      <c r="A641" s="72">
        <v>673</v>
      </c>
      <c r="B641" s="81" t="s">
        <v>1184</v>
      </c>
      <c r="C641" s="1" t="s">
        <v>83</v>
      </c>
      <c r="D641" s="1" t="s">
        <v>73</v>
      </c>
      <c r="E641" s="1" t="s">
        <v>99</v>
      </c>
      <c r="F641" s="1" t="s">
        <v>128</v>
      </c>
      <c r="G641" s="1" t="s">
        <v>303</v>
      </c>
      <c r="H641" s="1" t="s">
        <v>570</v>
      </c>
      <c r="I641" s="1"/>
      <c r="J641" s="9" t="s">
        <v>544</v>
      </c>
      <c r="K641" s="10">
        <v>0.44257533333333299</v>
      </c>
      <c r="L641" s="1" t="s">
        <v>76</v>
      </c>
      <c r="M641" s="1" t="s">
        <v>506</v>
      </c>
      <c r="N641" s="1" t="s">
        <v>645</v>
      </c>
      <c r="O641" s="1" t="s">
        <v>55</v>
      </c>
      <c r="P641" s="82">
        <v>1</v>
      </c>
      <c r="Q641" s="1" t="s">
        <v>76</v>
      </c>
      <c r="R641" s="81" t="s">
        <v>81</v>
      </c>
      <c r="S641" s="1">
        <v>3</v>
      </c>
      <c r="T641" s="1" t="s">
        <v>78</v>
      </c>
      <c r="U641" s="1" t="s">
        <v>658</v>
      </c>
      <c r="V641" s="1" t="s">
        <v>654</v>
      </c>
      <c r="W641" s="1">
        <v>18</v>
      </c>
      <c r="X641" s="1" t="s">
        <v>76</v>
      </c>
      <c r="Y641" s="1" t="s">
        <v>645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1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50.772717040000003</v>
      </c>
      <c r="CN641" s="83">
        <v>13.36576116</v>
      </c>
    </row>
    <row r="642" spans="1:92" s="3" customFormat="1" x14ac:dyDescent="0.25">
      <c r="A642" s="72">
        <v>674</v>
      </c>
      <c r="B642" s="81" t="s">
        <v>1293</v>
      </c>
      <c r="C642" s="1" t="s">
        <v>83</v>
      </c>
      <c r="D642" s="1" t="s">
        <v>73</v>
      </c>
      <c r="E642" s="1" t="s">
        <v>99</v>
      </c>
      <c r="F642" s="1" t="s">
        <v>128</v>
      </c>
      <c r="G642" s="1" t="s">
        <v>318</v>
      </c>
      <c r="H642" s="1" t="s">
        <v>570</v>
      </c>
      <c r="I642" s="1"/>
      <c r="J642" s="9" t="s">
        <v>544</v>
      </c>
      <c r="K642" s="10">
        <v>0.42211283333333299</v>
      </c>
      <c r="L642" s="1" t="s">
        <v>76</v>
      </c>
      <c r="M642" s="1" t="s">
        <v>506</v>
      </c>
      <c r="N642" s="1" t="s">
        <v>645</v>
      </c>
      <c r="O642" s="1" t="s">
        <v>55</v>
      </c>
      <c r="P642" s="82">
        <v>1</v>
      </c>
      <c r="Q642" s="1" t="s">
        <v>76</v>
      </c>
      <c r="R642" s="81" t="s">
        <v>243</v>
      </c>
      <c r="S642" s="1">
        <v>3</v>
      </c>
      <c r="T642" s="1" t="s">
        <v>78</v>
      </c>
      <c r="U642" s="1" t="s">
        <v>658</v>
      </c>
      <c r="V642" s="1" t="s">
        <v>654</v>
      </c>
      <c r="W642" s="1">
        <v>17</v>
      </c>
      <c r="X642" s="1" t="s">
        <v>304</v>
      </c>
      <c r="Y642" s="1" t="s">
        <v>645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1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25.474935210000002</v>
      </c>
      <c r="CN642" s="83">
        <v>12.90622881</v>
      </c>
    </row>
    <row r="643" spans="1:92" s="3" customFormat="1" x14ac:dyDescent="0.25">
      <c r="A643" s="72">
        <v>675</v>
      </c>
      <c r="B643" s="81" t="s">
        <v>1376</v>
      </c>
      <c r="C643" s="1" t="s">
        <v>83</v>
      </c>
      <c r="D643" s="1" t="s">
        <v>73</v>
      </c>
      <c r="E643" s="1" t="s">
        <v>99</v>
      </c>
      <c r="F643" s="1" t="s">
        <v>128</v>
      </c>
      <c r="G643" s="1" t="s">
        <v>303</v>
      </c>
      <c r="H643" s="1" t="s">
        <v>570</v>
      </c>
      <c r="I643" s="1"/>
      <c r="J643" s="9" t="s">
        <v>544</v>
      </c>
      <c r="K643" s="10">
        <v>0.55743883333333399</v>
      </c>
      <c r="L643" s="1" t="s">
        <v>76</v>
      </c>
      <c r="M643" s="1" t="s">
        <v>506</v>
      </c>
      <c r="N643" s="1" t="s">
        <v>645</v>
      </c>
      <c r="O643" s="1" t="s">
        <v>55</v>
      </c>
      <c r="P643" s="82">
        <v>0.98599999999999999</v>
      </c>
      <c r="Q643" s="1" t="s">
        <v>76</v>
      </c>
      <c r="R643" s="81" t="s">
        <v>77</v>
      </c>
      <c r="S643" s="1">
        <v>3</v>
      </c>
      <c r="T643" s="1" t="s">
        <v>78</v>
      </c>
      <c r="U643" s="1" t="s">
        <v>658</v>
      </c>
      <c r="V643" s="1" t="s">
        <v>654</v>
      </c>
      <c r="W643" s="1">
        <v>9</v>
      </c>
      <c r="X643" s="1" t="s">
        <v>76</v>
      </c>
      <c r="Y643" s="1" t="s">
        <v>645</v>
      </c>
      <c r="Z643" s="1">
        <v>0</v>
      </c>
      <c r="AA643" s="1">
        <v>0</v>
      </c>
      <c r="AB643" s="1">
        <v>0</v>
      </c>
      <c r="AC643" s="1">
        <v>1E-3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1E-3</v>
      </c>
      <c r="BC643" s="1">
        <v>0</v>
      </c>
      <c r="BD643" s="1">
        <v>1E-3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0.98599999999999999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2E-3</v>
      </c>
      <c r="CL643" s="1">
        <v>0</v>
      </c>
      <c r="CM643" s="1">
        <v>69.908485479999996</v>
      </c>
      <c r="CN643" s="83">
        <v>25.006803649999998</v>
      </c>
    </row>
    <row r="644" spans="1:92" s="3" customFormat="1" x14ac:dyDescent="0.25">
      <c r="A644" s="72">
        <v>676</v>
      </c>
      <c r="B644" s="81" t="s">
        <v>1008</v>
      </c>
      <c r="C644" s="1" t="s">
        <v>83</v>
      </c>
      <c r="D644" s="1" t="s">
        <v>79</v>
      </c>
      <c r="E644" s="1" t="s">
        <v>99</v>
      </c>
      <c r="F644" s="1" t="s">
        <v>128</v>
      </c>
      <c r="G644" s="1" t="s">
        <v>1705</v>
      </c>
      <c r="H644" s="1" t="s">
        <v>570</v>
      </c>
      <c r="I644" s="1"/>
      <c r="J644" s="9" t="s">
        <v>544</v>
      </c>
      <c r="K644" s="10">
        <v>0.43145883333333301</v>
      </c>
      <c r="L644" s="1" t="s">
        <v>76</v>
      </c>
      <c r="M644" s="1" t="s">
        <v>506</v>
      </c>
      <c r="N644" s="1" t="s">
        <v>645</v>
      </c>
      <c r="O644" s="1" t="s">
        <v>55</v>
      </c>
      <c r="P644" s="82">
        <v>1</v>
      </c>
      <c r="Q644" s="1" t="s">
        <v>76</v>
      </c>
      <c r="R644" s="81" t="s">
        <v>77</v>
      </c>
      <c r="S644" s="1">
        <v>3</v>
      </c>
      <c r="T644" s="1" t="s">
        <v>78</v>
      </c>
      <c r="U644" s="1" t="s">
        <v>658</v>
      </c>
      <c r="V644" s="1" t="s">
        <v>654</v>
      </c>
      <c r="W644" s="1">
        <v>14</v>
      </c>
      <c r="X644" s="1" t="s">
        <v>304</v>
      </c>
      <c r="Y644" s="1" t="s">
        <v>645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1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48.574633740000003</v>
      </c>
      <c r="CN644" s="83">
        <v>11.30511621</v>
      </c>
    </row>
    <row r="645" spans="1:92" s="3" customFormat="1" x14ac:dyDescent="0.25">
      <c r="A645" s="72">
        <v>677</v>
      </c>
      <c r="B645" s="81" t="s">
        <v>1498</v>
      </c>
      <c r="C645" s="1" t="s">
        <v>83</v>
      </c>
      <c r="D645" s="1" t="s">
        <v>79</v>
      </c>
      <c r="E645" s="1" t="s">
        <v>74</v>
      </c>
      <c r="F645" s="1" t="s">
        <v>128</v>
      </c>
      <c r="G645" s="1" t="s">
        <v>1705</v>
      </c>
      <c r="H645" s="1" t="s">
        <v>570</v>
      </c>
      <c r="I645" s="1"/>
      <c r="J645" s="9" t="s">
        <v>544</v>
      </c>
      <c r="K645" s="10">
        <v>0.54310966666666705</v>
      </c>
      <c r="L645" s="1" t="s">
        <v>76</v>
      </c>
      <c r="M645" s="1" t="s">
        <v>506</v>
      </c>
      <c r="N645" s="1" t="s">
        <v>645</v>
      </c>
      <c r="O645" s="1" t="s">
        <v>55</v>
      </c>
      <c r="P645" s="82">
        <v>0.997</v>
      </c>
      <c r="Q645" s="1" t="s">
        <v>76</v>
      </c>
      <c r="R645" s="81" t="s">
        <v>87</v>
      </c>
      <c r="S645" s="1">
        <v>3</v>
      </c>
      <c r="T645" s="1" t="s">
        <v>78</v>
      </c>
      <c r="U645" s="1" t="s">
        <v>658</v>
      </c>
      <c r="V645" s="1" t="s">
        <v>654</v>
      </c>
      <c r="W645" s="1">
        <v>9</v>
      </c>
      <c r="X645" s="1" t="s">
        <v>304</v>
      </c>
      <c r="Y645" s="1" t="s">
        <v>645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0.997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67.09852918</v>
      </c>
      <c r="CN645" s="83">
        <v>22.6266845</v>
      </c>
    </row>
    <row r="646" spans="1:92" s="3" customFormat="1" x14ac:dyDescent="0.25">
      <c r="A646" s="72">
        <v>678</v>
      </c>
      <c r="B646" s="81" t="s">
        <v>1212</v>
      </c>
      <c r="C646" s="1" t="s">
        <v>83</v>
      </c>
      <c r="D646" s="1" t="s">
        <v>79</v>
      </c>
      <c r="E646" s="1" t="s">
        <v>99</v>
      </c>
      <c r="F646" s="1" t="s">
        <v>128</v>
      </c>
      <c r="G646" s="1" t="s">
        <v>320</v>
      </c>
      <c r="H646" s="1" t="s">
        <v>570</v>
      </c>
      <c r="I646" s="1"/>
      <c r="J646" s="9" t="s">
        <v>544</v>
      </c>
      <c r="K646" s="10">
        <v>0.37712000000000001</v>
      </c>
      <c r="L646" s="1" t="s">
        <v>76</v>
      </c>
      <c r="M646" s="1" t="s">
        <v>506</v>
      </c>
      <c r="N646" s="1" t="s">
        <v>645</v>
      </c>
      <c r="O646" s="1" t="s">
        <v>55</v>
      </c>
      <c r="P646" s="82">
        <v>1</v>
      </c>
      <c r="Q646" s="1" t="s">
        <v>76</v>
      </c>
      <c r="R646" s="81" t="s">
        <v>87</v>
      </c>
      <c r="S646" s="1">
        <v>3</v>
      </c>
      <c r="T646" s="1" t="s">
        <v>78</v>
      </c>
      <c r="U646" s="1" t="s">
        <v>658</v>
      </c>
      <c r="V646" s="1" t="s">
        <v>654</v>
      </c>
      <c r="W646" s="1">
        <v>13</v>
      </c>
      <c r="X646" s="1" t="s">
        <v>76</v>
      </c>
      <c r="Y646" s="1" t="s">
        <v>645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1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28.233558510000002</v>
      </c>
      <c r="CN646" s="83">
        <v>2.0988610329999999</v>
      </c>
    </row>
    <row r="647" spans="1:92" s="3" customFormat="1" x14ac:dyDescent="0.25">
      <c r="A647" s="72">
        <v>679</v>
      </c>
      <c r="B647" s="81" t="s">
        <v>1157</v>
      </c>
      <c r="C647" s="1" t="s">
        <v>83</v>
      </c>
      <c r="D647" s="1" t="s">
        <v>73</v>
      </c>
      <c r="E647" s="1" t="s">
        <v>74</v>
      </c>
      <c r="F647" s="1" t="s">
        <v>128</v>
      </c>
      <c r="G647" s="1" t="s">
        <v>303</v>
      </c>
      <c r="H647" s="1" t="s">
        <v>570</v>
      </c>
      <c r="I647" s="1"/>
      <c r="J647" s="9" t="s">
        <v>544</v>
      </c>
      <c r="K647" s="10">
        <v>0.54312116666666599</v>
      </c>
      <c r="L647" s="1" t="s">
        <v>76</v>
      </c>
      <c r="M647" s="1" t="s">
        <v>506</v>
      </c>
      <c r="N647" s="1" t="s">
        <v>645</v>
      </c>
      <c r="O647" s="1" t="s">
        <v>55</v>
      </c>
      <c r="P647" s="82">
        <v>1</v>
      </c>
      <c r="Q647" s="1" t="s">
        <v>76</v>
      </c>
      <c r="R647" s="81" t="s">
        <v>77</v>
      </c>
      <c r="S647" s="1">
        <v>3</v>
      </c>
      <c r="T647" s="1" t="s">
        <v>78</v>
      </c>
      <c r="U647" s="1" t="s">
        <v>658</v>
      </c>
      <c r="V647" s="1" t="s">
        <v>654</v>
      </c>
      <c r="W647" s="1">
        <v>14</v>
      </c>
      <c r="X647" s="1" t="s">
        <v>304</v>
      </c>
      <c r="Y647" s="1" t="s">
        <v>645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1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26.560035620000001</v>
      </c>
      <c r="CN647" s="83">
        <v>29.917875380000002</v>
      </c>
    </row>
    <row r="648" spans="1:92" s="3" customFormat="1" x14ac:dyDescent="0.25">
      <c r="A648" s="72">
        <v>680</v>
      </c>
      <c r="B648" s="81" t="s">
        <v>1060</v>
      </c>
      <c r="C648" s="1" t="s">
        <v>83</v>
      </c>
      <c r="D648" s="1" t="s">
        <v>73</v>
      </c>
      <c r="E648" s="1" t="s">
        <v>99</v>
      </c>
      <c r="F648" s="1" t="s">
        <v>128</v>
      </c>
      <c r="G648" s="1" t="s">
        <v>318</v>
      </c>
      <c r="H648" s="1" t="s">
        <v>570</v>
      </c>
      <c r="I648" s="1"/>
      <c r="J648" s="9" t="s">
        <v>544</v>
      </c>
      <c r="K648" s="10">
        <v>0.397860833333333</v>
      </c>
      <c r="L648" s="1" t="s">
        <v>76</v>
      </c>
      <c r="M648" s="1" t="s">
        <v>506</v>
      </c>
      <c r="N648" s="1" t="s">
        <v>645</v>
      </c>
      <c r="O648" s="1" t="s">
        <v>55</v>
      </c>
      <c r="P648" s="82">
        <v>0.999</v>
      </c>
      <c r="Q648" s="1" t="s">
        <v>76</v>
      </c>
      <c r="R648" s="81" t="s">
        <v>87</v>
      </c>
      <c r="S648" s="1">
        <v>3</v>
      </c>
      <c r="T648" s="1" t="s">
        <v>78</v>
      </c>
      <c r="U648" s="1" t="s">
        <v>658</v>
      </c>
      <c r="V648" s="1" t="s">
        <v>654</v>
      </c>
      <c r="W648" s="1">
        <v>19</v>
      </c>
      <c r="X648" s="1" t="s">
        <v>76</v>
      </c>
      <c r="Y648" s="1" t="s">
        <v>645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0.999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31.274172119999999</v>
      </c>
      <c r="CN648" s="83">
        <v>7.8364267539999997</v>
      </c>
    </row>
    <row r="649" spans="1:92" s="3" customFormat="1" x14ac:dyDescent="0.25">
      <c r="A649" s="72">
        <v>681</v>
      </c>
      <c r="B649" s="81" t="s">
        <v>1392</v>
      </c>
      <c r="C649" s="1" t="s">
        <v>83</v>
      </c>
      <c r="D649" s="1" t="s">
        <v>73</v>
      </c>
      <c r="E649" s="1" t="s">
        <v>74</v>
      </c>
      <c r="F649" s="1" t="s">
        <v>128</v>
      </c>
      <c r="G649" s="1" t="s">
        <v>303</v>
      </c>
      <c r="H649" s="1" t="s">
        <v>570</v>
      </c>
      <c r="I649" s="1"/>
      <c r="J649" s="9" t="s">
        <v>544</v>
      </c>
      <c r="K649" s="10">
        <v>0.51492133333333301</v>
      </c>
      <c r="L649" s="1" t="s">
        <v>641</v>
      </c>
      <c r="M649" s="1" t="s">
        <v>76</v>
      </c>
      <c r="N649" s="1" t="s">
        <v>649</v>
      </c>
      <c r="O649" s="1" t="s">
        <v>55</v>
      </c>
      <c r="P649" s="82">
        <v>0.55800000000000005</v>
      </c>
      <c r="Q649" s="1" t="s">
        <v>76</v>
      </c>
      <c r="R649" s="81" t="s">
        <v>87</v>
      </c>
      <c r="S649" s="1">
        <v>3</v>
      </c>
      <c r="T649" s="1" t="s">
        <v>78</v>
      </c>
      <c r="U649" s="1" t="s">
        <v>658</v>
      </c>
      <c r="V649" s="1" t="s">
        <v>654</v>
      </c>
      <c r="W649" s="1">
        <v>12</v>
      </c>
      <c r="X649" s="1" t="s">
        <v>76</v>
      </c>
      <c r="Y649" s="1" t="s">
        <v>649</v>
      </c>
      <c r="Z649" s="1">
        <v>2E-3</v>
      </c>
      <c r="AA649" s="1">
        <v>4.0000000000000001E-3</v>
      </c>
      <c r="AB649" s="1">
        <v>2E-3</v>
      </c>
      <c r="AC649" s="1">
        <v>1.9E-2</v>
      </c>
      <c r="AD649" s="1">
        <v>4.0000000000000001E-3</v>
      </c>
      <c r="AE649" s="1">
        <v>2E-3</v>
      </c>
      <c r="AF649" s="1">
        <v>3.0000000000000001E-3</v>
      </c>
      <c r="AG649" s="1">
        <v>0</v>
      </c>
      <c r="AH649" s="1">
        <v>6.0000000000000001E-3</v>
      </c>
      <c r="AI649" s="1">
        <v>1E-3</v>
      </c>
      <c r="AJ649" s="1">
        <v>2E-3</v>
      </c>
      <c r="AK649" s="1">
        <v>6.0000000000000001E-3</v>
      </c>
      <c r="AL649" s="1">
        <v>2E-3</v>
      </c>
      <c r="AM649" s="1">
        <v>2E-3</v>
      </c>
      <c r="AN649" s="1">
        <v>3.0000000000000001E-3</v>
      </c>
      <c r="AO649" s="1">
        <v>3.0000000000000001E-3</v>
      </c>
      <c r="AP649" s="1">
        <v>2E-3</v>
      </c>
      <c r="AQ649" s="1">
        <v>2E-3</v>
      </c>
      <c r="AR649" s="1">
        <v>3.0000000000000001E-3</v>
      </c>
      <c r="AS649" s="1">
        <v>8.0000000000000002E-3</v>
      </c>
      <c r="AT649" s="1">
        <v>4.0000000000000001E-3</v>
      </c>
      <c r="AU649" s="1">
        <v>4.0000000000000001E-3</v>
      </c>
      <c r="AV649" s="1">
        <v>2E-3</v>
      </c>
      <c r="AW649" s="1">
        <v>3.0000000000000001E-3</v>
      </c>
      <c r="AX649" s="1">
        <v>5.0000000000000001E-3</v>
      </c>
      <c r="AY649" s="1">
        <v>3.0000000000000001E-3</v>
      </c>
      <c r="AZ649" s="1">
        <v>5.0000000000000001E-3</v>
      </c>
      <c r="BA649" s="1">
        <v>8.0000000000000002E-3</v>
      </c>
      <c r="BB649" s="1">
        <v>4.0000000000000001E-3</v>
      </c>
      <c r="BC649" s="1">
        <v>2E-3</v>
      </c>
      <c r="BD649" s="1">
        <v>1.0999999999999999E-2</v>
      </c>
      <c r="BE649" s="1">
        <v>3.0000000000000001E-3</v>
      </c>
      <c r="BF649" s="1">
        <v>1E-3</v>
      </c>
      <c r="BG649" s="1">
        <v>2E-3</v>
      </c>
      <c r="BH649" s="1">
        <v>2E-3</v>
      </c>
      <c r="BI649" s="1">
        <v>1E-3</v>
      </c>
      <c r="BJ649" s="1">
        <v>1E-3</v>
      </c>
      <c r="BK649" s="1">
        <v>1E-3</v>
      </c>
      <c r="BL649" s="1">
        <v>2.3E-2</v>
      </c>
      <c r="BM649" s="1">
        <v>2E-3</v>
      </c>
      <c r="BN649" s="1">
        <v>5.0000000000000001E-3</v>
      </c>
      <c r="BO649" s="1">
        <v>2E-3</v>
      </c>
      <c r="BP649" s="1">
        <v>1E-3</v>
      </c>
      <c r="BQ649" s="1">
        <v>7.0000000000000001E-3</v>
      </c>
      <c r="BR649" s="1">
        <v>3.0000000000000001E-3</v>
      </c>
      <c r="BS649" s="1">
        <v>5.0000000000000001E-3</v>
      </c>
      <c r="BT649" s="1">
        <v>1E-3</v>
      </c>
      <c r="BU649" s="1">
        <v>1E-3</v>
      </c>
      <c r="BV649" s="1">
        <v>2E-3</v>
      </c>
      <c r="BW649" s="1">
        <v>3.0000000000000001E-3</v>
      </c>
      <c r="BX649" s="1">
        <v>0.55800000000000005</v>
      </c>
      <c r="BY649" s="1">
        <v>8.0000000000000002E-3</v>
      </c>
      <c r="BZ649" s="1">
        <v>1.2E-2</v>
      </c>
      <c r="CA649" s="1">
        <v>4.0000000000000001E-3</v>
      </c>
      <c r="CB649" s="1">
        <v>2E-3</v>
      </c>
      <c r="CC649" s="1">
        <v>6.0000000000000001E-3</v>
      </c>
      <c r="CD649" s="1">
        <v>0</v>
      </c>
      <c r="CE649" s="1">
        <v>3.0000000000000001E-3</v>
      </c>
      <c r="CF649" s="1">
        <v>2E-3</v>
      </c>
      <c r="CG649" s="1">
        <v>4.0000000000000001E-3</v>
      </c>
      <c r="CH649" s="1">
        <v>4.0000000000000001E-3</v>
      </c>
      <c r="CI649" s="1">
        <v>4.0000000000000001E-3</v>
      </c>
      <c r="CJ649" s="1">
        <v>7.0000000000000001E-3</v>
      </c>
      <c r="CK649" s="1">
        <v>0.183</v>
      </c>
      <c r="CL649" s="1">
        <v>8.0000000000000002E-3</v>
      </c>
      <c r="CM649" s="1">
        <v>67.250087550000003</v>
      </c>
      <c r="CN649" s="83">
        <v>0.25989032299999998</v>
      </c>
    </row>
    <row r="650" spans="1:92" s="3" customFormat="1" x14ac:dyDescent="0.25">
      <c r="A650" s="72">
        <v>511</v>
      </c>
      <c r="B650" s="81" t="s">
        <v>1623</v>
      </c>
      <c r="C650" s="1" t="s">
        <v>83</v>
      </c>
      <c r="D650" s="1" t="s">
        <v>73</v>
      </c>
      <c r="E650" s="1" t="s">
        <v>99</v>
      </c>
      <c r="F650" s="1" t="s">
        <v>128</v>
      </c>
      <c r="G650" s="1" t="s">
        <v>310</v>
      </c>
      <c r="H650" s="1" t="s">
        <v>570</v>
      </c>
      <c r="I650" s="1"/>
      <c r="J650" s="9" t="s">
        <v>544</v>
      </c>
      <c r="K650" s="10">
        <v>0.42540866666666699</v>
      </c>
      <c r="L650" s="1" t="s">
        <v>1721</v>
      </c>
      <c r="M650" s="1" t="s">
        <v>506</v>
      </c>
      <c r="N650" s="96" t="s">
        <v>647</v>
      </c>
      <c r="O650" s="1" t="s">
        <v>22</v>
      </c>
      <c r="P650" s="82">
        <v>0.98399999999999999</v>
      </c>
      <c r="Q650" s="1" t="s">
        <v>76</v>
      </c>
      <c r="R650" s="81" t="s">
        <v>87</v>
      </c>
      <c r="S650" s="1">
        <v>3</v>
      </c>
      <c r="T650" s="1" t="s">
        <v>78</v>
      </c>
      <c r="U650" s="1" t="s">
        <v>658</v>
      </c>
      <c r="V650" s="1" t="s">
        <v>655</v>
      </c>
      <c r="W650" s="1">
        <v>21</v>
      </c>
      <c r="X650" s="1" t="s">
        <v>76</v>
      </c>
      <c r="Y650" s="1" t="s">
        <v>647</v>
      </c>
      <c r="Z650" s="1">
        <v>0</v>
      </c>
      <c r="AA650" s="1">
        <v>0</v>
      </c>
      <c r="AB650" s="1">
        <v>0</v>
      </c>
      <c r="AC650" s="1">
        <v>2E-3</v>
      </c>
      <c r="AD650" s="1">
        <v>1E-3</v>
      </c>
      <c r="AE650" s="1">
        <v>0</v>
      </c>
      <c r="AF650" s="1">
        <v>0</v>
      </c>
      <c r="AG650" s="1">
        <v>0</v>
      </c>
      <c r="AH650" s="1">
        <v>1E-3</v>
      </c>
      <c r="AI650" s="1">
        <v>0</v>
      </c>
      <c r="AJ650" s="1">
        <v>0</v>
      </c>
      <c r="AK650" s="1">
        <v>1E-3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0.98399999999999999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1E-3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1E-3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2E-3</v>
      </c>
      <c r="BZ650" s="1">
        <v>1E-3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1E-3</v>
      </c>
      <c r="CM650" s="1">
        <v>-85.426857620000007</v>
      </c>
      <c r="CN650" s="83">
        <v>-24.865822470000001</v>
      </c>
    </row>
    <row r="651" spans="1:92" s="3" customFormat="1" hidden="1" x14ac:dyDescent="0.25">
      <c r="A651" s="72">
        <v>683</v>
      </c>
      <c r="B651" s="81" t="s">
        <v>1088</v>
      </c>
      <c r="C651" s="1" t="s">
        <v>83</v>
      </c>
      <c r="D651" s="1" t="s">
        <v>301</v>
      </c>
      <c r="E651" s="1" t="s">
        <v>76</v>
      </c>
      <c r="F651" s="1" t="s">
        <v>301</v>
      </c>
      <c r="G651" s="1" t="s">
        <v>76</v>
      </c>
      <c r="H651" s="1" t="s">
        <v>537</v>
      </c>
      <c r="I651" s="1"/>
      <c r="J651" s="9" t="s">
        <v>544</v>
      </c>
      <c r="K651" s="10">
        <v>0.32034133333333398</v>
      </c>
      <c r="L651" s="1" t="s">
        <v>76</v>
      </c>
      <c r="M651" s="1" t="s">
        <v>506</v>
      </c>
      <c r="N651" s="1" t="s">
        <v>645</v>
      </c>
      <c r="O651" s="1" t="s">
        <v>21</v>
      </c>
      <c r="P651" s="82">
        <v>0.98899999999999999</v>
      </c>
      <c r="Q651" s="1" t="s">
        <v>76</v>
      </c>
      <c r="R651" s="81" t="s">
        <v>269</v>
      </c>
      <c r="S651" s="1" t="s">
        <v>76</v>
      </c>
      <c r="T651" s="1" t="s">
        <v>269</v>
      </c>
      <c r="U651" s="1" t="s">
        <v>76</v>
      </c>
      <c r="V651" s="1" t="s">
        <v>656</v>
      </c>
      <c r="W651" s="1" t="s">
        <v>269</v>
      </c>
      <c r="X651" s="1" t="s">
        <v>76</v>
      </c>
      <c r="Y651" s="1" t="s">
        <v>645</v>
      </c>
      <c r="Z651" s="1">
        <v>0</v>
      </c>
      <c r="AA651" s="1">
        <v>0</v>
      </c>
      <c r="AB651" s="1">
        <v>0</v>
      </c>
      <c r="AC651" s="1">
        <v>1E-3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0.98899999999999999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1E-3</v>
      </c>
      <c r="BE651" s="1">
        <v>0</v>
      </c>
      <c r="BF651" s="1">
        <v>0</v>
      </c>
      <c r="BG651" s="1">
        <v>0</v>
      </c>
      <c r="BH651" s="1">
        <v>1E-3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1E-3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1E-3</v>
      </c>
      <c r="CL651" s="1">
        <v>0</v>
      </c>
      <c r="CM651" s="1">
        <v>-63.022682289999999</v>
      </c>
      <c r="CN651" s="83">
        <v>-78.015343040000005</v>
      </c>
    </row>
    <row r="652" spans="1:92" s="3" customFormat="1" x14ac:dyDescent="0.25">
      <c r="A652" s="72">
        <v>684</v>
      </c>
      <c r="B652" s="81" t="s">
        <v>894</v>
      </c>
      <c r="C652" s="1" t="s">
        <v>83</v>
      </c>
      <c r="D652" s="1" t="s">
        <v>79</v>
      </c>
      <c r="E652" s="1" t="s">
        <v>74</v>
      </c>
      <c r="F652" s="1" t="s">
        <v>128</v>
      </c>
      <c r="G652" s="1" t="s">
        <v>219</v>
      </c>
      <c r="H652" s="1" t="s">
        <v>570</v>
      </c>
      <c r="I652" s="1"/>
      <c r="J652" s="9" t="s">
        <v>544</v>
      </c>
      <c r="K652" s="10">
        <v>0.54581299999999999</v>
      </c>
      <c r="L652" s="1" t="s">
        <v>641</v>
      </c>
      <c r="M652" s="1" t="s">
        <v>76</v>
      </c>
      <c r="N652" s="1" t="s">
        <v>649</v>
      </c>
      <c r="O652" s="1" t="s">
        <v>55</v>
      </c>
      <c r="P652" s="82">
        <v>0.224</v>
      </c>
      <c r="Q652" s="1" t="s">
        <v>76</v>
      </c>
      <c r="R652" s="81" t="s">
        <v>87</v>
      </c>
      <c r="S652" s="1">
        <v>3</v>
      </c>
      <c r="T652" s="1" t="s">
        <v>78</v>
      </c>
      <c r="U652" s="1" t="s">
        <v>658</v>
      </c>
      <c r="V652" s="1" t="s">
        <v>654</v>
      </c>
      <c r="W652" s="1">
        <v>12</v>
      </c>
      <c r="X652" s="1" t="s">
        <v>76</v>
      </c>
      <c r="Y652" s="1" t="s">
        <v>649</v>
      </c>
      <c r="Z652" s="1">
        <v>2E-3</v>
      </c>
      <c r="AA652" s="1">
        <v>0.01</v>
      </c>
      <c r="AB652" s="1">
        <v>6.0000000000000001E-3</v>
      </c>
      <c r="AC652" s="1">
        <v>5.3999999999999999E-2</v>
      </c>
      <c r="AD652" s="1">
        <v>6.0000000000000001E-3</v>
      </c>
      <c r="AE652" s="1">
        <v>5.0000000000000001E-3</v>
      </c>
      <c r="AF652" s="1">
        <v>6.0000000000000001E-3</v>
      </c>
      <c r="AG652" s="1">
        <v>1E-3</v>
      </c>
      <c r="AH652" s="1">
        <v>2.1000000000000001E-2</v>
      </c>
      <c r="AI652" s="1">
        <v>2E-3</v>
      </c>
      <c r="AJ652" s="1">
        <v>3.0000000000000001E-3</v>
      </c>
      <c r="AK652" s="1">
        <v>2.1999999999999999E-2</v>
      </c>
      <c r="AL652" s="1">
        <v>3.0000000000000001E-3</v>
      </c>
      <c r="AM652" s="1">
        <v>3.0000000000000001E-3</v>
      </c>
      <c r="AN652" s="1">
        <v>4.0000000000000001E-3</v>
      </c>
      <c r="AO652" s="1">
        <v>1.7999999999999999E-2</v>
      </c>
      <c r="AP652" s="1">
        <v>6.0000000000000001E-3</v>
      </c>
      <c r="AQ652" s="1">
        <v>4.0000000000000001E-3</v>
      </c>
      <c r="AR652" s="1">
        <v>3.0000000000000001E-3</v>
      </c>
      <c r="AS652" s="1">
        <v>3.5000000000000003E-2</v>
      </c>
      <c r="AT652" s="1">
        <v>2.5000000000000001E-2</v>
      </c>
      <c r="AU652" s="1">
        <v>7.0000000000000001E-3</v>
      </c>
      <c r="AV652" s="1">
        <v>6.0000000000000001E-3</v>
      </c>
      <c r="AW652" s="1">
        <v>1.2999999999999999E-2</v>
      </c>
      <c r="AX652" s="1">
        <v>1.6E-2</v>
      </c>
      <c r="AY652" s="1">
        <v>1.2E-2</v>
      </c>
      <c r="AZ652" s="1">
        <v>1.0999999999999999E-2</v>
      </c>
      <c r="BA652" s="1">
        <v>2.4E-2</v>
      </c>
      <c r="BB652" s="1">
        <v>7.0000000000000001E-3</v>
      </c>
      <c r="BC652" s="1">
        <v>4.0000000000000001E-3</v>
      </c>
      <c r="BD652" s="1">
        <v>3.7999999999999999E-2</v>
      </c>
      <c r="BE652" s="1">
        <v>5.0000000000000001E-3</v>
      </c>
      <c r="BF652" s="1">
        <v>3.0000000000000001E-3</v>
      </c>
      <c r="BG652" s="1">
        <v>1.0999999999999999E-2</v>
      </c>
      <c r="BH652" s="1">
        <v>6.0000000000000001E-3</v>
      </c>
      <c r="BI652" s="1">
        <v>6.0000000000000001E-3</v>
      </c>
      <c r="BJ652" s="1">
        <v>2E-3</v>
      </c>
      <c r="BK652" s="1">
        <v>4.0000000000000001E-3</v>
      </c>
      <c r="BL652" s="1">
        <v>2.3E-2</v>
      </c>
      <c r="BM652" s="1">
        <v>6.0000000000000001E-3</v>
      </c>
      <c r="BN652" s="1">
        <v>1.4999999999999999E-2</v>
      </c>
      <c r="BO652" s="1">
        <v>3.0000000000000001E-3</v>
      </c>
      <c r="BP652" s="1">
        <v>2E-3</v>
      </c>
      <c r="BQ652" s="1">
        <v>1.7999999999999999E-2</v>
      </c>
      <c r="BR652" s="1">
        <v>6.0000000000000001E-3</v>
      </c>
      <c r="BS652" s="1">
        <v>3.0000000000000001E-3</v>
      </c>
      <c r="BT652" s="1">
        <v>3.0000000000000001E-3</v>
      </c>
      <c r="BU652" s="1">
        <v>2E-3</v>
      </c>
      <c r="BV652" s="1">
        <v>8.0000000000000002E-3</v>
      </c>
      <c r="BW652" s="1">
        <v>8.0000000000000002E-3</v>
      </c>
      <c r="BX652" s="1">
        <v>0.224</v>
      </c>
      <c r="BY652" s="1">
        <v>0.03</v>
      </c>
      <c r="BZ652" s="1">
        <v>1.6E-2</v>
      </c>
      <c r="CA652" s="1">
        <v>0.01</v>
      </c>
      <c r="CB652" s="1">
        <v>2E-3</v>
      </c>
      <c r="CC652" s="1">
        <v>1.0999999999999999E-2</v>
      </c>
      <c r="CD652" s="1">
        <v>1E-3</v>
      </c>
      <c r="CE652" s="1">
        <v>1.0999999999999999E-2</v>
      </c>
      <c r="CF652" s="1">
        <v>7.0000000000000001E-3</v>
      </c>
      <c r="CG652" s="1">
        <v>1.4E-2</v>
      </c>
      <c r="CH652" s="1">
        <v>1.9E-2</v>
      </c>
      <c r="CI652" s="1">
        <v>1.4999999999999999E-2</v>
      </c>
      <c r="CJ652" s="1">
        <v>3.1E-2</v>
      </c>
      <c r="CK652" s="1">
        <v>7.8E-2</v>
      </c>
      <c r="CL652" s="1">
        <v>1.4999999999999999E-2</v>
      </c>
      <c r="CM652" s="1">
        <v>66.302697339999995</v>
      </c>
      <c r="CN652" s="83">
        <v>-1.2808791859999999</v>
      </c>
    </row>
    <row r="653" spans="1:92" s="3" customFormat="1" x14ac:dyDescent="0.25">
      <c r="A653" s="72">
        <v>685</v>
      </c>
      <c r="B653" s="81" t="s">
        <v>1512</v>
      </c>
      <c r="C653" s="1" t="s">
        <v>83</v>
      </c>
      <c r="D653" s="1" t="s">
        <v>79</v>
      </c>
      <c r="E653" s="1" t="s">
        <v>99</v>
      </c>
      <c r="F653" s="1" t="s">
        <v>128</v>
      </c>
      <c r="G653" s="1" t="s">
        <v>303</v>
      </c>
      <c r="H653" s="1" t="s">
        <v>570</v>
      </c>
      <c r="I653" s="1"/>
      <c r="J653" s="9" t="s">
        <v>544</v>
      </c>
      <c r="K653" s="10">
        <v>0.3897505</v>
      </c>
      <c r="L653" s="1" t="s">
        <v>76</v>
      </c>
      <c r="M653" s="1" t="s">
        <v>506</v>
      </c>
      <c r="N653" s="1" t="s">
        <v>645</v>
      </c>
      <c r="O653" s="1" t="s">
        <v>55</v>
      </c>
      <c r="P653" s="82">
        <v>0.999</v>
      </c>
      <c r="Q653" s="1" t="s">
        <v>76</v>
      </c>
      <c r="R653" s="81" t="s">
        <v>87</v>
      </c>
      <c r="S653" s="1">
        <v>3</v>
      </c>
      <c r="T653" s="1" t="s">
        <v>78</v>
      </c>
      <c r="U653" s="1" t="s">
        <v>658</v>
      </c>
      <c r="V653" s="1" t="s">
        <v>654</v>
      </c>
      <c r="W653" s="1">
        <v>12</v>
      </c>
      <c r="X653" s="1" t="s">
        <v>76</v>
      </c>
      <c r="Y653" s="1" t="s">
        <v>645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0.999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1E-3</v>
      </c>
      <c r="CL653" s="1">
        <v>0</v>
      </c>
      <c r="CM653" s="1">
        <v>25.224191319999999</v>
      </c>
      <c r="CN653" s="83">
        <v>8.0236996329999997</v>
      </c>
    </row>
    <row r="654" spans="1:92" s="3" customFormat="1" x14ac:dyDescent="0.25">
      <c r="A654" s="72">
        <v>686</v>
      </c>
      <c r="B654" s="81" t="s">
        <v>1671</v>
      </c>
      <c r="C654" s="1" t="s">
        <v>83</v>
      </c>
      <c r="D654" s="1" t="s">
        <v>79</v>
      </c>
      <c r="E654" s="1" t="s">
        <v>74</v>
      </c>
      <c r="F654" s="1" t="s">
        <v>128</v>
      </c>
      <c r="G654" s="1" t="s">
        <v>320</v>
      </c>
      <c r="H654" s="1" t="s">
        <v>570</v>
      </c>
      <c r="I654" s="1"/>
      <c r="J654" s="9" t="s">
        <v>544</v>
      </c>
      <c r="K654" s="10">
        <v>0.38896683333333298</v>
      </c>
      <c r="L654" s="1" t="s">
        <v>76</v>
      </c>
      <c r="M654" s="1" t="s">
        <v>506</v>
      </c>
      <c r="N654" s="1" t="s">
        <v>645</v>
      </c>
      <c r="O654" s="1" t="s">
        <v>55</v>
      </c>
      <c r="P654" s="82">
        <v>0.96299999999999997</v>
      </c>
      <c r="Q654" s="1" t="s">
        <v>76</v>
      </c>
      <c r="R654" s="81" t="s">
        <v>81</v>
      </c>
      <c r="S654" s="1">
        <v>3</v>
      </c>
      <c r="T654" s="1" t="s">
        <v>78</v>
      </c>
      <c r="U654" s="1" t="s">
        <v>658</v>
      </c>
      <c r="V654" s="1" t="s">
        <v>654</v>
      </c>
      <c r="W654" s="1">
        <v>16</v>
      </c>
      <c r="X654" s="1" t="s">
        <v>76</v>
      </c>
      <c r="Y654" s="1" t="s">
        <v>645</v>
      </c>
      <c r="Z654" s="1">
        <v>0</v>
      </c>
      <c r="AA654" s="1">
        <v>0</v>
      </c>
      <c r="AB654" s="1">
        <v>0</v>
      </c>
      <c r="AC654" s="1">
        <v>2E-3</v>
      </c>
      <c r="AD654" s="1">
        <v>0</v>
      </c>
      <c r="AE654" s="1">
        <v>1E-3</v>
      </c>
      <c r="AF654" s="1">
        <v>0</v>
      </c>
      <c r="AG654" s="1">
        <v>0</v>
      </c>
      <c r="AH654" s="1">
        <v>1E-3</v>
      </c>
      <c r="AI654" s="1">
        <v>0</v>
      </c>
      <c r="AJ654" s="1">
        <v>3.0000000000000001E-3</v>
      </c>
      <c r="AK654" s="1">
        <v>1E-3</v>
      </c>
      <c r="AL654" s="1">
        <v>0</v>
      </c>
      <c r="AM654" s="1">
        <v>0</v>
      </c>
      <c r="AN654" s="1">
        <v>1E-3</v>
      </c>
      <c r="AO654" s="1">
        <v>0</v>
      </c>
      <c r="AP654" s="1">
        <v>0</v>
      </c>
      <c r="AQ654" s="1">
        <v>0</v>
      </c>
      <c r="AR654" s="1">
        <v>0</v>
      </c>
      <c r="AS654" s="1">
        <v>1E-3</v>
      </c>
      <c r="AT654" s="1">
        <v>0</v>
      </c>
      <c r="AU654" s="1">
        <v>0</v>
      </c>
      <c r="AV654" s="1">
        <v>0</v>
      </c>
      <c r="AW654" s="1">
        <v>0</v>
      </c>
      <c r="AX654" s="1">
        <v>1E-3</v>
      </c>
      <c r="AY654" s="1">
        <v>0</v>
      </c>
      <c r="AZ654" s="1">
        <v>0</v>
      </c>
      <c r="BA654" s="1">
        <v>1E-3</v>
      </c>
      <c r="BB654" s="1">
        <v>1E-3</v>
      </c>
      <c r="BC654" s="1">
        <v>0</v>
      </c>
      <c r="BD654" s="1">
        <v>1E-3</v>
      </c>
      <c r="BE654" s="1">
        <v>0</v>
      </c>
      <c r="BF654" s="1">
        <v>1E-3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1E-3</v>
      </c>
      <c r="BP654" s="1">
        <v>0</v>
      </c>
      <c r="BQ654" s="1">
        <v>1E-3</v>
      </c>
      <c r="BR654" s="1">
        <v>0</v>
      </c>
      <c r="BS654" s="1">
        <v>0</v>
      </c>
      <c r="BT654" s="1">
        <v>0</v>
      </c>
      <c r="BU654" s="1">
        <v>0</v>
      </c>
      <c r="BV654" s="1">
        <v>1E-3</v>
      </c>
      <c r="BW654" s="1">
        <v>0</v>
      </c>
      <c r="BX654" s="1">
        <v>0.96299999999999997</v>
      </c>
      <c r="BY654" s="1">
        <v>1E-3</v>
      </c>
      <c r="BZ654" s="1">
        <v>1E-3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1E-3</v>
      </c>
      <c r="CH654" s="1">
        <v>1E-3</v>
      </c>
      <c r="CI654" s="1">
        <v>0</v>
      </c>
      <c r="CJ654" s="1">
        <v>1E-3</v>
      </c>
      <c r="CK654" s="1">
        <v>6.0000000000000001E-3</v>
      </c>
      <c r="CL654" s="1">
        <v>0</v>
      </c>
      <c r="CM654" s="1">
        <v>19.130311219999999</v>
      </c>
      <c r="CN654" s="83">
        <v>4.1359825509999997</v>
      </c>
    </row>
    <row r="655" spans="1:92" s="3" customFormat="1" x14ac:dyDescent="0.25">
      <c r="A655" s="72">
        <v>687</v>
      </c>
      <c r="B655" s="81" t="s">
        <v>1508</v>
      </c>
      <c r="C655" s="1" t="s">
        <v>83</v>
      </c>
      <c r="D655" s="1" t="s">
        <v>73</v>
      </c>
      <c r="E655" s="1" t="s">
        <v>99</v>
      </c>
      <c r="F655" s="1" t="s">
        <v>339</v>
      </c>
      <c r="G655" s="1" t="s">
        <v>76</v>
      </c>
      <c r="H655" s="1" t="s">
        <v>9</v>
      </c>
      <c r="I655" s="1"/>
      <c r="J655" s="9" t="s">
        <v>544</v>
      </c>
      <c r="K655" s="10">
        <v>0.371796666666667</v>
      </c>
      <c r="L655" s="1" t="s">
        <v>76</v>
      </c>
      <c r="M655" s="1" t="s">
        <v>506</v>
      </c>
      <c r="N655" s="1" t="s">
        <v>645</v>
      </c>
      <c r="O655" s="1" t="s">
        <v>9</v>
      </c>
      <c r="P655" s="82">
        <v>0.96099999999999997</v>
      </c>
      <c r="Q655" s="1" t="s">
        <v>76</v>
      </c>
      <c r="R655" s="81" t="s">
        <v>169</v>
      </c>
      <c r="S655" s="1">
        <v>3</v>
      </c>
      <c r="T655" s="1" t="s">
        <v>120</v>
      </c>
      <c r="U655" s="1" t="s">
        <v>658</v>
      </c>
      <c r="V655" s="1" t="s">
        <v>655</v>
      </c>
      <c r="W655" s="1">
        <v>41</v>
      </c>
      <c r="X655" s="1" t="s">
        <v>76</v>
      </c>
      <c r="Y655" s="1" t="s">
        <v>645</v>
      </c>
      <c r="Z655" s="1">
        <v>0</v>
      </c>
      <c r="AA655" s="1">
        <v>0</v>
      </c>
      <c r="AB655" s="1">
        <v>0</v>
      </c>
      <c r="AC655" s="1">
        <v>0</v>
      </c>
      <c r="AD655" s="1">
        <v>0.96099999999999997</v>
      </c>
      <c r="AE655" s="1">
        <v>0</v>
      </c>
      <c r="AF655" s="1">
        <v>0</v>
      </c>
      <c r="AG655" s="1">
        <v>0</v>
      </c>
      <c r="AH655" s="1">
        <v>1E-3</v>
      </c>
      <c r="AI655" s="1">
        <v>0</v>
      </c>
      <c r="AJ655" s="1">
        <v>0</v>
      </c>
      <c r="AK655" s="1">
        <v>1E-3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1E-3</v>
      </c>
      <c r="AT655" s="1">
        <v>0</v>
      </c>
      <c r="AU655" s="1">
        <v>0</v>
      </c>
      <c r="AV655" s="1">
        <v>0</v>
      </c>
      <c r="AW655" s="1">
        <v>0</v>
      </c>
      <c r="AX655" s="1">
        <v>1E-3</v>
      </c>
      <c r="AY655" s="1">
        <v>0</v>
      </c>
      <c r="AZ655" s="1">
        <v>1E-3</v>
      </c>
      <c r="BA655" s="1">
        <v>1E-3</v>
      </c>
      <c r="BB655" s="1">
        <v>0</v>
      </c>
      <c r="BC655" s="1">
        <v>0</v>
      </c>
      <c r="BD655" s="1">
        <v>1E-3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1E-3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1E-3</v>
      </c>
      <c r="BY655" s="1">
        <v>2E-3</v>
      </c>
      <c r="BZ655" s="1">
        <v>4.0000000000000001E-3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2E-3</v>
      </c>
      <c r="CL655" s="1">
        <v>1.4E-2</v>
      </c>
      <c r="CM655" s="1">
        <v>-40.041173540000003</v>
      </c>
      <c r="CN655" s="83">
        <v>-18.16636776</v>
      </c>
    </row>
    <row r="656" spans="1:92" s="3" customFormat="1" x14ac:dyDescent="0.25">
      <c r="A656" s="72">
        <v>688</v>
      </c>
      <c r="B656" s="81" t="s">
        <v>1465</v>
      </c>
      <c r="C656" s="1" t="s">
        <v>83</v>
      </c>
      <c r="D656" s="1" t="s">
        <v>73</v>
      </c>
      <c r="E656" s="1" t="s">
        <v>74</v>
      </c>
      <c r="F656" s="1" t="s">
        <v>339</v>
      </c>
      <c r="G656" s="1" t="s">
        <v>76</v>
      </c>
      <c r="H656" s="1" t="s">
        <v>9</v>
      </c>
      <c r="I656" s="1"/>
      <c r="J656" s="9" t="s">
        <v>544</v>
      </c>
      <c r="K656" s="10">
        <v>0.37408550000000002</v>
      </c>
      <c r="L656" s="1" t="s">
        <v>76</v>
      </c>
      <c r="M656" s="1" t="s">
        <v>506</v>
      </c>
      <c r="N656" s="1" t="s">
        <v>645</v>
      </c>
      <c r="O656" s="1" t="s">
        <v>9</v>
      </c>
      <c r="P656" s="82">
        <v>0.99199999999999999</v>
      </c>
      <c r="Q656" s="1" t="s">
        <v>76</v>
      </c>
      <c r="R656" s="81" t="s">
        <v>191</v>
      </c>
      <c r="S656" s="1">
        <v>3</v>
      </c>
      <c r="T656" s="1" t="s">
        <v>120</v>
      </c>
      <c r="U656" s="1" t="s">
        <v>658</v>
      </c>
      <c r="V656" s="1" t="s">
        <v>655</v>
      </c>
      <c r="W656" s="1">
        <v>18</v>
      </c>
      <c r="X656" s="1" t="s">
        <v>76</v>
      </c>
      <c r="Y656" s="1" t="s">
        <v>645</v>
      </c>
      <c r="Z656" s="1">
        <v>0</v>
      </c>
      <c r="AA656" s="1">
        <v>0</v>
      </c>
      <c r="AB656" s="1">
        <v>0</v>
      </c>
      <c r="AC656" s="1">
        <v>0</v>
      </c>
      <c r="AD656" s="1">
        <v>0.99199999999999999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1E-3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3.0000000000000001E-3</v>
      </c>
      <c r="CM656" s="1">
        <v>-43.953072759999998</v>
      </c>
      <c r="CN656" s="83">
        <v>-24.255565489999999</v>
      </c>
    </row>
    <row r="657" spans="1:92" s="3" customFormat="1" x14ac:dyDescent="0.25">
      <c r="A657" s="72">
        <v>689</v>
      </c>
      <c r="B657" s="81" t="s">
        <v>1519</v>
      </c>
      <c r="C657" s="1" t="s">
        <v>83</v>
      </c>
      <c r="D657" s="1" t="s">
        <v>73</v>
      </c>
      <c r="E657" s="1" t="s">
        <v>74</v>
      </c>
      <c r="F657" s="1" t="s">
        <v>339</v>
      </c>
      <c r="G657" s="1" t="s">
        <v>76</v>
      </c>
      <c r="H657" s="1" t="s">
        <v>9</v>
      </c>
      <c r="I657" s="1"/>
      <c r="J657" s="9" t="s">
        <v>544</v>
      </c>
      <c r="K657" s="10">
        <v>0.34207433333333398</v>
      </c>
      <c r="L657" s="1" t="s">
        <v>553</v>
      </c>
      <c r="M657" s="1" t="s">
        <v>76</v>
      </c>
      <c r="N657" s="1" t="s">
        <v>644</v>
      </c>
      <c r="O657" s="1" t="s">
        <v>5</v>
      </c>
      <c r="P657" s="82">
        <v>0.30499999999999999</v>
      </c>
      <c r="Q657" s="1" t="s">
        <v>76</v>
      </c>
      <c r="R657" s="81" t="s">
        <v>164</v>
      </c>
      <c r="S657" s="1">
        <v>3</v>
      </c>
      <c r="T657" s="1" t="s">
        <v>120</v>
      </c>
      <c r="U657" s="1" t="s">
        <v>658</v>
      </c>
      <c r="V657" s="1" t="s">
        <v>655</v>
      </c>
      <c r="W657" s="1">
        <v>27</v>
      </c>
      <c r="X657" s="1" t="s">
        <v>76</v>
      </c>
      <c r="Y657" s="1" t="s">
        <v>644</v>
      </c>
      <c r="Z657" s="1">
        <v>0.30499999999999999</v>
      </c>
      <c r="AA657" s="1">
        <v>3.0000000000000001E-3</v>
      </c>
      <c r="AB657" s="1">
        <v>2E-3</v>
      </c>
      <c r="AC657" s="1">
        <v>1.0999999999999999E-2</v>
      </c>
      <c r="AD657" s="1">
        <v>1.0999999999999999E-2</v>
      </c>
      <c r="AE657" s="1">
        <v>2E-3</v>
      </c>
      <c r="AF657" s="1">
        <v>3.0000000000000001E-3</v>
      </c>
      <c r="AG657" s="1">
        <v>0</v>
      </c>
      <c r="AH657" s="1">
        <v>1.6E-2</v>
      </c>
      <c r="AI657" s="1">
        <v>1E-3</v>
      </c>
      <c r="AJ657" s="1">
        <v>2E-3</v>
      </c>
      <c r="AK657" s="1">
        <v>2E-3</v>
      </c>
      <c r="AL657" s="1">
        <v>0</v>
      </c>
      <c r="AM657" s="1">
        <v>2E-3</v>
      </c>
      <c r="AN657" s="1">
        <v>1.4999999999999999E-2</v>
      </c>
      <c r="AO657" s="1">
        <v>1E-3</v>
      </c>
      <c r="AP657" s="1">
        <v>1E-3</v>
      </c>
      <c r="AQ657" s="1">
        <v>1E-3</v>
      </c>
      <c r="AR657" s="1">
        <v>0.02</v>
      </c>
      <c r="AS657" s="1">
        <v>5.0000000000000001E-3</v>
      </c>
      <c r="AT657" s="1">
        <v>2E-3</v>
      </c>
      <c r="AU657" s="1">
        <v>5.0000000000000001E-3</v>
      </c>
      <c r="AV657" s="1">
        <v>4.0000000000000001E-3</v>
      </c>
      <c r="AW657" s="1">
        <v>2E-3</v>
      </c>
      <c r="AX657" s="1">
        <v>1.4999999999999999E-2</v>
      </c>
      <c r="AY657" s="1">
        <v>6.0000000000000001E-3</v>
      </c>
      <c r="AZ657" s="1">
        <v>8.0000000000000002E-3</v>
      </c>
      <c r="BA657" s="1">
        <v>7.0000000000000001E-3</v>
      </c>
      <c r="BB657" s="1">
        <v>2E-3</v>
      </c>
      <c r="BC657" s="1">
        <v>1E-3</v>
      </c>
      <c r="BD657" s="1">
        <v>0.01</v>
      </c>
      <c r="BE657" s="1">
        <v>2E-3</v>
      </c>
      <c r="BF657" s="1">
        <v>0.03</v>
      </c>
      <c r="BG657" s="1">
        <v>0</v>
      </c>
      <c r="BH657" s="1">
        <v>2E-3</v>
      </c>
      <c r="BI657" s="1">
        <v>1E-3</v>
      </c>
      <c r="BJ657" s="1">
        <v>7.0000000000000001E-3</v>
      </c>
      <c r="BK657" s="1">
        <v>1E-3</v>
      </c>
      <c r="BL657" s="1">
        <v>2E-3</v>
      </c>
      <c r="BM657" s="1">
        <v>1E-3</v>
      </c>
      <c r="BN657" s="1">
        <v>3.0000000000000001E-3</v>
      </c>
      <c r="BO657" s="1">
        <v>2E-3</v>
      </c>
      <c r="BP657" s="1">
        <v>3.5000000000000003E-2</v>
      </c>
      <c r="BQ657" s="1">
        <v>3.0000000000000001E-3</v>
      </c>
      <c r="BR657" s="1">
        <v>2E-3</v>
      </c>
      <c r="BS657" s="1">
        <v>8.0000000000000002E-3</v>
      </c>
      <c r="BT657" s="1">
        <v>1E-3</v>
      </c>
      <c r="BU657" s="1">
        <v>8.9999999999999993E-3</v>
      </c>
      <c r="BV657" s="1">
        <v>1E-3</v>
      </c>
      <c r="BW657" s="1">
        <v>2E-3</v>
      </c>
      <c r="BX657" s="1">
        <v>0.01</v>
      </c>
      <c r="BY657" s="1">
        <v>5.0000000000000001E-3</v>
      </c>
      <c r="BZ657" s="1">
        <v>1.0999999999999999E-2</v>
      </c>
      <c r="CA657" s="1">
        <v>3.0000000000000001E-3</v>
      </c>
      <c r="CB657" s="1">
        <v>3.0000000000000001E-3</v>
      </c>
      <c r="CC657" s="1">
        <v>3.0000000000000001E-3</v>
      </c>
      <c r="CD657" s="1">
        <v>0</v>
      </c>
      <c r="CE657" s="1">
        <v>2E-3</v>
      </c>
      <c r="CF657" s="1">
        <v>2E-3</v>
      </c>
      <c r="CG657" s="1">
        <v>4.0000000000000001E-3</v>
      </c>
      <c r="CH657" s="1">
        <v>3.0000000000000001E-3</v>
      </c>
      <c r="CI657" s="1">
        <v>2E-3</v>
      </c>
      <c r="CJ657" s="1">
        <v>3.0000000000000001E-3</v>
      </c>
      <c r="CK657" s="1">
        <v>0.13300000000000001</v>
      </c>
      <c r="CL657" s="1">
        <v>0.23699999999999999</v>
      </c>
      <c r="CM657" s="1">
        <v>-45.224439609999997</v>
      </c>
      <c r="CN657" s="83">
        <v>-24.631357860000001</v>
      </c>
    </row>
    <row r="658" spans="1:92" s="3" customFormat="1" x14ac:dyDescent="0.25">
      <c r="A658" s="72">
        <v>690</v>
      </c>
      <c r="B658" s="81" t="s">
        <v>862</v>
      </c>
      <c r="C658" s="1" t="s">
        <v>83</v>
      </c>
      <c r="D658" s="1" t="s">
        <v>73</v>
      </c>
      <c r="E658" s="1" t="s">
        <v>99</v>
      </c>
      <c r="F658" s="1" t="s">
        <v>339</v>
      </c>
      <c r="G658" s="1" t="s">
        <v>76</v>
      </c>
      <c r="H658" s="1" t="s">
        <v>9</v>
      </c>
      <c r="I658" s="1"/>
      <c r="J658" s="9" t="s">
        <v>544</v>
      </c>
      <c r="K658" s="10">
        <v>0.417942166666666</v>
      </c>
      <c r="L658" s="1" t="s">
        <v>76</v>
      </c>
      <c r="M658" s="1" t="s">
        <v>506</v>
      </c>
      <c r="N658" s="1" t="s">
        <v>645</v>
      </c>
      <c r="O658" s="1" t="s">
        <v>9</v>
      </c>
      <c r="P658" s="82">
        <v>1</v>
      </c>
      <c r="Q658" s="1" t="s">
        <v>76</v>
      </c>
      <c r="R658" s="81" t="s">
        <v>169</v>
      </c>
      <c r="S658" s="1">
        <v>3</v>
      </c>
      <c r="T658" s="1" t="s">
        <v>120</v>
      </c>
      <c r="U658" s="1" t="s">
        <v>658</v>
      </c>
      <c r="V658" s="1" t="s">
        <v>655</v>
      </c>
      <c r="W658" s="1">
        <v>23</v>
      </c>
      <c r="X658" s="1" t="s">
        <v>76</v>
      </c>
      <c r="Y658" s="1" t="s">
        <v>645</v>
      </c>
      <c r="Z658" s="1">
        <v>0</v>
      </c>
      <c r="AA658" s="1">
        <v>0</v>
      </c>
      <c r="AB658" s="1">
        <v>0</v>
      </c>
      <c r="AC658" s="1">
        <v>0</v>
      </c>
      <c r="AD658" s="1">
        <v>1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-39.409589650000001</v>
      </c>
      <c r="CN658" s="83">
        <v>-18.81322261</v>
      </c>
    </row>
    <row r="659" spans="1:92" s="3" customFormat="1" x14ac:dyDescent="0.25">
      <c r="A659" s="72">
        <v>691</v>
      </c>
      <c r="B659" s="81" t="s">
        <v>895</v>
      </c>
      <c r="C659" s="1" t="s">
        <v>83</v>
      </c>
      <c r="D659" s="1" t="s">
        <v>73</v>
      </c>
      <c r="E659" s="1" t="s">
        <v>74</v>
      </c>
      <c r="F659" s="1" t="s">
        <v>339</v>
      </c>
      <c r="G659" s="1" t="s">
        <v>76</v>
      </c>
      <c r="H659" s="1" t="s">
        <v>9</v>
      </c>
      <c r="I659" s="1"/>
      <c r="J659" s="9" t="s">
        <v>544</v>
      </c>
      <c r="K659" s="10">
        <v>0.47904416666666699</v>
      </c>
      <c r="L659" s="1" t="s">
        <v>76</v>
      </c>
      <c r="M659" s="1" t="s">
        <v>506</v>
      </c>
      <c r="N659" s="1" t="s">
        <v>645</v>
      </c>
      <c r="O659" s="1" t="s">
        <v>9</v>
      </c>
      <c r="P659" s="82">
        <v>0.99399999999999999</v>
      </c>
      <c r="Q659" s="1" t="s">
        <v>76</v>
      </c>
      <c r="R659" s="81" t="s">
        <v>376</v>
      </c>
      <c r="S659" s="1">
        <v>3</v>
      </c>
      <c r="T659" s="1" t="s">
        <v>120</v>
      </c>
      <c r="U659" s="1" t="s">
        <v>658</v>
      </c>
      <c r="V659" s="1" t="s">
        <v>655</v>
      </c>
      <c r="W659" s="1">
        <v>25</v>
      </c>
      <c r="X659" s="1" t="s">
        <v>76</v>
      </c>
      <c r="Y659" s="1" t="s">
        <v>645</v>
      </c>
      <c r="Z659" s="1">
        <v>0</v>
      </c>
      <c r="AA659" s="1">
        <v>0</v>
      </c>
      <c r="AB659" s="1">
        <v>0</v>
      </c>
      <c r="AC659" s="1">
        <v>0</v>
      </c>
      <c r="AD659" s="1">
        <v>0.99399999999999999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1E-3</v>
      </c>
      <c r="BZ659" s="1">
        <v>1E-3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1E-3</v>
      </c>
      <c r="CM659" s="1">
        <v>-60.148753509999999</v>
      </c>
      <c r="CN659" s="83">
        <v>-9.1533847300000009</v>
      </c>
    </row>
    <row r="660" spans="1:92" s="3" customFormat="1" x14ac:dyDescent="0.25">
      <c r="A660" s="72">
        <v>692</v>
      </c>
      <c r="B660" s="81" t="s">
        <v>949</v>
      </c>
      <c r="C660" s="1" t="s">
        <v>83</v>
      </c>
      <c r="D660" s="1" t="s">
        <v>73</v>
      </c>
      <c r="E660" s="1" t="s">
        <v>99</v>
      </c>
      <c r="F660" s="1" t="s">
        <v>339</v>
      </c>
      <c r="G660" s="1" t="s">
        <v>76</v>
      </c>
      <c r="H660" s="1" t="s">
        <v>9</v>
      </c>
      <c r="I660" s="1"/>
      <c r="J660" s="9" t="s">
        <v>544</v>
      </c>
      <c r="K660" s="10">
        <v>0.36331083333333303</v>
      </c>
      <c r="L660" s="1" t="s">
        <v>76</v>
      </c>
      <c r="M660" s="1" t="s">
        <v>506</v>
      </c>
      <c r="N660" s="1" t="s">
        <v>645</v>
      </c>
      <c r="O660" s="1" t="s">
        <v>9</v>
      </c>
      <c r="P660" s="82">
        <v>0.999</v>
      </c>
      <c r="Q660" s="1" t="s">
        <v>76</v>
      </c>
      <c r="R660" s="81" t="s">
        <v>332</v>
      </c>
      <c r="S660" s="1" t="s">
        <v>314</v>
      </c>
      <c r="T660" s="1" t="s">
        <v>120</v>
      </c>
      <c r="U660" s="1" t="s">
        <v>658</v>
      </c>
      <c r="V660" s="1" t="s">
        <v>655</v>
      </c>
      <c r="W660" s="1">
        <v>34</v>
      </c>
      <c r="X660" s="1" t="s">
        <v>76</v>
      </c>
      <c r="Y660" s="1" t="s">
        <v>645</v>
      </c>
      <c r="Z660" s="1">
        <v>0</v>
      </c>
      <c r="AA660" s="1">
        <v>0</v>
      </c>
      <c r="AB660" s="1">
        <v>0</v>
      </c>
      <c r="AC660" s="1">
        <v>0</v>
      </c>
      <c r="AD660" s="1">
        <v>0.999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-35.927161269999999</v>
      </c>
      <c r="CN660" s="83">
        <v>-22.00086258</v>
      </c>
    </row>
    <row r="661" spans="1:92" s="3" customFormat="1" x14ac:dyDescent="0.25">
      <c r="A661" s="72">
        <v>693</v>
      </c>
      <c r="B661" s="81" t="s">
        <v>965</v>
      </c>
      <c r="C661" s="1" t="s">
        <v>83</v>
      </c>
      <c r="D661" s="1" t="s">
        <v>73</v>
      </c>
      <c r="E661" s="1" t="s">
        <v>99</v>
      </c>
      <c r="F661" s="1" t="s">
        <v>339</v>
      </c>
      <c r="G661" s="1" t="s">
        <v>76</v>
      </c>
      <c r="H661" s="1" t="s">
        <v>9</v>
      </c>
      <c r="I661" s="1"/>
      <c r="J661" s="9" t="s">
        <v>544</v>
      </c>
      <c r="K661" s="10">
        <v>0.35131800000000002</v>
      </c>
      <c r="L661" s="1" t="s">
        <v>76</v>
      </c>
      <c r="M661" s="1" t="s">
        <v>506</v>
      </c>
      <c r="N661" s="1" t="s">
        <v>645</v>
      </c>
      <c r="O661" s="1" t="s">
        <v>9</v>
      </c>
      <c r="P661" s="82">
        <v>0.90300000000000002</v>
      </c>
      <c r="Q661" s="1" t="s">
        <v>76</v>
      </c>
      <c r="R661" s="81" t="s">
        <v>129</v>
      </c>
      <c r="S661" s="1" t="s">
        <v>314</v>
      </c>
      <c r="T661" s="1" t="s">
        <v>120</v>
      </c>
      <c r="U661" s="1" t="s">
        <v>658</v>
      </c>
      <c r="V661" s="1" t="s">
        <v>655</v>
      </c>
      <c r="W661" s="1">
        <v>29</v>
      </c>
      <c r="X661" s="1" t="s">
        <v>76</v>
      </c>
      <c r="Y661" s="1" t="s">
        <v>645</v>
      </c>
      <c r="Z661" s="1">
        <v>2E-3</v>
      </c>
      <c r="AA661" s="1">
        <v>0</v>
      </c>
      <c r="AB661" s="1">
        <v>1E-3</v>
      </c>
      <c r="AC661" s="1">
        <v>2E-3</v>
      </c>
      <c r="AD661" s="1">
        <v>0.90300000000000002</v>
      </c>
      <c r="AE661" s="1">
        <v>0</v>
      </c>
      <c r="AF661" s="1">
        <v>0</v>
      </c>
      <c r="AG661" s="1">
        <v>0</v>
      </c>
      <c r="AH661" s="1">
        <v>1E-3</v>
      </c>
      <c r="AI661" s="1">
        <v>0</v>
      </c>
      <c r="AJ661" s="1">
        <v>0</v>
      </c>
      <c r="AK661" s="1">
        <v>1E-3</v>
      </c>
      <c r="AL661" s="1">
        <v>0</v>
      </c>
      <c r="AM661" s="1">
        <v>0</v>
      </c>
      <c r="AN661" s="1">
        <v>1E-3</v>
      </c>
      <c r="AO661" s="1">
        <v>0</v>
      </c>
      <c r="AP661" s="1">
        <v>0</v>
      </c>
      <c r="AQ661" s="1">
        <v>0</v>
      </c>
      <c r="AR661" s="1">
        <v>1E-3</v>
      </c>
      <c r="AS661" s="1">
        <v>1E-3</v>
      </c>
      <c r="AT661" s="1">
        <v>0</v>
      </c>
      <c r="AU661" s="1">
        <v>0</v>
      </c>
      <c r="AV661" s="1">
        <v>3.0000000000000001E-3</v>
      </c>
      <c r="AW661" s="1">
        <v>0</v>
      </c>
      <c r="AX661" s="1">
        <v>3.0000000000000001E-3</v>
      </c>
      <c r="AY661" s="1">
        <v>1E-3</v>
      </c>
      <c r="AZ661" s="1">
        <v>2E-3</v>
      </c>
      <c r="BA661" s="1">
        <v>1E-3</v>
      </c>
      <c r="BB661" s="1">
        <v>0</v>
      </c>
      <c r="BC661" s="1">
        <v>0</v>
      </c>
      <c r="BD661" s="1">
        <v>2E-3</v>
      </c>
      <c r="BE661" s="1">
        <v>0</v>
      </c>
      <c r="BF661" s="1">
        <v>2E-3</v>
      </c>
      <c r="BG661" s="1">
        <v>0</v>
      </c>
      <c r="BH661" s="1">
        <v>0</v>
      </c>
      <c r="BI661" s="1">
        <v>0</v>
      </c>
      <c r="BJ661" s="1">
        <v>1.7999999999999999E-2</v>
      </c>
      <c r="BK661" s="1">
        <v>0</v>
      </c>
      <c r="BL661" s="1">
        <v>0</v>
      </c>
      <c r="BM661" s="1">
        <v>0</v>
      </c>
      <c r="BN661" s="1">
        <v>1E-3</v>
      </c>
      <c r="BO661" s="1">
        <v>0</v>
      </c>
      <c r="BP661" s="1">
        <v>1E-3</v>
      </c>
      <c r="BQ661" s="1">
        <v>0</v>
      </c>
      <c r="BR661" s="1">
        <v>0</v>
      </c>
      <c r="BS661" s="1">
        <v>0</v>
      </c>
      <c r="BT661" s="1">
        <v>0</v>
      </c>
      <c r="BU661" s="1">
        <v>2E-3</v>
      </c>
      <c r="BV661" s="1">
        <v>0</v>
      </c>
      <c r="BW661" s="1">
        <v>0</v>
      </c>
      <c r="BX661" s="1">
        <v>1E-3</v>
      </c>
      <c r="BY661" s="1">
        <v>2E-3</v>
      </c>
      <c r="BZ661" s="1">
        <v>3.0000000000000001E-3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1E-3</v>
      </c>
      <c r="CH661" s="1">
        <v>0</v>
      </c>
      <c r="CI661" s="1">
        <v>0</v>
      </c>
      <c r="CJ661" s="1">
        <v>1E-3</v>
      </c>
      <c r="CK661" s="1">
        <v>3.0000000000000001E-3</v>
      </c>
      <c r="CL661" s="1">
        <v>3.3000000000000002E-2</v>
      </c>
      <c r="CM661" s="1">
        <v>-46.827037850000004</v>
      </c>
      <c r="CN661" s="83">
        <v>-23.34430734</v>
      </c>
    </row>
    <row r="662" spans="1:92" s="3" customFormat="1" x14ac:dyDescent="0.25">
      <c r="A662" s="72">
        <v>694</v>
      </c>
      <c r="B662" s="81" t="s">
        <v>1255</v>
      </c>
      <c r="C662" s="1" t="s">
        <v>83</v>
      </c>
      <c r="D662" s="1" t="s">
        <v>73</v>
      </c>
      <c r="E662" s="1" t="s">
        <v>99</v>
      </c>
      <c r="F662" s="1" t="s">
        <v>339</v>
      </c>
      <c r="G662" s="1" t="s">
        <v>76</v>
      </c>
      <c r="H662" s="1" t="s">
        <v>9</v>
      </c>
      <c r="I662" s="1"/>
      <c r="J662" s="9" t="s">
        <v>544</v>
      </c>
      <c r="K662" s="10">
        <v>0.43850983333333299</v>
      </c>
      <c r="L662" s="1" t="s">
        <v>76</v>
      </c>
      <c r="M662" s="1" t="s">
        <v>506</v>
      </c>
      <c r="N662" s="1" t="s">
        <v>645</v>
      </c>
      <c r="O662" s="1" t="s">
        <v>9</v>
      </c>
      <c r="P662" s="82">
        <v>0.999</v>
      </c>
      <c r="Q662" s="1" t="s">
        <v>76</v>
      </c>
      <c r="R662" s="81" t="s">
        <v>377</v>
      </c>
      <c r="S662" s="1" t="s">
        <v>314</v>
      </c>
      <c r="T662" s="1" t="s">
        <v>120</v>
      </c>
      <c r="U662" s="1" t="s">
        <v>658</v>
      </c>
      <c r="V662" s="1" t="s">
        <v>655</v>
      </c>
      <c r="W662" s="1">
        <v>42</v>
      </c>
      <c r="X662" s="1" t="s">
        <v>76</v>
      </c>
      <c r="Y662" s="1" t="s">
        <v>645</v>
      </c>
      <c r="Z662" s="1">
        <v>0</v>
      </c>
      <c r="AA662" s="1">
        <v>0</v>
      </c>
      <c r="AB662" s="1">
        <v>0</v>
      </c>
      <c r="AC662" s="1">
        <v>0</v>
      </c>
      <c r="AD662" s="1">
        <v>0.999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-40.480283589999999</v>
      </c>
      <c r="CN662" s="83">
        <v>-19.561242289999999</v>
      </c>
    </row>
    <row r="663" spans="1:92" s="3" customFormat="1" x14ac:dyDescent="0.25">
      <c r="A663" s="72">
        <v>573</v>
      </c>
      <c r="B663" s="81" t="s">
        <v>1499</v>
      </c>
      <c r="C663" s="1" t="s">
        <v>83</v>
      </c>
      <c r="D663" s="1" t="s">
        <v>73</v>
      </c>
      <c r="E663" s="1" t="s">
        <v>74</v>
      </c>
      <c r="F663" s="1" t="s">
        <v>128</v>
      </c>
      <c r="G663" s="1" t="s">
        <v>567</v>
      </c>
      <c r="H663" s="1" t="s">
        <v>570</v>
      </c>
      <c r="I663" s="1"/>
      <c r="J663" s="9" t="s">
        <v>544</v>
      </c>
      <c r="K663" s="10">
        <v>0.28831133333333298</v>
      </c>
      <c r="L663" s="1" t="s">
        <v>634</v>
      </c>
      <c r="M663" s="1" t="s">
        <v>506</v>
      </c>
      <c r="N663" s="96" t="s">
        <v>647</v>
      </c>
      <c r="O663" s="1" t="s">
        <v>37</v>
      </c>
      <c r="P663" s="82">
        <v>0.95399999999999996</v>
      </c>
      <c r="Q663" s="1" t="s">
        <v>76</v>
      </c>
      <c r="R663" s="81" t="s">
        <v>347</v>
      </c>
      <c r="S663" s="1" t="s">
        <v>76</v>
      </c>
      <c r="T663" s="1" t="s">
        <v>78</v>
      </c>
      <c r="U663" s="1" t="s">
        <v>658</v>
      </c>
      <c r="V663" s="1" t="s">
        <v>655</v>
      </c>
      <c r="W663" s="1">
        <v>5</v>
      </c>
      <c r="X663" s="1" t="s">
        <v>348</v>
      </c>
      <c r="Y663" s="1" t="s">
        <v>647</v>
      </c>
      <c r="Z663" s="1">
        <v>1E-3</v>
      </c>
      <c r="AA663" s="1">
        <v>0</v>
      </c>
      <c r="AB663" s="1">
        <v>0</v>
      </c>
      <c r="AC663" s="1">
        <v>2E-3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1E-3</v>
      </c>
      <c r="AJ663" s="1">
        <v>0</v>
      </c>
      <c r="AK663" s="1">
        <v>0</v>
      </c>
      <c r="AL663" s="1">
        <v>0</v>
      </c>
      <c r="AM663" s="1">
        <v>0</v>
      </c>
      <c r="AN663" s="1">
        <v>1.6E-2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1E-3</v>
      </c>
      <c r="BE663" s="1">
        <v>0</v>
      </c>
      <c r="BF663" s="1">
        <v>0.95399999999999996</v>
      </c>
      <c r="BG663" s="1">
        <v>0</v>
      </c>
      <c r="BH663" s="1">
        <v>2E-3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1.4999999999999999E-2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1E-3</v>
      </c>
      <c r="CL663" s="1">
        <v>0</v>
      </c>
      <c r="CM663" s="1">
        <v>-13.90342448</v>
      </c>
      <c r="CN663" s="83">
        <v>-10.42826367</v>
      </c>
    </row>
    <row r="664" spans="1:92" s="3" customFormat="1" x14ac:dyDescent="0.25">
      <c r="A664" s="72">
        <v>656</v>
      </c>
      <c r="B664" s="81" t="s">
        <v>1516</v>
      </c>
      <c r="C664" s="1" t="s">
        <v>83</v>
      </c>
      <c r="D664" s="1" t="s">
        <v>73</v>
      </c>
      <c r="E664" s="1" t="s">
        <v>74</v>
      </c>
      <c r="F664" s="1" t="s">
        <v>128</v>
      </c>
      <c r="G664" s="1" t="s">
        <v>303</v>
      </c>
      <c r="H664" s="1" t="s">
        <v>570</v>
      </c>
      <c r="I664" s="1"/>
      <c r="J664" s="9" t="s">
        <v>544</v>
      </c>
      <c r="K664" s="10">
        <v>0.45478849999999998</v>
      </c>
      <c r="L664" s="1" t="s">
        <v>516</v>
      </c>
      <c r="M664" s="1" t="s">
        <v>506</v>
      </c>
      <c r="N664" s="96" t="s">
        <v>647</v>
      </c>
      <c r="O664" s="1" t="s">
        <v>68</v>
      </c>
      <c r="P664" s="82">
        <v>1</v>
      </c>
      <c r="Q664" s="1" t="s">
        <v>76</v>
      </c>
      <c r="R664" s="81" t="s">
        <v>87</v>
      </c>
      <c r="S664" s="1">
        <v>3</v>
      </c>
      <c r="T664" s="1" t="s">
        <v>78</v>
      </c>
      <c r="U664" s="1" t="s">
        <v>658</v>
      </c>
      <c r="V664" s="1" t="s">
        <v>654</v>
      </c>
      <c r="W664" s="1">
        <v>13</v>
      </c>
      <c r="X664" s="1" t="s">
        <v>304</v>
      </c>
      <c r="Y664" s="1" t="s">
        <v>647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1</v>
      </c>
      <c r="CL664" s="1">
        <v>0</v>
      </c>
      <c r="CM664" s="1">
        <v>41.927037560000002</v>
      </c>
      <c r="CN664" s="83">
        <v>-17.186986099999999</v>
      </c>
    </row>
    <row r="665" spans="1:92" s="3" customFormat="1" x14ac:dyDescent="0.25">
      <c r="A665" s="72">
        <v>697</v>
      </c>
      <c r="B665" s="81" t="s">
        <v>1561</v>
      </c>
      <c r="C665" s="1" t="s">
        <v>83</v>
      </c>
      <c r="D665" s="1" t="s">
        <v>73</v>
      </c>
      <c r="E665" s="1" t="s">
        <v>74</v>
      </c>
      <c r="F665" s="1" t="s">
        <v>128</v>
      </c>
      <c r="G665" s="1" t="s">
        <v>307</v>
      </c>
      <c r="H665" s="1" t="s">
        <v>570</v>
      </c>
      <c r="I665" s="1"/>
      <c r="J665" s="9" t="s">
        <v>544</v>
      </c>
      <c r="K665" s="10">
        <v>0.60112449999999995</v>
      </c>
      <c r="L665" s="1" t="s">
        <v>76</v>
      </c>
      <c r="M665" s="1" t="s">
        <v>506</v>
      </c>
      <c r="N665" s="1" t="s">
        <v>645</v>
      </c>
      <c r="O665" s="1" t="s">
        <v>55</v>
      </c>
      <c r="P665" s="82">
        <v>0.999</v>
      </c>
      <c r="Q665" s="1" t="s">
        <v>76</v>
      </c>
      <c r="R665" s="81" t="s">
        <v>87</v>
      </c>
      <c r="S665" s="1">
        <v>3</v>
      </c>
      <c r="T665" s="1" t="s">
        <v>78</v>
      </c>
      <c r="U665" s="1" t="s">
        <v>658</v>
      </c>
      <c r="V665" s="1" t="s">
        <v>654</v>
      </c>
      <c r="W665" s="1">
        <v>13</v>
      </c>
      <c r="X665" s="1" t="s">
        <v>76</v>
      </c>
      <c r="Y665" s="1" t="s">
        <v>645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0.999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31.022135420000001</v>
      </c>
      <c r="CN665" s="83">
        <v>37.648065260000003</v>
      </c>
    </row>
    <row r="666" spans="1:92" s="3" customFormat="1" x14ac:dyDescent="0.25">
      <c r="A666" s="72">
        <v>698</v>
      </c>
      <c r="B666" s="81" t="s">
        <v>1564</v>
      </c>
      <c r="C666" s="1" t="s">
        <v>83</v>
      </c>
      <c r="D666" s="1" t="s">
        <v>73</v>
      </c>
      <c r="E666" s="1" t="s">
        <v>74</v>
      </c>
      <c r="F666" s="1" t="s">
        <v>128</v>
      </c>
      <c r="G666" s="1" t="s">
        <v>303</v>
      </c>
      <c r="H666" s="1" t="s">
        <v>570</v>
      </c>
      <c r="I666" s="1"/>
      <c r="J666" s="9" t="s">
        <v>544</v>
      </c>
      <c r="K666" s="10">
        <v>0.55840766666666597</v>
      </c>
      <c r="L666" s="1" t="s">
        <v>76</v>
      </c>
      <c r="M666" s="1" t="s">
        <v>506</v>
      </c>
      <c r="N666" s="1" t="s">
        <v>645</v>
      </c>
      <c r="O666" s="1" t="s">
        <v>55</v>
      </c>
      <c r="P666" s="82">
        <v>0.999</v>
      </c>
      <c r="Q666" s="1" t="s">
        <v>76</v>
      </c>
      <c r="R666" s="81" t="s">
        <v>77</v>
      </c>
      <c r="S666" s="1">
        <v>3</v>
      </c>
      <c r="T666" s="1" t="s">
        <v>78</v>
      </c>
      <c r="U666" s="1" t="s">
        <v>658</v>
      </c>
      <c r="V666" s="1" t="s">
        <v>654</v>
      </c>
      <c r="W666" s="1">
        <v>16</v>
      </c>
      <c r="X666" s="1" t="s">
        <v>366</v>
      </c>
      <c r="Y666" s="1" t="s">
        <v>645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0.999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55.566703670000003</v>
      </c>
      <c r="CN666" s="83">
        <v>23.94803744</v>
      </c>
    </row>
    <row r="667" spans="1:92" s="3" customFormat="1" hidden="1" x14ac:dyDescent="0.25">
      <c r="A667" s="72">
        <v>699</v>
      </c>
      <c r="B667" s="81" t="s">
        <v>1161</v>
      </c>
      <c r="C667" s="1" t="s">
        <v>83</v>
      </c>
      <c r="D667" s="1" t="s">
        <v>301</v>
      </c>
      <c r="E667" s="1" t="s">
        <v>76</v>
      </c>
      <c r="F667" s="1" t="s">
        <v>301</v>
      </c>
      <c r="G667" s="1" t="s">
        <v>76</v>
      </c>
      <c r="H667" s="1" t="s">
        <v>537</v>
      </c>
      <c r="I667" s="1"/>
      <c r="J667" s="9" t="s">
        <v>544</v>
      </c>
      <c r="K667" s="10">
        <v>0.30839933333333402</v>
      </c>
      <c r="L667" s="1" t="s">
        <v>76</v>
      </c>
      <c r="M667" s="1" t="s">
        <v>506</v>
      </c>
      <c r="N667" s="1" t="s">
        <v>645</v>
      </c>
      <c r="O667" s="1" t="s">
        <v>21</v>
      </c>
      <c r="P667" s="82">
        <v>0.98599999999999999</v>
      </c>
      <c r="Q667" s="1" t="s">
        <v>76</v>
      </c>
      <c r="R667" s="81" t="s">
        <v>269</v>
      </c>
      <c r="S667" s="1" t="s">
        <v>76</v>
      </c>
      <c r="T667" s="1" t="s">
        <v>269</v>
      </c>
      <c r="U667" s="1" t="s">
        <v>76</v>
      </c>
      <c r="V667" s="1" t="s">
        <v>656</v>
      </c>
      <c r="W667" s="1" t="s">
        <v>269</v>
      </c>
      <c r="X667" s="1" t="s">
        <v>76</v>
      </c>
      <c r="Y667" s="1" t="s">
        <v>645</v>
      </c>
      <c r="Z667" s="1">
        <v>0</v>
      </c>
      <c r="AA667" s="1">
        <v>0</v>
      </c>
      <c r="AB667" s="1">
        <v>0</v>
      </c>
      <c r="AC667" s="1">
        <v>1E-3</v>
      </c>
      <c r="AD667" s="1">
        <v>0</v>
      </c>
      <c r="AE667" s="1">
        <v>0</v>
      </c>
      <c r="AF667" s="1">
        <v>0</v>
      </c>
      <c r="AG667" s="1">
        <v>0</v>
      </c>
      <c r="AH667" s="1">
        <v>1E-3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0.98599999999999999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1E-3</v>
      </c>
      <c r="BB667" s="1">
        <v>0</v>
      </c>
      <c r="BC667" s="1">
        <v>0</v>
      </c>
      <c r="BD667" s="1">
        <v>1E-3</v>
      </c>
      <c r="BE667" s="1">
        <v>0</v>
      </c>
      <c r="BF667" s="1">
        <v>0</v>
      </c>
      <c r="BG667" s="1">
        <v>0</v>
      </c>
      <c r="BH667" s="1">
        <v>1E-3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1E-3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1E-3</v>
      </c>
      <c r="CL667" s="1">
        <v>0</v>
      </c>
      <c r="CM667" s="1">
        <v>-60.146507769999999</v>
      </c>
      <c r="CN667" s="83">
        <v>-78.446024019999996</v>
      </c>
    </row>
    <row r="668" spans="1:92" s="3" customFormat="1" x14ac:dyDescent="0.25">
      <c r="A668" s="72">
        <v>700</v>
      </c>
      <c r="B668" s="81" t="s">
        <v>961</v>
      </c>
      <c r="C668" s="1" t="s">
        <v>83</v>
      </c>
      <c r="D668" s="1" t="s">
        <v>79</v>
      </c>
      <c r="E668" s="1" t="s">
        <v>99</v>
      </c>
      <c r="F668" s="1" t="s">
        <v>128</v>
      </c>
      <c r="G668" s="1" t="s">
        <v>306</v>
      </c>
      <c r="H668" s="1" t="s">
        <v>570</v>
      </c>
      <c r="I668" s="1"/>
      <c r="J668" s="9" t="s">
        <v>544</v>
      </c>
      <c r="K668" s="10">
        <v>0.53030316666666699</v>
      </c>
      <c r="L668" s="1" t="s">
        <v>641</v>
      </c>
      <c r="M668" s="1" t="s">
        <v>76</v>
      </c>
      <c r="N668" s="1" t="s">
        <v>649</v>
      </c>
      <c r="O668" s="1" t="s">
        <v>55</v>
      </c>
      <c r="P668" s="82">
        <v>0.52700000000000002</v>
      </c>
      <c r="Q668" s="1" t="s">
        <v>76</v>
      </c>
      <c r="R668" s="81" t="s">
        <v>81</v>
      </c>
      <c r="S668" s="1">
        <v>3</v>
      </c>
      <c r="T668" s="1" t="s">
        <v>78</v>
      </c>
      <c r="U668" s="1" t="s">
        <v>658</v>
      </c>
      <c r="V668" s="1" t="s">
        <v>654</v>
      </c>
      <c r="W668" s="1">
        <v>15</v>
      </c>
      <c r="X668" s="1" t="s">
        <v>304</v>
      </c>
      <c r="Y668" s="1" t="s">
        <v>649</v>
      </c>
      <c r="Z668" s="1">
        <v>1E-3</v>
      </c>
      <c r="AA668" s="1">
        <v>4.0000000000000001E-3</v>
      </c>
      <c r="AB668" s="1">
        <v>4.0000000000000001E-3</v>
      </c>
      <c r="AC668" s="1">
        <v>4.2999999999999997E-2</v>
      </c>
      <c r="AD668" s="1">
        <v>4.0000000000000001E-3</v>
      </c>
      <c r="AE668" s="1">
        <v>5.0000000000000001E-3</v>
      </c>
      <c r="AF668" s="1">
        <v>4.0000000000000001E-3</v>
      </c>
      <c r="AG668" s="1">
        <v>0</v>
      </c>
      <c r="AH668" s="1">
        <v>1.4999999999999999E-2</v>
      </c>
      <c r="AI668" s="1">
        <v>1E-3</v>
      </c>
      <c r="AJ668" s="1">
        <v>2E-3</v>
      </c>
      <c r="AK668" s="1">
        <v>0.02</v>
      </c>
      <c r="AL668" s="1">
        <v>1E-3</v>
      </c>
      <c r="AM668" s="1">
        <v>2E-3</v>
      </c>
      <c r="AN668" s="1">
        <v>2E-3</v>
      </c>
      <c r="AO668" s="1">
        <v>1.0999999999999999E-2</v>
      </c>
      <c r="AP668" s="1">
        <v>3.0000000000000001E-3</v>
      </c>
      <c r="AQ668" s="1">
        <v>3.0000000000000001E-3</v>
      </c>
      <c r="AR668" s="1">
        <v>2E-3</v>
      </c>
      <c r="AS668" s="1">
        <v>0.02</v>
      </c>
      <c r="AT668" s="1">
        <v>1.4E-2</v>
      </c>
      <c r="AU668" s="1">
        <v>5.0000000000000001E-3</v>
      </c>
      <c r="AV668" s="1">
        <v>3.0000000000000001E-3</v>
      </c>
      <c r="AW668" s="1">
        <v>6.0000000000000001E-3</v>
      </c>
      <c r="AX668" s="1">
        <v>3.0000000000000001E-3</v>
      </c>
      <c r="AY668" s="1">
        <v>5.0000000000000001E-3</v>
      </c>
      <c r="AZ668" s="1">
        <v>7.0000000000000001E-3</v>
      </c>
      <c r="BA668" s="1">
        <v>1.7999999999999999E-2</v>
      </c>
      <c r="BB668" s="1">
        <v>0.01</v>
      </c>
      <c r="BC668" s="1">
        <v>2E-3</v>
      </c>
      <c r="BD668" s="1">
        <v>0.02</v>
      </c>
      <c r="BE668" s="1">
        <v>3.0000000000000001E-3</v>
      </c>
      <c r="BF668" s="1">
        <v>1E-3</v>
      </c>
      <c r="BG668" s="1">
        <v>6.0000000000000001E-3</v>
      </c>
      <c r="BH668" s="1">
        <v>4.0000000000000001E-3</v>
      </c>
      <c r="BI668" s="1">
        <v>3.0000000000000001E-3</v>
      </c>
      <c r="BJ668" s="1">
        <v>1E-3</v>
      </c>
      <c r="BK668" s="1">
        <v>2E-3</v>
      </c>
      <c r="BL668" s="1">
        <v>8.0000000000000002E-3</v>
      </c>
      <c r="BM668" s="1">
        <v>4.0000000000000001E-3</v>
      </c>
      <c r="BN668" s="1">
        <v>1.0999999999999999E-2</v>
      </c>
      <c r="BO668" s="1">
        <v>2E-3</v>
      </c>
      <c r="BP668" s="1">
        <v>1E-3</v>
      </c>
      <c r="BQ668" s="1">
        <v>1.0999999999999999E-2</v>
      </c>
      <c r="BR668" s="1">
        <v>4.0000000000000001E-3</v>
      </c>
      <c r="BS668" s="1">
        <v>2E-3</v>
      </c>
      <c r="BT668" s="1">
        <v>3.0000000000000001E-3</v>
      </c>
      <c r="BU668" s="1">
        <v>2E-3</v>
      </c>
      <c r="BV668" s="1">
        <v>8.9999999999999993E-3</v>
      </c>
      <c r="BW668" s="1">
        <v>6.0000000000000001E-3</v>
      </c>
      <c r="BX668" s="1">
        <v>0.52700000000000002</v>
      </c>
      <c r="BY668" s="1">
        <v>2.3E-2</v>
      </c>
      <c r="BZ668" s="1">
        <v>8.9999999999999993E-3</v>
      </c>
      <c r="CA668" s="1">
        <v>8.9999999999999993E-3</v>
      </c>
      <c r="CB668" s="1">
        <v>2E-3</v>
      </c>
      <c r="CC668" s="1">
        <v>8.0000000000000002E-3</v>
      </c>
      <c r="CD668" s="1">
        <v>0</v>
      </c>
      <c r="CE668" s="1">
        <v>3.0000000000000001E-3</v>
      </c>
      <c r="CF668" s="1">
        <v>4.0000000000000001E-3</v>
      </c>
      <c r="CG668" s="1">
        <v>8.9999999999999993E-3</v>
      </c>
      <c r="CH668" s="1">
        <v>0.01</v>
      </c>
      <c r="CI668" s="1">
        <v>0.01</v>
      </c>
      <c r="CJ668" s="1">
        <v>1.9E-2</v>
      </c>
      <c r="CK668" s="1">
        <v>3.5999999999999997E-2</v>
      </c>
      <c r="CL668" s="1">
        <v>8.9999999999999993E-3</v>
      </c>
      <c r="CM668" s="1">
        <v>68.218291280000003</v>
      </c>
      <c r="CN668" s="83">
        <v>26.59354583</v>
      </c>
    </row>
    <row r="669" spans="1:92" s="3" customFormat="1" x14ac:dyDescent="0.25">
      <c r="A669" s="72">
        <v>701</v>
      </c>
      <c r="B669" s="81" t="s">
        <v>1543</v>
      </c>
      <c r="C669" s="1" t="s">
        <v>83</v>
      </c>
      <c r="D669" s="1" t="s">
        <v>79</v>
      </c>
      <c r="E669" s="1" t="s">
        <v>74</v>
      </c>
      <c r="F669" s="1" t="s">
        <v>128</v>
      </c>
      <c r="G669" s="1" t="s">
        <v>303</v>
      </c>
      <c r="H669" s="1" t="s">
        <v>570</v>
      </c>
      <c r="I669" s="1"/>
      <c r="J669" s="9" t="s">
        <v>544</v>
      </c>
      <c r="K669" s="10">
        <v>0.41921083333333298</v>
      </c>
      <c r="L669" s="1" t="s">
        <v>76</v>
      </c>
      <c r="M669" s="1" t="s">
        <v>506</v>
      </c>
      <c r="N669" s="1" t="s">
        <v>645</v>
      </c>
      <c r="O669" s="1" t="s">
        <v>55</v>
      </c>
      <c r="P669" s="82">
        <v>1</v>
      </c>
      <c r="Q669" s="1" t="s">
        <v>76</v>
      </c>
      <c r="R669" s="81" t="s">
        <v>81</v>
      </c>
      <c r="S669" s="1">
        <v>3</v>
      </c>
      <c r="T669" s="1" t="s">
        <v>78</v>
      </c>
      <c r="U669" s="1" t="s">
        <v>658</v>
      </c>
      <c r="V669" s="1" t="s">
        <v>654</v>
      </c>
      <c r="W669" s="1">
        <v>6</v>
      </c>
      <c r="X669" s="1" t="s">
        <v>366</v>
      </c>
      <c r="Y669" s="1" t="s">
        <v>645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1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27.26010166</v>
      </c>
      <c r="CN669" s="83">
        <v>3.099682128</v>
      </c>
    </row>
    <row r="670" spans="1:92" s="3" customFormat="1" x14ac:dyDescent="0.25">
      <c r="A670" s="72">
        <v>702</v>
      </c>
      <c r="B670" s="81" t="s">
        <v>1675</v>
      </c>
      <c r="C670" s="1" t="s">
        <v>83</v>
      </c>
      <c r="D670" s="1" t="s">
        <v>79</v>
      </c>
      <c r="E670" s="1" t="s">
        <v>99</v>
      </c>
      <c r="F670" s="1" t="s">
        <v>128</v>
      </c>
      <c r="G670" s="1" t="s">
        <v>320</v>
      </c>
      <c r="H670" s="1" t="s">
        <v>570</v>
      </c>
      <c r="I670" s="1"/>
      <c r="J670" s="9" t="s">
        <v>544</v>
      </c>
      <c r="K670" s="10">
        <v>0.43959949999999998</v>
      </c>
      <c r="L670" s="1" t="s">
        <v>641</v>
      </c>
      <c r="M670" s="1" t="s">
        <v>76</v>
      </c>
      <c r="N670" s="1" t="s">
        <v>649</v>
      </c>
      <c r="O670" s="1" t="s">
        <v>55</v>
      </c>
      <c r="P670" s="82">
        <v>0.66700000000000004</v>
      </c>
      <c r="Q670" s="1" t="s">
        <v>76</v>
      </c>
      <c r="R670" s="81" t="s">
        <v>87</v>
      </c>
      <c r="S670" s="1">
        <v>3</v>
      </c>
      <c r="T670" s="1" t="s">
        <v>78</v>
      </c>
      <c r="U670" s="1" t="s">
        <v>658</v>
      </c>
      <c r="V670" s="1" t="s">
        <v>654</v>
      </c>
      <c r="W670" s="1">
        <v>19</v>
      </c>
      <c r="X670" s="1" t="s">
        <v>76</v>
      </c>
      <c r="Y670" s="1" t="s">
        <v>649</v>
      </c>
      <c r="Z670" s="1">
        <v>2E-3</v>
      </c>
      <c r="AA670" s="1">
        <v>6.0000000000000001E-3</v>
      </c>
      <c r="AB670" s="1">
        <v>0</v>
      </c>
      <c r="AC670" s="1">
        <v>2E-3</v>
      </c>
      <c r="AD670" s="1">
        <v>1E-3</v>
      </c>
      <c r="AE670" s="1">
        <v>0</v>
      </c>
      <c r="AF670" s="1">
        <v>0</v>
      </c>
      <c r="AG670" s="1">
        <v>0</v>
      </c>
      <c r="AH670" s="1">
        <v>2E-3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1E-3</v>
      </c>
      <c r="AO670" s="1">
        <v>0</v>
      </c>
      <c r="AP670" s="1">
        <v>0</v>
      </c>
      <c r="AQ670" s="1">
        <v>0</v>
      </c>
      <c r="AR670" s="1">
        <v>2E-3</v>
      </c>
      <c r="AS670" s="1">
        <v>1E-3</v>
      </c>
      <c r="AT670" s="1">
        <v>1E-3</v>
      </c>
      <c r="AU670" s="1">
        <v>2E-3</v>
      </c>
      <c r="AV670" s="1">
        <v>0</v>
      </c>
      <c r="AW670" s="1">
        <v>0</v>
      </c>
      <c r="AX670" s="1">
        <v>2E-3</v>
      </c>
      <c r="AY670" s="1">
        <v>1E-3</v>
      </c>
      <c r="AZ670" s="1">
        <v>1E-3</v>
      </c>
      <c r="BA670" s="1">
        <v>1E-3</v>
      </c>
      <c r="BB670" s="1">
        <v>0</v>
      </c>
      <c r="BC670" s="1">
        <v>0</v>
      </c>
      <c r="BD670" s="1">
        <v>1E-3</v>
      </c>
      <c r="BE670" s="1">
        <v>0</v>
      </c>
      <c r="BF670" s="1">
        <v>1E-3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1E-3</v>
      </c>
      <c r="BM670" s="1">
        <v>0</v>
      </c>
      <c r="BN670" s="1">
        <v>0</v>
      </c>
      <c r="BO670" s="1">
        <v>0</v>
      </c>
      <c r="BP670" s="1">
        <v>0</v>
      </c>
      <c r="BQ670" s="1">
        <v>1E-3</v>
      </c>
      <c r="BR670" s="1">
        <v>0</v>
      </c>
      <c r="BS670" s="1">
        <v>4.0000000000000001E-3</v>
      </c>
      <c r="BT670" s="1">
        <v>0</v>
      </c>
      <c r="BU670" s="1">
        <v>0</v>
      </c>
      <c r="BV670" s="1">
        <v>0</v>
      </c>
      <c r="BW670" s="1">
        <v>0</v>
      </c>
      <c r="BX670" s="1">
        <v>0.66700000000000004</v>
      </c>
      <c r="BY670" s="1">
        <v>1E-3</v>
      </c>
      <c r="BZ670" s="1">
        <v>1E-3</v>
      </c>
      <c r="CA670" s="1">
        <v>1E-3</v>
      </c>
      <c r="CB670" s="1">
        <v>0</v>
      </c>
      <c r="CC670" s="1">
        <v>0</v>
      </c>
      <c r="CD670" s="1">
        <v>0</v>
      </c>
      <c r="CE670" s="1">
        <v>0</v>
      </c>
      <c r="CF670" s="1">
        <v>1E-3</v>
      </c>
      <c r="CG670" s="1">
        <v>1E-3</v>
      </c>
      <c r="CH670" s="1">
        <v>1E-3</v>
      </c>
      <c r="CI670" s="1">
        <v>0</v>
      </c>
      <c r="CJ670" s="1">
        <v>1E-3</v>
      </c>
      <c r="CK670" s="1">
        <v>0.28599999999999998</v>
      </c>
      <c r="CL670" s="1">
        <v>1E-3</v>
      </c>
      <c r="CM670" s="1">
        <v>42.22455463</v>
      </c>
      <c r="CN670" s="83">
        <v>-18.521628419999999</v>
      </c>
    </row>
    <row r="671" spans="1:92" s="3" customFormat="1" x14ac:dyDescent="0.25">
      <c r="A671" s="72">
        <v>703</v>
      </c>
      <c r="B671" s="81" t="s">
        <v>859</v>
      </c>
      <c r="C671" s="1" t="s">
        <v>83</v>
      </c>
      <c r="D671" s="1" t="s">
        <v>73</v>
      </c>
      <c r="E671" s="1" t="s">
        <v>99</v>
      </c>
      <c r="F671" s="1" t="s">
        <v>93</v>
      </c>
      <c r="G671" s="1" t="s">
        <v>80</v>
      </c>
      <c r="H671" s="1" t="s">
        <v>34</v>
      </c>
      <c r="I671" s="1"/>
      <c r="J671" s="9" t="s">
        <v>544</v>
      </c>
      <c r="K671" s="10">
        <v>0.44948149999999998</v>
      </c>
      <c r="L671" s="1" t="s">
        <v>641</v>
      </c>
      <c r="M671" s="1" t="s">
        <v>76</v>
      </c>
      <c r="N671" s="1" t="s">
        <v>644</v>
      </c>
      <c r="O671" s="1" t="s">
        <v>55</v>
      </c>
      <c r="P671" s="82">
        <v>0.33500000000000002</v>
      </c>
      <c r="Q671" s="1" t="s">
        <v>76</v>
      </c>
      <c r="R671" s="81" t="s">
        <v>91</v>
      </c>
      <c r="S671" s="1" t="s">
        <v>76</v>
      </c>
      <c r="T671" s="1" t="s">
        <v>78</v>
      </c>
      <c r="U671" s="1" t="s">
        <v>658</v>
      </c>
      <c r="V671" s="1" t="s">
        <v>655</v>
      </c>
      <c r="W671" s="1">
        <v>36</v>
      </c>
      <c r="X671" s="1" t="s">
        <v>348</v>
      </c>
      <c r="Y671" s="1" t="s">
        <v>644</v>
      </c>
      <c r="Z671" s="1">
        <v>1E-3</v>
      </c>
      <c r="AA671" s="1">
        <v>3.0000000000000001E-3</v>
      </c>
      <c r="AB671" s="1">
        <v>3.0000000000000001E-3</v>
      </c>
      <c r="AC671" s="1">
        <v>8.9999999999999993E-3</v>
      </c>
      <c r="AD671" s="1">
        <v>2E-3</v>
      </c>
      <c r="AE671" s="1">
        <v>3.1E-2</v>
      </c>
      <c r="AF671" s="1">
        <v>3.0000000000000001E-3</v>
      </c>
      <c r="AG671" s="1">
        <v>0</v>
      </c>
      <c r="AH671" s="1">
        <v>0.01</v>
      </c>
      <c r="AI671" s="1">
        <v>1E-3</v>
      </c>
      <c r="AJ671" s="1">
        <v>3.6999999999999998E-2</v>
      </c>
      <c r="AK671" s="1">
        <v>0.14799999999999999</v>
      </c>
      <c r="AL671" s="1">
        <v>2E-3</v>
      </c>
      <c r="AM671" s="1">
        <v>3.0000000000000001E-3</v>
      </c>
      <c r="AN671" s="1">
        <v>8.9999999999999993E-3</v>
      </c>
      <c r="AO671" s="1">
        <v>3.0000000000000001E-3</v>
      </c>
      <c r="AP671" s="1">
        <v>2E-3</v>
      </c>
      <c r="AQ671" s="1">
        <v>2E-3</v>
      </c>
      <c r="AR671" s="1">
        <v>6.0000000000000001E-3</v>
      </c>
      <c r="AS671" s="1">
        <v>0.01</v>
      </c>
      <c r="AT671" s="1">
        <v>5.0000000000000001E-3</v>
      </c>
      <c r="AU671" s="1">
        <v>3.0000000000000001E-3</v>
      </c>
      <c r="AV671" s="1">
        <v>2E-3</v>
      </c>
      <c r="AW671" s="1">
        <v>5.0000000000000001E-3</v>
      </c>
      <c r="AX671" s="1">
        <v>2E-3</v>
      </c>
      <c r="AY671" s="1">
        <v>3.0000000000000001E-3</v>
      </c>
      <c r="AZ671" s="1">
        <v>6.0000000000000001E-3</v>
      </c>
      <c r="BA671" s="1">
        <v>8.0000000000000002E-3</v>
      </c>
      <c r="BB671" s="1">
        <v>4.5999999999999999E-2</v>
      </c>
      <c r="BC671" s="1">
        <v>2E-3</v>
      </c>
      <c r="BD671" s="1">
        <v>1.2E-2</v>
      </c>
      <c r="BE671" s="1">
        <v>2E-3</v>
      </c>
      <c r="BF671" s="1">
        <v>1E-3</v>
      </c>
      <c r="BG671" s="1">
        <v>2E-3</v>
      </c>
      <c r="BH671" s="1">
        <v>2E-3</v>
      </c>
      <c r="BI671" s="1">
        <v>2E-3</v>
      </c>
      <c r="BJ671" s="1">
        <v>1E-3</v>
      </c>
      <c r="BK671" s="1">
        <v>1E-3</v>
      </c>
      <c r="BL671" s="1">
        <v>3.0000000000000001E-3</v>
      </c>
      <c r="BM671" s="1">
        <v>2E-3</v>
      </c>
      <c r="BN671" s="1">
        <v>3.0000000000000001E-3</v>
      </c>
      <c r="BO671" s="1">
        <v>1.4999999999999999E-2</v>
      </c>
      <c r="BP671" s="1">
        <v>1E-3</v>
      </c>
      <c r="BQ671" s="1">
        <v>5.0000000000000001E-3</v>
      </c>
      <c r="BR671" s="1">
        <v>2E-3</v>
      </c>
      <c r="BS671" s="1">
        <v>3.0000000000000001E-3</v>
      </c>
      <c r="BT671" s="1">
        <v>1E-3</v>
      </c>
      <c r="BU671" s="1">
        <v>2E-3</v>
      </c>
      <c r="BV671" s="1">
        <v>0.11700000000000001</v>
      </c>
      <c r="BW671" s="1">
        <v>3.0000000000000001E-3</v>
      </c>
      <c r="BX671" s="1">
        <v>0.33500000000000002</v>
      </c>
      <c r="BY671" s="1">
        <v>5.0000000000000001E-3</v>
      </c>
      <c r="BZ671" s="1">
        <v>4.0000000000000001E-3</v>
      </c>
      <c r="CA671" s="1">
        <v>4.0000000000000001E-3</v>
      </c>
      <c r="CB671" s="1">
        <v>1E-3</v>
      </c>
      <c r="CC671" s="1">
        <v>3.0000000000000001E-3</v>
      </c>
      <c r="CD671" s="1">
        <v>0</v>
      </c>
      <c r="CE671" s="1">
        <v>2E-3</v>
      </c>
      <c r="CF671" s="1">
        <v>2E-3</v>
      </c>
      <c r="CG671" s="1">
        <v>7.0000000000000001E-3</v>
      </c>
      <c r="CH671" s="1">
        <v>5.0000000000000001E-3</v>
      </c>
      <c r="CI671" s="1">
        <v>3.0000000000000001E-3</v>
      </c>
      <c r="CJ671" s="1">
        <v>6.0000000000000001E-3</v>
      </c>
      <c r="CK671" s="1">
        <v>7.0000000000000007E-2</v>
      </c>
      <c r="CL671" s="1">
        <v>5.0000000000000001E-3</v>
      </c>
      <c r="CM671" s="1">
        <v>-7.6552799699999996</v>
      </c>
      <c r="CN671" s="83">
        <v>1.269740546</v>
      </c>
    </row>
    <row r="672" spans="1:92" s="3" customFormat="1" x14ac:dyDescent="0.25">
      <c r="A672" s="72">
        <v>682</v>
      </c>
      <c r="B672" s="81" t="s">
        <v>1402</v>
      </c>
      <c r="C672" s="1" t="s">
        <v>83</v>
      </c>
      <c r="D672" s="1" t="s">
        <v>73</v>
      </c>
      <c r="E672" s="1" t="s">
        <v>99</v>
      </c>
      <c r="F672" s="1" t="s">
        <v>128</v>
      </c>
      <c r="G672" s="1" t="s">
        <v>373</v>
      </c>
      <c r="H672" s="1" t="s">
        <v>570</v>
      </c>
      <c r="I672" s="1"/>
      <c r="J672" s="9" t="s">
        <v>544</v>
      </c>
      <c r="K672" s="10">
        <v>0.46034866666666702</v>
      </c>
      <c r="L672" s="1" t="s">
        <v>624</v>
      </c>
      <c r="M672" s="1" t="s">
        <v>506</v>
      </c>
      <c r="N672" s="96" t="s">
        <v>647</v>
      </c>
      <c r="O672" s="1" t="s">
        <v>68</v>
      </c>
      <c r="P672" s="82">
        <v>0.999</v>
      </c>
      <c r="Q672" s="1" t="s">
        <v>76</v>
      </c>
      <c r="R672" s="81" t="s">
        <v>374</v>
      </c>
      <c r="S672" s="1">
        <v>3</v>
      </c>
      <c r="T672" s="1" t="s">
        <v>78</v>
      </c>
      <c r="U672" s="1" t="s">
        <v>658</v>
      </c>
      <c r="V672" s="1" t="s">
        <v>654</v>
      </c>
      <c r="W672" s="1">
        <v>21</v>
      </c>
      <c r="X672" s="1" t="s">
        <v>375</v>
      </c>
      <c r="Y672" s="1" t="s">
        <v>647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0.999</v>
      </c>
      <c r="CL672" s="1">
        <v>0</v>
      </c>
      <c r="CM672" s="1">
        <v>60.56938615</v>
      </c>
      <c r="CN672" s="83">
        <v>-11.134071929999999</v>
      </c>
    </row>
    <row r="673" spans="1:92" s="3" customFormat="1" x14ac:dyDescent="0.25">
      <c r="A673" s="72">
        <v>705</v>
      </c>
      <c r="B673" s="81" t="s">
        <v>1258</v>
      </c>
      <c r="C673" s="1" t="s">
        <v>83</v>
      </c>
      <c r="D673" s="1" t="s">
        <v>73</v>
      </c>
      <c r="E673" s="1" t="s">
        <v>99</v>
      </c>
      <c r="F673" s="1" t="s">
        <v>93</v>
      </c>
      <c r="G673" s="1" t="s">
        <v>80</v>
      </c>
      <c r="H673" s="1" t="s">
        <v>34</v>
      </c>
      <c r="I673" s="1"/>
      <c r="J673" s="9" t="s">
        <v>544</v>
      </c>
      <c r="K673" s="10">
        <v>0.30019116666666701</v>
      </c>
      <c r="L673" s="1" t="s">
        <v>641</v>
      </c>
      <c r="M673" s="1" t="s">
        <v>76</v>
      </c>
      <c r="N673" s="1" t="s">
        <v>644</v>
      </c>
      <c r="O673" s="1" t="s">
        <v>19</v>
      </c>
      <c r="P673" s="82">
        <v>0.47099999999999997</v>
      </c>
      <c r="Q673" s="1" t="s">
        <v>76</v>
      </c>
      <c r="R673" s="81" t="s">
        <v>77</v>
      </c>
      <c r="S673" s="1" t="s">
        <v>76</v>
      </c>
      <c r="T673" s="1" t="s">
        <v>78</v>
      </c>
      <c r="U673" s="1" t="s">
        <v>658</v>
      </c>
      <c r="V673" s="1" t="s">
        <v>655</v>
      </c>
      <c r="W673" s="1">
        <v>30</v>
      </c>
      <c r="X673" s="1" t="s">
        <v>348</v>
      </c>
      <c r="Y673" s="1" t="s">
        <v>644</v>
      </c>
      <c r="Z673" s="1">
        <v>2.5000000000000001E-2</v>
      </c>
      <c r="AA673" s="1">
        <v>1E-3</v>
      </c>
      <c r="AB673" s="1">
        <v>1E-3</v>
      </c>
      <c r="AC673" s="1">
        <v>2E-3</v>
      </c>
      <c r="AD673" s="1">
        <v>2E-3</v>
      </c>
      <c r="AE673" s="1">
        <v>3.0000000000000001E-3</v>
      </c>
      <c r="AF673" s="1">
        <v>1E-3</v>
      </c>
      <c r="AG673" s="1">
        <v>0</v>
      </c>
      <c r="AH673" s="1">
        <v>8.9999999999999993E-3</v>
      </c>
      <c r="AI673" s="1">
        <v>0</v>
      </c>
      <c r="AJ673" s="1">
        <v>9.7000000000000003E-2</v>
      </c>
      <c r="AK673" s="1">
        <v>1E-3</v>
      </c>
      <c r="AL673" s="1">
        <v>0</v>
      </c>
      <c r="AM673" s="1">
        <v>1E-3</v>
      </c>
      <c r="AN673" s="1">
        <v>0.47099999999999997</v>
      </c>
      <c r="AO673" s="1">
        <v>1E-3</v>
      </c>
      <c r="AP673" s="1">
        <v>1E-3</v>
      </c>
      <c r="AQ673" s="1">
        <v>1E-3</v>
      </c>
      <c r="AR673" s="1">
        <v>0.02</v>
      </c>
      <c r="AS673" s="1">
        <v>2E-3</v>
      </c>
      <c r="AT673" s="1">
        <v>1E-3</v>
      </c>
      <c r="AU673" s="1">
        <v>2E-3</v>
      </c>
      <c r="AV673" s="1">
        <v>2E-3</v>
      </c>
      <c r="AW673" s="1">
        <v>1E-3</v>
      </c>
      <c r="AX673" s="1">
        <v>5.0000000000000001E-3</v>
      </c>
      <c r="AY673" s="1">
        <v>2E-3</v>
      </c>
      <c r="AZ673" s="1">
        <v>3.0000000000000001E-3</v>
      </c>
      <c r="BA673" s="1">
        <v>3.0000000000000001E-3</v>
      </c>
      <c r="BB673" s="1">
        <v>2E-3</v>
      </c>
      <c r="BC673" s="1">
        <v>2E-3</v>
      </c>
      <c r="BD673" s="1">
        <v>6.0000000000000001E-3</v>
      </c>
      <c r="BE673" s="1">
        <v>1E-3</v>
      </c>
      <c r="BF673" s="1">
        <v>3.0000000000000001E-3</v>
      </c>
      <c r="BG673" s="1">
        <v>0</v>
      </c>
      <c r="BH673" s="1">
        <v>1E-3</v>
      </c>
      <c r="BI673" s="1">
        <v>1E-3</v>
      </c>
      <c r="BJ673" s="1">
        <v>1E-3</v>
      </c>
      <c r="BK673" s="1">
        <v>0</v>
      </c>
      <c r="BL673" s="1">
        <v>1E-3</v>
      </c>
      <c r="BM673" s="1">
        <v>1E-3</v>
      </c>
      <c r="BN673" s="1">
        <v>1E-3</v>
      </c>
      <c r="BO673" s="1">
        <v>1E-3</v>
      </c>
      <c r="BP673" s="1">
        <v>1E-3</v>
      </c>
      <c r="BQ673" s="1">
        <v>1E-3</v>
      </c>
      <c r="BR673" s="1">
        <v>1E-3</v>
      </c>
      <c r="BS673" s="1">
        <v>1.2E-2</v>
      </c>
      <c r="BT673" s="1">
        <v>0</v>
      </c>
      <c r="BU673" s="1">
        <v>2E-3</v>
      </c>
      <c r="BV673" s="1">
        <v>2E-3</v>
      </c>
      <c r="BW673" s="1">
        <v>1E-3</v>
      </c>
      <c r="BX673" s="1">
        <v>0.02</v>
      </c>
      <c r="BY673" s="1">
        <v>2E-3</v>
      </c>
      <c r="BZ673" s="1">
        <v>3.0000000000000001E-3</v>
      </c>
      <c r="CA673" s="1">
        <v>1E-3</v>
      </c>
      <c r="CB673" s="1">
        <v>1E-3</v>
      </c>
      <c r="CC673" s="1">
        <v>1E-3</v>
      </c>
      <c r="CD673" s="1">
        <v>0</v>
      </c>
      <c r="CE673" s="1">
        <v>1E-3</v>
      </c>
      <c r="CF673" s="1">
        <v>1E-3</v>
      </c>
      <c r="CG673" s="1">
        <v>2E-3</v>
      </c>
      <c r="CH673" s="1">
        <v>1E-3</v>
      </c>
      <c r="CI673" s="1">
        <v>1E-3</v>
      </c>
      <c r="CJ673" s="1">
        <v>1E-3</v>
      </c>
      <c r="CK673" s="1">
        <v>0.26600000000000001</v>
      </c>
      <c r="CL673" s="1">
        <v>2E-3</v>
      </c>
      <c r="CM673" s="1">
        <v>-19.666712220000001</v>
      </c>
      <c r="CN673" s="83">
        <v>-11.790855730000001</v>
      </c>
    </row>
    <row r="674" spans="1:92" s="3" customFormat="1" x14ac:dyDescent="0.25">
      <c r="A674" s="72">
        <v>706</v>
      </c>
      <c r="B674" s="81" t="s">
        <v>1209</v>
      </c>
      <c r="C674" s="1" t="s">
        <v>83</v>
      </c>
      <c r="D674" s="1" t="s">
        <v>73</v>
      </c>
      <c r="E674" s="1" t="s">
        <v>99</v>
      </c>
      <c r="F674" s="1" t="s">
        <v>93</v>
      </c>
      <c r="G674" s="1" t="s">
        <v>80</v>
      </c>
      <c r="H674" s="1" t="s">
        <v>34</v>
      </c>
      <c r="I674" s="1"/>
      <c r="J674" s="9" t="s">
        <v>544</v>
      </c>
      <c r="K674" s="10">
        <v>0.34243316666666701</v>
      </c>
      <c r="L674" s="1" t="s">
        <v>641</v>
      </c>
      <c r="M674" s="1" t="s">
        <v>76</v>
      </c>
      <c r="N674" s="1" t="s">
        <v>644</v>
      </c>
      <c r="O674" s="1" t="s">
        <v>55</v>
      </c>
      <c r="P674" s="82">
        <v>0.11799999999999999</v>
      </c>
      <c r="Q674" s="1" t="s">
        <v>76</v>
      </c>
      <c r="R674" s="81" t="s">
        <v>378</v>
      </c>
      <c r="S674" s="1" t="s">
        <v>76</v>
      </c>
      <c r="T674" s="1" t="s">
        <v>78</v>
      </c>
      <c r="U674" s="1" t="s">
        <v>658</v>
      </c>
      <c r="V674" s="1" t="s">
        <v>655</v>
      </c>
      <c r="W674" s="1">
        <v>40</v>
      </c>
      <c r="X674" s="1" t="s">
        <v>348</v>
      </c>
      <c r="Y674" s="1" t="s">
        <v>644</v>
      </c>
      <c r="Z674" s="1">
        <v>6.0000000000000001E-3</v>
      </c>
      <c r="AA674" s="1">
        <v>5.0000000000000001E-3</v>
      </c>
      <c r="AB674" s="1">
        <v>6.0000000000000001E-3</v>
      </c>
      <c r="AC674" s="1">
        <v>0.03</v>
      </c>
      <c r="AD674" s="1">
        <v>1.0999999999999999E-2</v>
      </c>
      <c r="AE674" s="1">
        <v>8.2000000000000003E-2</v>
      </c>
      <c r="AF674" s="1">
        <v>5.0000000000000001E-3</v>
      </c>
      <c r="AG674" s="1">
        <v>1E-3</v>
      </c>
      <c r="AH674" s="1">
        <v>3.1E-2</v>
      </c>
      <c r="AI674" s="1">
        <v>3.0000000000000001E-3</v>
      </c>
      <c r="AJ674" s="1">
        <v>0.11</v>
      </c>
      <c r="AK674" s="1">
        <v>0.05</v>
      </c>
      <c r="AL674" s="1">
        <v>1E-3</v>
      </c>
      <c r="AM674" s="1">
        <v>4.0000000000000001E-3</v>
      </c>
      <c r="AN674" s="1">
        <v>8.3000000000000004E-2</v>
      </c>
      <c r="AO674" s="1">
        <v>4.0000000000000001E-3</v>
      </c>
      <c r="AP674" s="1">
        <v>4.0000000000000001E-3</v>
      </c>
      <c r="AQ674" s="1">
        <v>3.0000000000000001E-3</v>
      </c>
      <c r="AR674" s="1">
        <v>1.0999999999999999E-2</v>
      </c>
      <c r="AS674" s="1">
        <v>1.4999999999999999E-2</v>
      </c>
      <c r="AT674" s="1">
        <v>7.0000000000000001E-3</v>
      </c>
      <c r="AU674" s="1">
        <v>6.0000000000000001E-3</v>
      </c>
      <c r="AV674" s="1">
        <v>7.0000000000000001E-3</v>
      </c>
      <c r="AW674" s="1">
        <v>7.0000000000000001E-3</v>
      </c>
      <c r="AX674" s="1">
        <v>5.0000000000000001E-3</v>
      </c>
      <c r="AY674" s="1">
        <v>6.0000000000000001E-3</v>
      </c>
      <c r="AZ674" s="1">
        <v>1.2E-2</v>
      </c>
      <c r="BA674" s="1">
        <v>1.6E-2</v>
      </c>
      <c r="BB674" s="1">
        <v>1.2E-2</v>
      </c>
      <c r="BC674" s="1">
        <v>3.0000000000000001E-3</v>
      </c>
      <c r="BD674" s="1">
        <v>3.2000000000000001E-2</v>
      </c>
      <c r="BE674" s="1">
        <v>5.0000000000000001E-3</v>
      </c>
      <c r="BF674" s="1">
        <v>1.7000000000000001E-2</v>
      </c>
      <c r="BG674" s="1">
        <v>3.0000000000000001E-3</v>
      </c>
      <c r="BH674" s="1">
        <v>7.0000000000000001E-3</v>
      </c>
      <c r="BI674" s="1">
        <v>3.0000000000000001E-3</v>
      </c>
      <c r="BJ674" s="1">
        <v>2E-3</v>
      </c>
      <c r="BK674" s="1">
        <v>3.0000000000000001E-3</v>
      </c>
      <c r="BL674" s="1">
        <v>5.0000000000000001E-3</v>
      </c>
      <c r="BM674" s="1">
        <v>4.0000000000000001E-3</v>
      </c>
      <c r="BN674" s="1">
        <v>6.0000000000000001E-3</v>
      </c>
      <c r="BO674" s="1">
        <v>1.2E-2</v>
      </c>
      <c r="BP674" s="1">
        <v>2E-3</v>
      </c>
      <c r="BQ674" s="1">
        <v>8.9999999999999993E-3</v>
      </c>
      <c r="BR674" s="1">
        <v>5.0000000000000001E-3</v>
      </c>
      <c r="BS674" s="1">
        <v>8.0000000000000002E-3</v>
      </c>
      <c r="BT674" s="1">
        <v>3.0000000000000001E-3</v>
      </c>
      <c r="BU674" s="1">
        <v>4.0000000000000001E-3</v>
      </c>
      <c r="BV674" s="1">
        <v>1.4E-2</v>
      </c>
      <c r="BW674" s="1">
        <v>5.0000000000000001E-3</v>
      </c>
      <c r="BX674" s="1">
        <v>0.11799999999999999</v>
      </c>
      <c r="BY674" s="1">
        <v>1.2E-2</v>
      </c>
      <c r="BZ674" s="1">
        <v>1.0999999999999999E-2</v>
      </c>
      <c r="CA674" s="1">
        <v>1.2999999999999999E-2</v>
      </c>
      <c r="CB674" s="1">
        <v>3.0000000000000001E-3</v>
      </c>
      <c r="CC674" s="1">
        <v>7.0000000000000001E-3</v>
      </c>
      <c r="CD674" s="1">
        <v>1E-3</v>
      </c>
      <c r="CE674" s="1">
        <v>4.0000000000000001E-3</v>
      </c>
      <c r="CF674" s="1">
        <v>5.0000000000000001E-3</v>
      </c>
      <c r="CG674" s="1">
        <v>1.0999999999999999E-2</v>
      </c>
      <c r="CH674" s="1">
        <v>8.9999999999999993E-3</v>
      </c>
      <c r="CI674" s="1">
        <v>7.0000000000000001E-3</v>
      </c>
      <c r="CJ674" s="1">
        <v>0.01</v>
      </c>
      <c r="CK674" s="1">
        <v>8.6999999999999994E-2</v>
      </c>
      <c r="CL674" s="1">
        <v>8.9999999999999993E-3</v>
      </c>
      <c r="CM674" s="1">
        <v>-11.591532239999999</v>
      </c>
      <c r="CN674" s="83">
        <v>-8.4801346550000005</v>
      </c>
    </row>
    <row r="675" spans="1:92" s="3" customFormat="1" x14ac:dyDescent="0.25">
      <c r="A675" s="72">
        <v>707</v>
      </c>
      <c r="B675" s="81" t="s">
        <v>1525</v>
      </c>
      <c r="C675" s="1" t="s">
        <v>83</v>
      </c>
      <c r="D675" s="1" t="s">
        <v>73</v>
      </c>
      <c r="E675" s="1" t="s">
        <v>99</v>
      </c>
      <c r="F675" s="1" t="s">
        <v>93</v>
      </c>
      <c r="G675" s="1" t="s">
        <v>80</v>
      </c>
      <c r="H675" s="1" t="s">
        <v>34</v>
      </c>
      <c r="I675" s="1"/>
      <c r="J675" s="9" t="s">
        <v>544</v>
      </c>
      <c r="K675" s="10">
        <v>0.28693649999999998</v>
      </c>
      <c r="L675" s="1" t="s">
        <v>76</v>
      </c>
      <c r="M675" s="1" t="s">
        <v>506</v>
      </c>
      <c r="N675" s="1" t="s">
        <v>645</v>
      </c>
      <c r="O675" s="1" t="s">
        <v>34</v>
      </c>
      <c r="P675" s="82">
        <v>0.96699999999999997</v>
      </c>
      <c r="Q675" s="1" t="s">
        <v>76</v>
      </c>
      <c r="R675" s="81" t="s">
        <v>77</v>
      </c>
      <c r="S675" s="1" t="s">
        <v>76</v>
      </c>
      <c r="T675" s="1" t="s">
        <v>78</v>
      </c>
      <c r="U675" s="1" t="s">
        <v>658</v>
      </c>
      <c r="V675" s="1" t="s">
        <v>655</v>
      </c>
      <c r="W675" s="1">
        <v>65</v>
      </c>
      <c r="X675" s="1" t="s">
        <v>96</v>
      </c>
      <c r="Y675" s="1" t="s">
        <v>645</v>
      </c>
      <c r="Z675" s="1">
        <v>0</v>
      </c>
      <c r="AA675" s="1">
        <v>0</v>
      </c>
      <c r="AB675" s="1">
        <v>0</v>
      </c>
      <c r="AC675" s="1">
        <v>1E-3</v>
      </c>
      <c r="AD675" s="1">
        <v>0</v>
      </c>
      <c r="AE675" s="1">
        <v>0</v>
      </c>
      <c r="AF675" s="1">
        <v>0</v>
      </c>
      <c r="AG675" s="1">
        <v>0</v>
      </c>
      <c r="AH675" s="1">
        <v>1E-3</v>
      </c>
      <c r="AI675" s="1">
        <v>0</v>
      </c>
      <c r="AJ675" s="1">
        <v>0</v>
      </c>
      <c r="AK675" s="1">
        <v>0</v>
      </c>
      <c r="AL675" s="1">
        <v>6.0000000000000001E-3</v>
      </c>
      <c r="AM675" s="1">
        <v>0</v>
      </c>
      <c r="AN675" s="1">
        <v>2E-3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1E-3</v>
      </c>
      <c r="AY675" s="1">
        <v>0</v>
      </c>
      <c r="AZ675" s="1">
        <v>0</v>
      </c>
      <c r="BA675" s="1">
        <v>0</v>
      </c>
      <c r="BB675" s="1">
        <v>0</v>
      </c>
      <c r="BC675" s="1">
        <v>0.96699999999999997</v>
      </c>
      <c r="BD675" s="1">
        <v>1E-3</v>
      </c>
      <c r="BE675" s="1">
        <v>0</v>
      </c>
      <c r="BF675" s="1">
        <v>2E-3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1E-3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2E-3</v>
      </c>
      <c r="BY675" s="1">
        <v>1E-3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6.0000000000000001E-3</v>
      </c>
      <c r="CL675" s="1">
        <v>0</v>
      </c>
      <c r="CM675" s="1">
        <v>5.1041620190000003</v>
      </c>
      <c r="CN675" s="83">
        <v>-24.120071419999999</v>
      </c>
    </row>
    <row r="676" spans="1:92" s="3" customFormat="1" x14ac:dyDescent="0.25">
      <c r="A676" s="72">
        <v>708</v>
      </c>
      <c r="B676" s="81" t="s">
        <v>1473</v>
      </c>
      <c r="C676" s="1" t="s">
        <v>83</v>
      </c>
      <c r="D676" s="1" t="s">
        <v>73</v>
      </c>
      <c r="E676" s="1" t="s">
        <v>99</v>
      </c>
      <c r="F676" s="1" t="s">
        <v>93</v>
      </c>
      <c r="G676" s="1" t="s">
        <v>80</v>
      </c>
      <c r="H676" s="1" t="s">
        <v>34</v>
      </c>
      <c r="I676" s="1"/>
      <c r="J676" s="9" t="s">
        <v>544</v>
      </c>
      <c r="K676" s="10">
        <v>0.35246533333333302</v>
      </c>
      <c r="L676" s="1" t="s">
        <v>76</v>
      </c>
      <c r="M676" s="1" t="s">
        <v>506</v>
      </c>
      <c r="N676" s="1" t="s">
        <v>645</v>
      </c>
      <c r="O676" s="1" t="s">
        <v>34</v>
      </c>
      <c r="P676" s="82">
        <v>0.998</v>
      </c>
      <c r="Q676" s="1" t="s">
        <v>76</v>
      </c>
      <c r="R676" s="81" t="s">
        <v>87</v>
      </c>
      <c r="S676" s="1" t="s">
        <v>76</v>
      </c>
      <c r="T676" s="1" t="s">
        <v>78</v>
      </c>
      <c r="U676" s="1" t="s">
        <v>658</v>
      </c>
      <c r="V676" s="1" t="s">
        <v>655</v>
      </c>
      <c r="W676" s="1">
        <v>34</v>
      </c>
      <c r="X676" s="1" t="s">
        <v>96</v>
      </c>
      <c r="Y676" s="1" t="s">
        <v>645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1E-3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0.998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44.510011980000002</v>
      </c>
      <c r="CN676" s="83">
        <v>-2.2035719650000001</v>
      </c>
    </row>
    <row r="677" spans="1:92" s="3" customFormat="1" x14ac:dyDescent="0.25">
      <c r="A677" s="72">
        <v>709</v>
      </c>
      <c r="B677" s="81" t="s">
        <v>1589</v>
      </c>
      <c r="C677" s="1" t="s">
        <v>83</v>
      </c>
      <c r="D677" s="1" t="s">
        <v>73</v>
      </c>
      <c r="E677" s="1" t="s">
        <v>74</v>
      </c>
      <c r="F677" s="1" t="s">
        <v>155</v>
      </c>
      <c r="G677" s="1" t="s">
        <v>76</v>
      </c>
      <c r="H677" s="1" t="s">
        <v>156</v>
      </c>
      <c r="I677" s="1"/>
      <c r="J677" s="9" t="s">
        <v>506</v>
      </c>
      <c r="K677" s="10">
        <v>0.46749050000000097</v>
      </c>
      <c r="L677" s="1" t="s">
        <v>641</v>
      </c>
      <c r="M677" s="1" t="s">
        <v>76</v>
      </c>
      <c r="N677" s="1" t="s">
        <v>644</v>
      </c>
      <c r="O677" s="1" t="s">
        <v>16</v>
      </c>
      <c r="P677" s="82">
        <v>0.13500000000000001</v>
      </c>
      <c r="Q677" s="1" t="s">
        <v>76</v>
      </c>
      <c r="R677" s="81" t="s">
        <v>293</v>
      </c>
      <c r="S677" s="1" t="s">
        <v>314</v>
      </c>
      <c r="T677" s="1" t="s">
        <v>78</v>
      </c>
      <c r="U677" s="1" t="s">
        <v>658</v>
      </c>
      <c r="V677" s="1" t="s">
        <v>654</v>
      </c>
      <c r="W677" s="1">
        <v>65</v>
      </c>
      <c r="X677" s="1" t="s">
        <v>76</v>
      </c>
      <c r="Y677" s="1" t="s">
        <v>644</v>
      </c>
      <c r="Z677" s="1">
        <v>2E-3</v>
      </c>
      <c r="AA677" s="1">
        <v>6.0000000000000001E-3</v>
      </c>
      <c r="AB677" s="1">
        <v>7.0000000000000001E-3</v>
      </c>
      <c r="AC677" s="1">
        <v>0.04</v>
      </c>
      <c r="AD677" s="1">
        <v>6.0000000000000001E-3</v>
      </c>
      <c r="AE677" s="1">
        <v>2.5999999999999999E-2</v>
      </c>
      <c r="AF677" s="1">
        <v>8.0000000000000002E-3</v>
      </c>
      <c r="AG677" s="1">
        <v>1E-3</v>
      </c>
      <c r="AH677" s="1">
        <v>2.3E-2</v>
      </c>
      <c r="AI677" s="1">
        <v>2E-3</v>
      </c>
      <c r="AJ677" s="1">
        <v>1.2E-2</v>
      </c>
      <c r="AK677" s="1">
        <v>0.13500000000000001</v>
      </c>
      <c r="AL677" s="1">
        <v>3.0000000000000001E-3</v>
      </c>
      <c r="AM677" s="1">
        <v>5.0000000000000001E-3</v>
      </c>
      <c r="AN677" s="1">
        <v>8.9999999999999993E-3</v>
      </c>
      <c r="AO677" s="1">
        <v>0.01</v>
      </c>
      <c r="AP677" s="1">
        <v>4.0000000000000001E-3</v>
      </c>
      <c r="AQ677" s="1">
        <v>4.0000000000000001E-3</v>
      </c>
      <c r="AR677" s="1">
        <v>5.0000000000000001E-3</v>
      </c>
      <c r="AS677" s="1">
        <v>8.1000000000000003E-2</v>
      </c>
      <c r="AT677" s="1">
        <v>1.4E-2</v>
      </c>
      <c r="AU677" s="1">
        <v>7.0000000000000001E-3</v>
      </c>
      <c r="AV677" s="1">
        <v>4.0000000000000001E-3</v>
      </c>
      <c r="AW677" s="1">
        <v>2.4E-2</v>
      </c>
      <c r="AX677" s="1">
        <v>4.0000000000000001E-3</v>
      </c>
      <c r="AY677" s="1">
        <v>8.9999999999999993E-3</v>
      </c>
      <c r="AZ677" s="1">
        <v>1.2999999999999999E-2</v>
      </c>
      <c r="BA677" s="1">
        <v>2.7E-2</v>
      </c>
      <c r="BB677" s="1">
        <v>1.4E-2</v>
      </c>
      <c r="BC677" s="1">
        <v>3.0000000000000001E-3</v>
      </c>
      <c r="BD677" s="1">
        <v>3.3000000000000002E-2</v>
      </c>
      <c r="BE677" s="1">
        <v>6.0000000000000001E-3</v>
      </c>
      <c r="BF677" s="1">
        <v>2E-3</v>
      </c>
      <c r="BG677" s="1">
        <v>6.0000000000000001E-3</v>
      </c>
      <c r="BH677" s="1">
        <v>4.0000000000000001E-3</v>
      </c>
      <c r="BI677" s="1">
        <v>4.0000000000000001E-3</v>
      </c>
      <c r="BJ677" s="1">
        <v>2E-3</v>
      </c>
      <c r="BK677" s="1">
        <v>3.0000000000000001E-3</v>
      </c>
      <c r="BL677" s="1">
        <v>1.2999999999999999E-2</v>
      </c>
      <c r="BM677" s="1">
        <v>5.0000000000000001E-3</v>
      </c>
      <c r="BN677" s="1">
        <v>0.01</v>
      </c>
      <c r="BO677" s="1">
        <v>8.9999999999999993E-3</v>
      </c>
      <c r="BP677" s="1">
        <v>2E-3</v>
      </c>
      <c r="BQ677" s="1">
        <v>1.6E-2</v>
      </c>
      <c r="BR677" s="1">
        <v>5.0000000000000001E-3</v>
      </c>
      <c r="BS677" s="1">
        <v>4.0000000000000001E-3</v>
      </c>
      <c r="BT677" s="1">
        <v>4.0000000000000001E-3</v>
      </c>
      <c r="BU677" s="1">
        <v>3.0000000000000001E-3</v>
      </c>
      <c r="BV677" s="1">
        <v>4.1000000000000002E-2</v>
      </c>
      <c r="BW677" s="1">
        <v>0.01</v>
      </c>
      <c r="BX677" s="1">
        <v>3.9E-2</v>
      </c>
      <c r="BY677" s="1">
        <v>1.2E-2</v>
      </c>
      <c r="BZ677" s="1">
        <v>0.01</v>
      </c>
      <c r="CA677" s="1">
        <v>5.0000000000000001E-3</v>
      </c>
      <c r="CB677" s="1">
        <v>4.0000000000000001E-3</v>
      </c>
      <c r="CC677" s="1">
        <v>8.9999999999999993E-3</v>
      </c>
      <c r="CD677" s="1">
        <v>1E-3</v>
      </c>
      <c r="CE677" s="1">
        <v>5.0000000000000001E-3</v>
      </c>
      <c r="CF677" s="1">
        <v>5.0000000000000001E-3</v>
      </c>
      <c r="CG677" s="1">
        <v>1.0999999999999999E-2</v>
      </c>
      <c r="CH677" s="1">
        <v>3.1E-2</v>
      </c>
      <c r="CI677" s="1">
        <v>1.2E-2</v>
      </c>
      <c r="CJ677" s="1">
        <v>1.9E-2</v>
      </c>
      <c r="CK677" s="1">
        <v>0.13</v>
      </c>
      <c r="CL677" s="1">
        <v>1.9E-2</v>
      </c>
      <c r="CM677" s="1">
        <v>-8.6946244569999998</v>
      </c>
      <c r="CN677" s="83">
        <v>1.614160979</v>
      </c>
    </row>
    <row r="678" spans="1:92" s="3" customFormat="1" x14ac:dyDescent="0.25">
      <c r="A678" s="72">
        <v>695</v>
      </c>
      <c r="B678" s="81" t="s">
        <v>984</v>
      </c>
      <c r="C678" s="1" t="s">
        <v>83</v>
      </c>
      <c r="D678" s="1" t="s">
        <v>73</v>
      </c>
      <c r="E678" s="1" t="s">
        <v>74</v>
      </c>
      <c r="F678" s="1" t="s">
        <v>128</v>
      </c>
      <c r="G678" s="1" t="s">
        <v>307</v>
      </c>
      <c r="H678" s="1" t="s">
        <v>570</v>
      </c>
      <c r="I678" s="1"/>
      <c r="J678" s="9" t="s">
        <v>544</v>
      </c>
      <c r="K678" s="10">
        <v>0.47563033333333299</v>
      </c>
      <c r="L678" s="1" t="s">
        <v>517</v>
      </c>
      <c r="M678" s="1" t="s">
        <v>506</v>
      </c>
      <c r="N678" s="96" t="s">
        <v>647</v>
      </c>
      <c r="O678" s="1" t="s">
        <v>68</v>
      </c>
      <c r="P678" s="82">
        <v>0.998</v>
      </c>
      <c r="Q678" s="1" t="s">
        <v>76</v>
      </c>
      <c r="R678" s="81" t="s">
        <v>87</v>
      </c>
      <c r="S678" s="1">
        <v>3</v>
      </c>
      <c r="T678" s="1" t="s">
        <v>78</v>
      </c>
      <c r="U678" s="1" t="s">
        <v>658</v>
      </c>
      <c r="V678" s="1" t="s">
        <v>654</v>
      </c>
      <c r="W678" s="1">
        <v>11</v>
      </c>
      <c r="X678" s="1" t="s">
        <v>76</v>
      </c>
      <c r="Y678" s="1" t="s">
        <v>647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1E-3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0.998</v>
      </c>
      <c r="CL678" s="1">
        <v>0</v>
      </c>
      <c r="CM678" s="1">
        <v>19.517813390000001</v>
      </c>
      <c r="CN678" s="83">
        <v>-17.89867924</v>
      </c>
    </row>
    <row r="679" spans="1:92" s="3" customFormat="1" x14ac:dyDescent="0.25">
      <c r="A679" s="72">
        <v>711</v>
      </c>
      <c r="B679" s="81" t="s">
        <v>1449</v>
      </c>
      <c r="C679" s="1" t="s">
        <v>83</v>
      </c>
      <c r="D679" s="1" t="s">
        <v>73</v>
      </c>
      <c r="E679" s="1" t="s">
        <v>99</v>
      </c>
      <c r="F679" s="1" t="s">
        <v>128</v>
      </c>
      <c r="G679" s="1" t="s">
        <v>303</v>
      </c>
      <c r="H679" s="1" t="s">
        <v>570</v>
      </c>
      <c r="I679" s="1"/>
      <c r="J679" s="9" t="s">
        <v>544</v>
      </c>
      <c r="K679" s="10">
        <v>0.42620849999999899</v>
      </c>
      <c r="L679" s="1" t="s">
        <v>76</v>
      </c>
      <c r="M679" s="1" t="s">
        <v>506</v>
      </c>
      <c r="N679" s="1" t="s">
        <v>645</v>
      </c>
      <c r="O679" s="1" t="s">
        <v>55</v>
      </c>
      <c r="P679" s="82">
        <v>0.93899999999999995</v>
      </c>
      <c r="Q679" s="1" t="s">
        <v>76</v>
      </c>
      <c r="R679" s="81" t="s">
        <v>87</v>
      </c>
      <c r="S679" s="1">
        <v>3</v>
      </c>
      <c r="T679" s="1" t="s">
        <v>78</v>
      </c>
      <c r="U679" s="1" t="s">
        <v>658</v>
      </c>
      <c r="V679" s="1" t="s">
        <v>654</v>
      </c>
      <c r="W679" s="1">
        <v>24</v>
      </c>
      <c r="X679" s="1" t="s">
        <v>304</v>
      </c>
      <c r="Y679" s="1" t="s">
        <v>645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0.93899999999999995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5.5E-2</v>
      </c>
      <c r="CL679" s="1">
        <v>0</v>
      </c>
      <c r="CM679" s="1">
        <v>41.319349979999998</v>
      </c>
      <c r="CN679" s="83">
        <v>-15.97613043</v>
      </c>
    </row>
    <row r="680" spans="1:92" s="3" customFormat="1" x14ac:dyDescent="0.25">
      <c r="A680" s="72">
        <v>712</v>
      </c>
      <c r="B680" s="81" t="s">
        <v>1515</v>
      </c>
      <c r="C680" s="1" t="s">
        <v>83</v>
      </c>
      <c r="D680" s="1" t="s">
        <v>73</v>
      </c>
      <c r="E680" s="1" t="s">
        <v>99</v>
      </c>
      <c r="F680" s="1" t="s">
        <v>128</v>
      </c>
      <c r="G680" s="1" t="s">
        <v>1705</v>
      </c>
      <c r="H680" s="1" t="s">
        <v>570</v>
      </c>
      <c r="I680" s="1"/>
      <c r="J680" s="9" t="s">
        <v>544</v>
      </c>
      <c r="K680" s="10">
        <v>0.28433449999999999</v>
      </c>
      <c r="L680" s="1" t="s">
        <v>641</v>
      </c>
      <c r="M680" s="1" t="s">
        <v>76</v>
      </c>
      <c r="N680" s="1" t="s">
        <v>649</v>
      </c>
      <c r="O680" s="1" t="s">
        <v>55</v>
      </c>
      <c r="P680" s="82">
        <v>0.55400000000000005</v>
      </c>
      <c r="Q680" s="1" t="s">
        <v>76</v>
      </c>
      <c r="R680" s="81" t="s">
        <v>87</v>
      </c>
      <c r="S680" s="1">
        <v>3</v>
      </c>
      <c r="T680" s="1" t="s">
        <v>78</v>
      </c>
      <c r="U680" s="1" t="s">
        <v>658</v>
      </c>
      <c r="V680" s="1" t="s">
        <v>654</v>
      </c>
      <c r="W680" s="1">
        <v>21</v>
      </c>
      <c r="X680" s="1" t="s">
        <v>304</v>
      </c>
      <c r="Y680" s="1" t="s">
        <v>649</v>
      </c>
      <c r="Z680" s="1">
        <v>1.4999999999999999E-2</v>
      </c>
      <c r="AA680" s="1">
        <v>1E-3</v>
      </c>
      <c r="AB680" s="1">
        <v>1E-3</v>
      </c>
      <c r="AC680" s="1">
        <v>3.7999999999999999E-2</v>
      </c>
      <c r="AD680" s="1">
        <v>1E-3</v>
      </c>
      <c r="AE680" s="1">
        <v>1E-3</v>
      </c>
      <c r="AF680" s="1">
        <v>1E-3</v>
      </c>
      <c r="AG680" s="1">
        <v>0</v>
      </c>
      <c r="AH680" s="1">
        <v>4.1000000000000002E-2</v>
      </c>
      <c r="AI680" s="1">
        <v>0.14199999999999999</v>
      </c>
      <c r="AJ680" s="1">
        <v>0</v>
      </c>
      <c r="AK680" s="1">
        <v>1E-3</v>
      </c>
      <c r="AL680" s="1">
        <v>0</v>
      </c>
      <c r="AM680" s="1">
        <v>1E-3</v>
      </c>
      <c r="AN680" s="1">
        <v>3.7999999999999999E-2</v>
      </c>
      <c r="AO680" s="1">
        <v>1E-3</v>
      </c>
      <c r="AP680" s="1">
        <v>1E-3</v>
      </c>
      <c r="AQ680" s="1">
        <v>1E-3</v>
      </c>
      <c r="AR680" s="1">
        <v>0</v>
      </c>
      <c r="AS680" s="1">
        <v>1E-3</v>
      </c>
      <c r="AT680" s="1">
        <v>1E-3</v>
      </c>
      <c r="AU680" s="1">
        <v>1E-3</v>
      </c>
      <c r="AV680" s="1">
        <v>1E-3</v>
      </c>
      <c r="AW680" s="1">
        <v>1E-3</v>
      </c>
      <c r="AX680" s="1">
        <v>4.0000000000000001E-3</v>
      </c>
      <c r="AY680" s="1">
        <v>2E-3</v>
      </c>
      <c r="AZ680" s="1">
        <v>1E-3</v>
      </c>
      <c r="BA680" s="1">
        <v>3.0000000000000001E-3</v>
      </c>
      <c r="BB680" s="1">
        <v>1E-3</v>
      </c>
      <c r="BC680" s="1">
        <v>1E-3</v>
      </c>
      <c r="BD680" s="1">
        <v>5.0000000000000001E-3</v>
      </c>
      <c r="BE680" s="1">
        <v>1E-3</v>
      </c>
      <c r="BF680" s="1">
        <v>9.0999999999999998E-2</v>
      </c>
      <c r="BG680" s="1">
        <v>0</v>
      </c>
      <c r="BH680" s="1">
        <v>0.01</v>
      </c>
      <c r="BI680" s="1">
        <v>0</v>
      </c>
      <c r="BJ680" s="1">
        <v>0</v>
      </c>
      <c r="BK680" s="1">
        <v>0</v>
      </c>
      <c r="BL680" s="1">
        <v>1E-3</v>
      </c>
      <c r="BM680" s="1">
        <v>1E-3</v>
      </c>
      <c r="BN680" s="1">
        <v>1E-3</v>
      </c>
      <c r="BO680" s="1">
        <v>0</v>
      </c>
      <c r="BP680" s="1">
        <v>0</v>
      </c>
      <c r="BQ680" s="1">
        <v>1E-3</v>
      </c>
      <c r="BR680" s="1">
        <v>3.0000000000000001E-3</v>
      </c>
      <c r="BS680" s="1">
        <v>0</v>
      </c>
      <c r="BT680" s="1">
        <v>0</v>
      </c>
      <c r="BU680" s="1">
        <v>1E-3</v>
      </c>
      <c r="BV680" s="1">
        <v>0</v>
      </c>
      <c r="BW680" s="1">
        <v>1E-3</v>
      </c>
      <c r="BX680" s="1">
        <v>0.55400000000000005</v>
      </c>
      <c r="BY680" s="1">
        <v>3.0000000000000001E-3</v>
      </c>
      <c r="BZ680" s="1">
        <v>1E-3</v>
      </c>
      <c r="CA680" s="1">
        <v>1E-3</v>
      </c>
      <c r="CB680" s="1">
        <v>0</v>
      </c>
      <c r="CC680" s="1">
        <v>1E-3</v>
      </c>
      <c r="CD680" s="1">
        <v>0</v>
      </c>
      <c r="CE680" s="1">
        <v>1E-3</v>
      </c>
      <c r="CF680" s="1">
        <v>1E-3</v>
      </c>
      <c r="CG680" s="1">
        <v>7.0000000000000001E-3</v>
      </c>
      <c r="CH680" s="1">
        <v>1E-3</v>
      </c>
      <c r="CI680" s="1">
        <v>1E-3</v>
      </c>
      <c r="CJ680" s="1">
        <v>3.0000000000000001E-3</v>
      </c>
      <c r="CK680" s="1">
        <v>4.0000000000000001E-3</v>
      </c>
      <c r="CL680" s="1">
        <v>2E-3</v>
      </c>
      <c r="CM680" s="1">
        <v>-2.081392417</v>
      </c>
      <c r="CN680" s="83">
        <v>-43.954867720000003</v>
      </c>
    </row>
    <row r="681" spans="1:92" s="3" customFormat="1" x14ac:dyDescent="0.25">
      <c r="A681" s="72">
        <v>713</v>
      </c>
      <c r="B681" s="81" t="s">
        <v>1380</v>
      </c>
      <c r="C681" s="1" t="s">
        <v>83</v>
      </c>
      <c r="D681" s="1" t="s">
        <v>73</v>
      </c>
      <c r="E681" s="1" t="s">
        <v>74</v>
      </c>
      <c r="F681" s="1" t="s">
        <v>128</v>
      </c>
      <c r="G681" s="1" t="s">
        <v>307</v>
      </c>
      <c r="H681" s="1" t="s">
        <v>570</v>
      </c>
      <c r="I681" s="1"/>
      <c r="J681" s="9" t="s">
        <v>544</v>
      </c>
      <c r="K681" s="10">
        <v>0.43722233333333399</v>
      </c>
      <c r="L681" s="1" t="s">
        <v>641</v>
      </c>
      <c r="M681" s="1" t="s">
        <v>76</v>
      </c>
      <c r="N681" s="1" t="s">
        <v>649</v>
      </c>
      <c r="O681" s="1" t="s">
        <v>55</v>
      </c>
      <c r="P681" s="82">
        <v>0.76100000000000001</v>
      </c>
      <c r="Q681" s="1" t="s">
        <v>76</v>
      </c>
      <c r="R681" s="81" t="s">
        <v>292</v>
      </c>
      <c r="S681" s="1">
        <v>3</v>
      </c>
      <c r="T681" s="1" t="s">
        <v>78</v>
      </c>
      <c r="U681" s="1" t="s">
        <v>658</v>
      </c>
      <c r="V681" s="1" t="s">
        <v>654</v>
      </c>
      <c r="W681" s="1">
        <v>15</v>
      </c>
      <c r="X681" s="1" t="s">
        <v>304</v>
      </c>
      <c r="Y681" s="1" t="s">
        <v>649</v>
      </c>
      <c r="Z681" s="1">
        <v>1E-3</v>
      </c>
      <c r="AA681" s="1">
        <v>2E-3</v>
      </c>
      <c r="AB681" s="1">
        <v>2E-3</v>
      </c>
      <c r="AC681" s="1">
        <v>8.9999999999999993E-3</v>
      </c>
      <c r="AD681" s="1">
        <v>2E-3</v>
      </c>
      <c r="AE681" s="1">
        <v>3.0000000000000001E-3</v>
      </c>
      <c r="AF681" s="1">
        <v>2E-3</v>
      </c>
      <c r="AG681" s="1">
        <v>0</v>
      </c>
      <c r="AH681" s="1">
        <v>5.0000000000000001E-3</v>
      </c>
      <c r="AI681" s="1">
        <v>0</v>
      </c>
      <c r="AJ681" s="1">
        <v>6.0000000000000001E-3</v>
      </c>
      <c r="AK681" s="1">
        <v>1.2E-2</v>
      </c>
      <c r="AL681" s="1">
        <v>0</v>
      </c>
      <c r="AM681" s="1">
        <v>1E-3</v>
      </c>
      <c r="AN681" s="1">
        <v>4.0000000000000001E-3</v>
      </c>
      <c r="AO681" s="1">
        <v>2E-3</v>
      </c>
      <c r="AP681" s="1">
        <v>1E-3</v>
      </c>
      <c r="AQ681" s="1">
        <v>1E-3</v>
      </c>
      <c r="AR681" s="1">
        <v>2E-3</v>
      </c>
      <c r="AS681" s="1">
        <v>6.0000000000000001E-3</v>
      </c>
      <c r="AT681" s="1">
        <v>3.0000000000000001E-3</v>
      </c>
      <c r="AU681" s="1">
        <v>2E-3</v>
      </c>
      <c r="AV681" s="1">
        <v>1E-3</v>
      </c>
      <c r="AW681" s="1">
        <v>2E-3</v>
      </c>
      <c r="AX681" s="1">
        <v>1E-3</v>
      </c>
      <c r="AY681" s="1">
        <v>2E-3</v>
      </c>
      <c r="AZ681" s="1">
        <v>3.0000000000000001E-3</v>
      </c>
      <c r="BA681" s="1">
        <v>5.0000000000000001E-3</v>
      </c>
      <c r="BB681" s="1">
        <v>5.0999999999999997E-2</v>
      </c>
      <c r="BC681" s="1">
        <v>1E-3</v>
      </c>
      <c r="BD681" s="1">
        <v>6.0000000000000001E-3</v>
      </c>
      <c r="BE681" s="1">
        <v>1E-3</v>
      </c>
      <c r="BF681" s="1">
        <v>0</v>
      </c>
      <c r="BG681" s="1">
        <v>1E-3</v>
      </c>
      <c r="BH681" s="1">
        <v>1E-3</v>
      </c>
      <c r="BI681" s="1">
        <v>1E-3</v>
      </c>
      <c r="BJ681" s="1">
        <v>1E-3</v>
      </c>
      <c r="BK681" s="1">
        <v>1E-3</v>
      </c>
      <c r="BL681" s="1">
        <v>2E-3</v>
      </c>
      <c r="BM681" s="1">
        <v>1E-3</v>
      </c>
      <c r="BN681" s="1">
        <v>3.0000000000000001E-3</v>
      </c>
      <c r="BO681" s="1">
        <v>1.2E-2</v>
      </c>
      <c r="BP681" s="1">
        <v>0</v>
      </c>
      <c r="BQ681" s="1">
        <v>3.0000000000000001E-3</v>
      </c>
      <c r="BR681" s="1">
        <v>2E-3</v>
      </c>
      <c r="BS681" s="1">
        <v>1E-3</v>
      </c>
      <c r="BT681" s="1">
        <v>1E-3</v>
      </c>
      <c r="BU681" s="1">
        <v>1E-3</v>
      </c>
      <c r="BV681" s="1">
        <v>1.4E-2</v>
      </c>
      <c r="BW681" s="1">
        <v>2E-3</v>
      </c>
      <c r="BX681" s="1">
        <v>0.76100000000000001</v>
      </c>
      <c r="BY681" s="1">
        <v>3.0000000000000001E-3</v>
      </c>
      <c r="BZ681" s="1">
        <v>3.0000000000000001E-3</v>
      </c>
      <c r="CA681" s="1">
        <v>2E-3</v>
      </c>
      <c r="CB681" s="1">
        <v>1E-3</v>
      </c>
      <c r="CC681" s="1">
        <v>2E-3</v>
      </c>
      <c r="CD681" s="1">
        <v>0</v>
      </c>
      <c r="CE681" s="1">
        <v>2E-3</v>
      </c>
      <c r="CF681" s="1">
        <v>1E-3</v>
      </c>
      <c r="CG681" s="1">
        <v>2E-3</v>
      </c>
      <c r="CH681" s="1">
        <v>3.0000000000000001E-3</v>
      </c>
      <c r="CI681" s="1">
        <v>2E-3</v>
      </c>
      <c r="CJ681" s="1">
        <v>4.0000000000000001E-3</v>
      </c>
      <c r="CK681" s="1">
        <v>2.3E-2</v>
      </c>
      <c r="CL681" s="1">
        <v>3.0000000000000001E-3</v>
      </c>
      <c r="CM681" s="1">
        <v>2.6287202619999999</v>
      </c>
      <c r="CN681" s="83">
        <v>14.190883700000001</v>
      </c>
    </row>
    <row r="682" spans="1:92" s="3" customFormat="1" x14ac:dyDescent="0.25">
      <c r="A682" s="72">
        <v>714</v>
      </c>
      <c r="B682" s="81" t="s">
        <v>1164</v>
      </c>
      <c r="C682" s="1" t="s">
        <v>83</v>
      </c>
      <c r="D682" s="1" t="s">
        <v>73</v>
      </c>
      <c r="E682" s="1" t="s">
        <v>99</v>
      </c>
      <c r="F682" s="1" t="s">
        <v>128</v>
      </c>
      <c r="G682" s="1" t="s">
        <v>182</v>
      </c>
      <c r="H682" s="1" t="s">
        <v>570</v>
      </c>
      <c r="I682" s="1"/>
      <c r="J682" s="9" t="s">
        <v>544</v>
      </c>
      <c r="K682" s="10">
        <v>0.39678133333333399</v>
      </c>
      <c r="L682" s="1" t="s">
        <v>76</v>
      </c>
      <c r="M682" s="1" t="s">
        <v>506</v>
      </c>
      <c r="N682" s="1" t="s">
        <v>645</v>
      </c>
      <c r="O682" s="1" t="s">
        <v>55</v>
      </c>
      <c r="P682" s="82">
        <v>0.998</v>
      </c>
      <c r="Q682" s="1" t="s">
        <v>76</v>
      </c>
      <c r="R682" s="81" t="s">
        <v>87</v>
      </c>
      <c r="S682" s="1">
        <v>3</v>
      </c>
      <c r="T682" s="1" t="s">
        <v>78</v>
      </c>
      <c r="U682" s="1" t="s">
        <v>658</v>
      </c>
      <c r="V682" s="1" t="s">
        <v>654</v>
      </c>
      <c r="W682" s="1">
        <v>20</v>
      </c>
      <c r="X682" s="1" t="s">
        <v>379</v>
      </c>
      <c r="Y682" s="1" t="s">
        <v>645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0.998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1E-3</v>
      </c>
      <c r="CL682" s="1">
        <v>0</v>
      </c>
      <c r="CM682" s="1">
        <v>13.799774859999999</v>
      </c>
      <c r="CN682" s="83">
        <v>21.09803703</v>
      </c>
    </row>
    <row r="683" spans="1:92" s="3" customFormat="1" hidden="1" x14ac:dyDescent="0.25">
      <c r="A683" s="72">
        <v>715</v>
      </c>
      <c r="B683" s="81" t="s">
        <v>1488</v>
      </c>
      <c r="C683" s="1" t="s">
        <v>83</v>
      </c>
      <c r="D683" s="1" t="s">
        <v>301</v>
      </c>
      <c r="E683" s="1" t="s">
        <v>76</v>
      </c>
      <c r="F683" s="1" t="s">
        <v>301</v>
      </c>
      <c r="G683" s="1" t="s">
        <v>76</v>
      </c>
      <c r="H683" s="1" t="s">
        <v>537</v>
      </c>
      <c r="I683" s="1"/>
      <c r="J683" s="9" t="s">
        <v>544</v>
      </c>
      <c r="K683" s="10">
        <v>0.33983916666666703</v>
      </c>
      <c r="L683" s="1" t="s">
        <v>76</v>
      </c>
      <c r="M683" s="1" t="s">
        <v>506</v>
      </c>
      <c r="N683" s="1" t="s">
        <v>645</v>
      </c>
      <c r="O683" s="1" t="s">
        <v>21</v>
      </c>
      <c r="P683" s="82">
        <v>0.99099999999999999</v>
      </c>
      <c r="Q683" s="1" t="s">
        <v>76</v>
      </c>
      <c r="R683" s="81" t="s">
        <v>269</v>
      </c>
      <c r="S683" s="1" t="s">
        <v>76</v>
      </c>
      <c r="T683" s="1" t="s">
        <v>269</v>
      </c>
      <c r="U683" s="1" t="s">
        <v>76</v>
      </c>
      <c r="V683" s="1" t="s">
        <v>656</v>
      </c>
      <c r="W683" s="1" t="s">
        <v>269</v>
      </c>
      <c r="X683" s="1" t="s">
        <v>76</v>
      </c>
      <c r="Y683" s="1" t="s">
        <v>645</v>
      </c>
      <c r="Z683" s="1">
        <v>0</v>
      </c>
      <c r="AA683" s="1">
        <v>0</v>
      </c>
      <c r="AB683" s="1">
        <v>0</v>
      </c>
      <c r="AC683" s="1">
        <v>1E-3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0.99099999999999999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1E-3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1E-3</v>
      </c>
      <c r="CL683" s="1">
        <v>0</v>
      </c>
      <c r="CM683" s="1">
        <v>-61.593695750000002</v>
      </c>
      <c r="CN683" s="83">
        <v>-78.610698319999997</v>
      </c>
    </row>
    <row r="684" spans="1:92" s="3" customFormat="1" x14ac:dyDescent="0.25">
      <c r="A684" s="72">
        <v>716</v>
      </c>
      <c r="B684" s="81" t="s">
        <v>946</v>
      </c>
      <c r="C684" s="1" t="s">
        <v>83</v>
      </c>
      <c r="D684" s="1" t="s">
        <v>79</v>
      </c>
      <c r="E684" s="1" t="s">
        <v>74</v>
      </c>
      <c r="F684" s="1" t="s">
        <v>128</v>
      </c>
      <c r="G684" s="1" t="s">
        <v>306</v>
      </c>
      <c r="H684" s="1" t="s">
        <v>570</v>
      </c>
      <c r="I684" s="1"/>
      <c r="J684" s="9" t="s">
        <v>544</v>
      </c>
      <c r="K684" s="10">
        <v>0.51376949999999999</v>
      </c>
      <c r="L684" s="1" t="s">
        <v>641</v>
      </c>
      <c r="M684" s="1" t="s">
        <v>76</v>
      </c>
      <c r="N684" s="1" t="s">
        <v>649</v>
      </c>
      <c r="O684" s="1" t="s">
        <v>55</v>
      </c>
      <c r="P684" s="82">
        <v>0.28999999999999998</v>
      </c>
      <c r="Q684" s="1" t="s">
        <v>76</v>
      </c>
      <c r="R684" s="81" t="s">
        <v>292</v>
      </c>
      <c r="S684" s="1">
        <v>3</v>
      </c>
      <c r="T684" s="1" t="s">
        <v>78</v>
      </c>
      <c r="U684" s="1" t="s">
        <v>658</v>
      </c>
      <c r="V684" s="1" t="s">
        <v>654</v>
      </c>
      <c r="W684" s="1">
        <v>22</v>
      </c>
      <c r="X684" s="1" t="s">
        <v>76</v>
      </c>
      <c r="Y684" s="1" t="s">
        <v>649</v>
      </c>
      <c r="Z684" s="1">
        <v>2E-3</v>
      </c>
      <c r="AA684" s="1">
        <v>7.0000000000000001E-3</v>
      </c>
      <c r="AB684" s="1">
        <v>5.0000000000000001E-3</v>
      </c>
      <c r="AC684" s="1">
        <v>6.2E-2</v>
      </c>
      <c r="AD684" s="1">
        <v>7.0000000000000001E-3</v>
      </c>
      <c r="AE684" s="1">
        <v>6.0000000000000001E-3</v>
      </c>
      <c r="AF684" s="1">
        <v>6.0000000000000001E-3</v>
      </c>
      <c r="AG684" s="1">
        <v>1E-3</v>
      </c>
      <c r="AH684" s="1">
        <v>2.1000000000000001E-2</v>
      </c>
      <c r="AI684" s="1">
        <v>2E-3</v>
      </c>
      <c r="AJ684" s="1">
        <v>3.0000000000000001E-3</v>
      </c>
      <c r="AK684" s="1">
        <v>2.1999999999999999E-2</v>
      </c>
      <c r="AL684" s="1">
        <v>1E-3</v>
      </c>
      <c r="AM684" s="1">
        <v>2E-3</v>
      </c>
      <c r="AN684" s="1">
        <v>4.0000000000000001E-3</v>
      </c>
      <c r="AO684" s="1">
        <v>1.2999999999999999E-2</v>
      </c>
      <c r="AP684" s="1">
        <v>5.0000000000000001E-3</v>
      </c>
      <c r="AQ684" s="1">
        <v>4.0000000000000001E-3</v>
      </c>
      <c r="AR684" s="1">
        <v>3.0000000000000001E-3</v>
      </c>
      <c r="AS684" s="1">
        <v>2.5000000000000001E-2</v>
      </c>
      <c r="AT684" s="1">
        <v>0.02</v>
      </c>
      <c r="AU684" s="1">
        <v>7.0000000000000001E-3</v>
      </c>
      <c r="AV684" s="1">
        <v>6.0000000000000001E-3</v>
      </c>
      <c r="AW684" s="1">
        <v>8.0000000000000002E-3</v>
      </c>
      <c r="AX684" s="1">
        <v>1.2E-2</v>
      </c>
      <c r="AY684" s="1">
        <v>8.0000000000000002E-3</v>
      </c>
      <c r="AZ684" s="1">
        <v>0.01</v>
      </c>
      <c r="BA684" s="1">
        <v>2.5999999999999999E-2</v>
      </c>
      <c r="BB684" s="1">
        <v>7.0000000000000001E-3</v>
      </c>
      <c r="BC684" s="1">
        <v>3.0000000000000001E-3</v>
      </c>
      <c r="BD684" s="1">
        <v>3.3000000000000002E-2</v>
      </c>
      <c r="BE684" s="1">
        <v>4.0000000000000001E-3</v>
      </c>
      <c r="BF684" s="1">
        <v>3.0000000000000001E-3</v>
      </c>
      <c r="BG684" s="1">
        <v>0.01</v>
      </c>
      <c r="BH684" s="1">
        <v>6.0000000000000001E-3</v>
      </c>
      <c r="BI684" s="1">
        <v>4.0000000000000001E-3</v>
      </c>
      <c r="BJ684" s="1">
        <v>2E-3</v>
      </c>
      <c r="BK684" s="1">
        <v>3.0000000000000001E-3</v>
      </c>
      <c r="BL684" s="1">
        <v>1.4E-2</v>
      </c>
      <c r="BM684" s="1">
        <v>5.0000000000000001E-3</v>
      </c>
      <c r="BN684" s="1">
        <v>1.2E-2</v>
      </c>
      <c r="BO684" s="1">
        <v>3.0000000000000001E-3</v>
      </c>
      <c r="BP684" s="1">
        <v>2E-3</v>
      </c>
      <c r="BQ684" s="1">
        <v>1.7000000000000001E-2</v>
      </c>
      <c r="BR684" s="1">
        <v>6.0000000000000001E-3</v>
      </c>
      <c r="BS684" s="1">
        <v>4.0000000000000001E-3</v>
      </c>
      <c r="BT684" s="1">
        <v>3.0000000000000001E-3</v>
      </c>
      <c r="BU684" s="1">
        <v>2E-3</v>
      </c>
      <c r="BV684" s="1">
        <v>8.9999999999999993E-3</v>
      </c>
      <c r="BW684" s="1">
        <v>7.0000000000000001E-3</v>
      </c>
      <c r="BX684" s="1">
        <v>0.28999999999999998</v>
      </c>
      <c r="BY684" s="1">
        <v>2.5999999999999999E-2</v>
      </c>
      <c r="BZ684" s="1">
        <v>1.2999999999999999E-2</v>
      </c>
      <c r="CA684" s="1">
        <v>1.4999999999999999E-2</v>
      </c>
      <c r="CB684" s="1">
        <v>2E-3</v>
      </c>
      <c r="CC684" s="1">
        <v>1.7000000000000001E-2</v>
      </c>
      <c r="CD684" s="1">
        <v>1E-3</v>
      </c>
      <c r="CE684" s="1">
        <v>6.0000000000000001E-3</v>
      </c>
      <c r="CF684" s="1">
        <v>7.0000000000000001E-3</v>
      </c>
      <c r="CG684" s="1">
        <v>2.1999999999999999E-2</v>
      </c>
      <c r="CH684" s="1">
        <v>1.2E-2</v>
      </c>
      <c r="CI684" s="1">
        <v>0.01</v>
      </c>
      <c r="CJ684" s="1">
        <v>4.2000000000000003E-2</v>
      </c>
      <c r="CK684" s="1">
        <v>6.7000000000000004E-2</v>
      </c>
      <c r="CL684" s="1">
        <v>1.2999999999999999E-2</v>
      </c>
      <c r="CM684" s="1">
        <v>61.277163100000003</v>
      </c>
      <c r="CN684" s="83">
        <v>-9.7366451499999993</v>
      </c>
    </row>
    <row r="685" spans="1:92" s="3" customFormat="1" x14ac:dyDescent="0.25">
      <c r="A685" s="72">
        <v>717</v>
      </c>
      <c r="B685" s="81" t="s">
        <v>1565</v>
      </c>
      <c r="C685" s="1" t="s">
        <v>83</v>
      </c>
      <c r="D685" s="1" t="s">
        <v>79</v>
      </c>
      <c r="E685" s="1" t="s">
        <v>74</v>
      </c>
      <c r="F685" s="1" t="s">
        <v>128</v>
      </c>
      <c r="G685" s="1" t="s">
        <v>219</v>
      </c>
      <c r="H685" s="1" t="s">
        <v>570</v>
      </c>
      <c r="I685" s="1"/>
      <c r="J685" s="9" t="s">
        <v>544</v>
      </c>
      <c r="K685" s="10">
        <v>0.37631983333333302</v>
      </c>
      <c r="L685" s="1" t="s">
        <v>641</v>
      </c>
      <c r="M685" s="1" t="s">
        <v>76</v>
      </c>
      <c r="N685" s="1" t="s">
        <v>649</v>
      </c>
      <c r="O685" s="1" t="s">
        <v>55</v>
      </c>
      <c r="P685" s="82">
        <v>0.57699999999999996</v>
      </c>
      <c r="Q685" s="1" t="s">
        <v>76</v>
      </c>
      <c r="R685" s="81" t="s">
        <v>87</v>
      </c>
      <c r="S685" s="1">
        <v>3</v>
      </c>
      <c r="T685" s="1" t="s">
        <v>78</v>
      </c>
      <c r="U685" s="1" t="s">
        <v>658</v>
      </c>
      <c r="V685" s="1" t="s">
        <v>654</v>
      </c>
      <c r="W685" s="1">
        <v>16</v>
      </c>
      <c r="X685" s="1" t="s">
        <v>348</v>
      </c>
      <c r="Y685" s="1" t="s">
        <v>649</v>
      </c>
      <c r="Z685" s="1">
        <v>2E-3</v>
      </c>
      <c r="AA685" s="1">
        <v>1E-3</v>
      </c>
      <c r="AB685" s="1">
        <v>0</v>
      </c>
      <c r="AC685" s="1">
        <v>1.0999999999999999E-2</v>
      </c>
      <c r="AD685" s="1">
        <v>1E-3</v>
      </c>
      <c r="AE685" s="1">
        <v>1E-3</v>
      </c>
      <c r="AF685" s="1">
        <v>0</v>
      </c>
      <c r="AG685" s="1">
        <v>0</v>
      </c>
      <c r="AH685" s="1">
        <v>2E-3</v>
      </c>
      <c r="AI685" s="1">
        <v>2E-3</v>
      </c>
      <c r="AJ685" s="1">
        <v>0</v>
      </c>
      <c r="AK685" s="1">
        <v>1E-3</v>
      </c>
      <c r="AL685" s="1">
        <v>0</v>
      </c>
      <c r="AM685" s="1">
        <v>0</v>
      </c>
      <c r="AN685" s="1">
        <v>2.8000000000000001E-2</v>
      </c>
      <c r="AO685" s="1">
        <v>1E-3</v>
      </c>
      <c r="AP685" s="1">
        <v>1E-3</v>
      </c>
      <c r="AQ685" s="1">
        <v>0</v>
      </c>
      <c r="AR685" s="1">
        <v>0</v>
      </c>
      <c r="AS685" s="1">
        <v>1E-3</v>
      </c>
      <c r="AT685" s="1">
        <v>1E-3</v>
      </c>
      <c r="AU685" s="1">
        <v>1E-3</v>
      </c>
      <c r="AV685" s="1">
        <v>0</v>
      </c>
      <c r="AW685" s="1">
        <v>1E-3</v>
      </c>
      <c r="AX685" s="1">
        <v>0</v>
      </c>
      <c r="AY685" s="1">
        <v>1E-3</v>
      </c>
      <c r="AZ685" s="1">
        <v>1E-3</v>
      </c>
      <c r="BA685" s="1">
        <v>2E-3</v>
      </c>
      <c r="BB685" s="1">
        <v>1E-3</v>
      </c>
      <c r="BC685" s="1">
        <v>0</v>
      </c>
      <c r="BD685" s="1">
        <v>2E-3</v>
      </c>
      <c r="BE685" s="1">
        <v>0</v>
      </c>
      <c r="BF685" s="1">
        <v>0.32200000000000001</v>
      </c>
      <c r="BG685" s="1">
        <v>0</v>
      </c>
      <c r="BH685" s="1">
        <v>1.4999999999999999E-2</v>
      </c>
      <c r="BI685" s="1">
        <v>0</v>
      </c>
      <c r="BJ685" s="1">
        <v>0</v>
      </c>
      <c r="BK685" s="1">
        <v>0</v>
      </c>
      <c r="BL685" s="1">
        <v>1E-3</v>
      </c>
      <c r="BM685" s="1">
        <v>1E-3</v>
      </c>
      <c r="BN685" s="1">
        <v>1E-3</v>
      </c>
      <c r="BO685" s="1">
        <v>0</v>
      </c>
      <c r="BP685" s="1">
        <v>0</v>
      </c>
      <c r="BQ685" s="1">
        <v>1E-3</v>
      </c>
      <c r="BR685" s="1">
        <v>1E-3</v>
      </c>
      <c r="BS685" s="1">
        <v>1E-3</v>
      </c>
      <c r="BT685" s="1">
        <v>0</v>
      </c>
      <c r="BU685" s="1">
        <v>0</v>
      </c>
      <c r="BV685" s="1">
        <v>0</v>
      </c>
      <c r="BW685" s="1">
        <v>0</v>
      </c>
      <c r="BX685" s="1">
        <v>0.57699999999999996</v>
      </c>
      <c r="BY685" s="1">
        <v>1E-3</v>
      </c>
      <c r="BZ685" s="1">
        <v>1E-3</v>
      </c>
      <c r="CA685" s="1">
        <v>1E-3</v>
      </c>
      <c r="CB685" s="1">
        <v>0</v>
      </c>
      <c r="CC685" s="1">
        <v>1E-3</v>
      </c>
      <c r="CD685" s="1">
        <v>0</v>
      </c>
      <c r="CE685" s="1">
        <v>1E-3</v>
      </c>
      <c r="CF685" s="1">
        <v>1E-3</v>
      </c>
      <c r="CG685" s="1">
        <v>1E-3</v>
      </c>
      <c r="CH685" s="1">
        <v>1E-3</v>
      </c>
      <c r="CI685" s="1">
        <v>1E-3</v>
      </c>
      <c r="CJ685" s="1">
        <v>1E-3</v>
      </c>
      <c r="CK685" s="1">
        <v>6.0000000000000001E-3</v>
      </c>
      <c r="CL685" s="1">
        <v>1E-3</v>
      </c>
      <c r="CM685" s="1">
        <v>-3.0162161950000002</v>
      </c>
      <c r="CN685" s="83">
        <v>-41.847920019999997</v>
      </c>
    </row>
    <row r="686" spans="1:92" s="3" customFormat="1" x14ac:dyDescent="0.25">
      <c r="A686" s="72">
        <v>718</v>
      </c>
      <c r="B686" s="81" t="s">
        <v>1676</v>
      </c>
      <c r="C686" s="1" t="s">
        <v>83</v>
      </c>
      <c r="D686" s="1" t="s">
        <v>79</v>
      </c>
      <c r="E686" s="1" t="s">
        <v>74</v>
      </c>
      <c r="F686" s="1" t="s">
        <v>128</v>
      </c>
      <c r="G686" s="1" t="s">
        <v>320</v>
      </c>
      <c r="H686" s="1" t="s">
        <v>570</v>
      </c>
      <c r="I686" s="1"/>
      <c r="J686" s="9" t="s">
        <v>544</v>
      </c>
      <c r="K686" s="10">
        <v>0.418742</v>
      </c>
      <c r="L686" s="1" t="s">
        <v>76</v>
      </c>
      <c r="M686" s="1" t="s">
        <v>506</v>
      </c>
      <c r="N686" s="1" t="s">
        <v>645</v>
      </c>
      <c r="O686" s="1" t="s">
        <v>55</v>
      </c>
      <c r="P686" s="82">
        <v>0.97399999999999998</v>
      </c>
      <c r="Q686" s="1" t="s">
        <v>76</v>
      </c>
      <c r="R686" s="81" t="s">
        <v>87</v>
      </c>
      <c r="S686" s="1">
        <v>3</v>
      </c>
      <c r="T686" s="1" t="s">
        <v>78</v>
      </c>
      <c r="U686" s="1" t="s">
        <v>658</v>
      </c>
      <c r="V686" s="1" t="s">
        <v>654</v>
      </c>
      <c r="W686" s="1">
        <v>30</v>
      </c>
      <c r="X686" s="1" t="s">
        <v>348</v>
      </c>
      <c r="Y686" s="1" t="s">
        <v>645</v>
      </c>
      <c r="Z686" s="1">
        <v>0</v>
      </c>
      <c r="AA686" s="1">
        <v>0</v>
      </c>
      <c r="AB686" s="1">
        <v>0</v>
      </c>
      <c r="AC686" s="1">
        <v>1E-3</v>
      </c>
      <c r="AD686" s="1">
        <v>0</v>
      </c>
      <c r="AE686" s="1">
        <v>0</v>
      </c>
      <c r="AF686" s="1">
        <v>0</v>
      </c>
      <c r="AG686" s="1">
        <v>0</v>
      </c>
      <c r="AH686" s="1">
        <v>1E-3</v>
      </c>
      <c r="AI686" s="1">
        <v>0</v>
      </c>
      <c r="AJ686" s="1">
        <v>4.0000000000000001E-3</v>
      </c>
      <c r="AK686" s="1">
        <v>0</v>
      </c>
      <c r="AL686" s="1">
        <v>0</v>
      </c>
      <c r="AM686" s="1">
        <v>0</v>
      </c>
      <c r="AN686" s="1">
        <v>1E-3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1E-3</v>
      </c>
      <c r="BB686" s="1">
        <v>1E-3</v>
      </c>
      <c r="BC686" s="1">
        <v>0</v>
      </c>
      <c r="BD686" s="1">
        <v>1E-3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1E-3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1E-3</v>
      </c>
      <c r="BW686" s="1">
        <v>0</v>
      </c>
      <c r="BX686" s="1">
        <v>0.97399999999999998</v>
      </c>
      <c r="BY686" s="1">
        <v>0</v>
      </c>
      <c r="BZ686" s="1">
        <v>1E-3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1E-3</v>
      </c>
      <c r="CH686" s="1">
        <v>0</v>
      </c>
      <c r="CI686" s="1">
        <v>0</v>
      </c>
      <c r="CJ686" s="1">
        <v>0</v>
      </c>
      <c r="CK686" s="1">
        <v>2E-3</v>
      </c>
      <c r="CL686" s="1">
        <v>0</v>
      </c>
      <c r="CM686" s="1">
        <v>20.07706718</v>
      </c>
      <c r="CN686" s="83">
        <v>36.396116239999998</v>
      </c>
    </row>
    <row r="687" spans="1:92" s="3" customFormat="1" x14ac:dyDescent="0.25">
      <c r="A687" s="72">
        <v>719</v>
      </c>
      <c r="B687" s="81" t="s">
        <v>1429</v>
      </c>
      <c r="C687" s="1" t="s">
        <v>83</v>
      </c>
      <c r="D687" s="1" t="s">
        <v>73</v>
      </c>
      <c r="E687" s="1" t="s">
        <v>99</v>
      </c>
      <c r="F687" s="1" t="s">
        <v>380</v>
      </c>
      <c r="G687" s="1" t="s">
        <v>76</v>
      </c>
      <c r="H687" s="1" t="s">
        <v>24</v>
      </c>
      <c r="I687" s="1"/>
      <c r="J687" s="9" t="s">
        <v>544</v>
      </c>
      <c r="K687" s="10">
        <v>0.52544800000000003</v>
      </c>
      <c r="L687" s="1" t="s">
        <v>548</v>
      </c>
      <c r="M687" s="1" t="s">
        <v>76</v>
      </c>
      <c r="N687" s="1" t="s">
        <v>644</v>
      </c>
      <c r="O687" s="1" t="s">
        <v>59</v>
      </c>
      <c r="P687" s="82">
        <v>0.59899999999999998</v>
      </c>
      <c r="Q687" s="1" t="s">
        <v>76</v>
      </c>
      <c r="R687" s="81" t="s">
        <v>164</v>
      </c>
      <c r="S687" s="1">
        <v>3</v>
      </c>
      <c r="T687" s="1" t="s">
        <v>120</v>
      </c>
      <c r="U687" s="1" t="s">
        <v>658</v>
      </c>
      <c r="V687" s="1" t="s">
        <v>655</v>
      </c>
      <c r="W687" s="1">
        <v>50</v>
      </c>
      <c r="X687" s="1" t="s">
        <v>519</v>
      </c>
      <c r="Y687" s="1" t="s">
        <v>644</v>
      </c>
      <c r="Z687" s="1">
        <v>0</v>
      </c>
      <c r="AA687" s="1">
        <v>0</v>
      </c>
      <c r="AB687" s="1">
        <v>0</v>
      </c>
      <c r="AC687" s="1">
        <v>2E-3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0.33400000000000002</v>
      </c>
      <c r="AT687" s="1">
        <v>1E-3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1E-3</v>
      </c>
      <c r="BA687" s="1">
        <v>0</v>
      </c>
      <c r="BB687" s="1">
        <v>0</v>
      </c>
      <c r="BC687" s="1">
        <v>0</v>
      </c>
      <c r="BD687" s="1">
        <v>1E-3</v>
      </c>
      <c r="BE687" s="1">
        <v>8.0000000000000002E-3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1E-3</v>
      </c>
      <c r="BM687" s="1">
        <v>0</v>
      </c>
      <c r="BN687" s="1">
        <v>1.6E-2</v>
      </c>
      <c r="BO687" s="1">
        <v>0</v>
      </c>
      <c r="BP687" s="1">
        <v>0</v>
      </c>
      <c r="BQ687" s="1">
        <v>2E-3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2E-3</v>
      </c>
      <c r="CA687" s="1">
        <v>0</v>
      </c>
      <c r="CB687" s="1">
        <v>0.59899999999999998</v>
      </c>
      <c r="CC687" s="1">
        <v>4.0000000000000001E-3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1E-3</v>
      </c>
      <c r="CK687" s="1">
        <v>1.9E-2</v>
      </c>
      <c r="CL687" s="1">
        <v>4.0000000000000001E-3</v>
      </c>
      <c r="CM687" s="1">
        <v>-55.066523340000003</v>
      </c>
      <c r="CN687" s="83">
        <v>26.68405885</v>
      </c>
    </row>
    <row r="688" spans="1:92" s="3" customFormat="1" x14ac:dyDescent="0.25">
      <c r="A688" s="72">
        <v>696</v>
      </c>
      <c r="B688" s="81" t="s">
        <v>1419</v>
      </c>
      <c r="C688" s="1" t="s">
        <v>83</v>
      </c>
      <c r="D688" s="1" t="s">
        <v>73</v>
      </c>
      <c r="E688" s="1" t="s">
        <v>195</v>
      </c>
      <c r="F688" s="1" t="s">
        <v>128</v>
      </c>
      <c r="G688" s="1" t="s">
        <v>1705</v>
      </c>
      <c r="H688" s="1" t="s">
        <v>570</v>
      </c>
      <c r="I688" s="1"/>
      <c r="J688" s="9" t="s">
        <v>544</v>
      </c>
      <c r="K688" s="10">
        <v>0.39609966666666602</v>
      </c>
      <c r="L688" s="1" t="s">
        <v>516</v>
      </c>
      <c r="M688" s="1" t="s">
        <v>506</v>
      </c>
      <c r="N688" s="96" t="s">
        <v>647</v>
      </c>
      <c r="O688" s="1" t="s">
        <v>68</v>
      </c>
      <c r="P688" s="82">
        <v>0.97399999999999998</v>
      </c>
      <c r="Q688" s="1" t="s">
        <v>76</v>
      </c>
      <c r="R688" s="81" t="s">
        <v>77</v>
      </c>
      <c r="S688" s="1">
        <v>3</v>
      </c>
      <c r="T688" s="1" t="s">
        <v>78</v>
      </c>
      <c r="U688" s="1" t="s">
        <v>658</v>
      </c>
      <c r="V688" s="1" t="s">
        <v>654</v>
      </c>
      <c r="W688" s="1">
        <v>11</v>
      </c>
      <c r="X688" s="1" t="s">
        <v>304</v>
      </c>
      <c r="Y688" s="1" t="s">
        <v>647</v>
      </c>
      <c r="Z688" s="1">
        <v>5.0000000000000001E-3</v>
      </c>
      <c r="AA688" s="1">
        <v>0</v>
      </c>
      <c r="AB688" s="1">
        <v>0</v>
      </c>
      <c r="AC688" s="1">
        <v>1E-3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1E-3</v>
      </c>
      <c r="AO688" s="1">
        <v>0</v>
      </c>
      <c r="AP688" s="1">
        <v>0</v>
      </c>
      <c r="AQ688" s="1">
        <v>0</v>
      </c>
      <c r="AR688" s="1">
        <v>1E-3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5.0000000000000001E-3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1E-3</v>
      </c>
      <c r="BT688" s="1">
        <v>0</v>
      </c>
      <c r="BU688" s="1">
        <v>0</v>
      </c>
      <c r="BV688" s="1">
        <v>0</v>
      </c>
      <c r="BW688" s="1">
        <v>0</v>
      </c>
      <c r="BX688" s="1">
        <v>5.0000000000000001E-3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0.97399999999999998</v>
      </c>
      <c r="CL688" s="1">
        <v>0</v>
      </c>
      <c r="CM688" s="1">
        <v>33.055861880000002</v>
      </c>
      <c r="CN688" s="83">
        <v>-5.0745871649999996</v>
      </c>
    </row>
    <row r="689" spans="1:92" s="3" customFormat="1" x14ac:dyDescent="0.25">
      <c r="A689" s="72">
        <v>722</v>
      </c>
      <c r="B689" s="81" t="s">
        <v>1620</v>
      </c>
      <c r="C689" s="1" t="s">
        <v>83</v>
      </c>
      <c r="D689" s="1" t="s">
        <v>73</v>
      </c>
      <c r="E689" s="1" t="s">
        <v>99</v>
      </c>
      <c r="F689" s="1" t="s">
        <v>520</v>
      </c>
      <c r="G689" s="1" t="s">
        <v>76</v>
      </c>
      <c r="H689" s="1" t="s">
        <v>536</v>
      </c>
      <c r="I689" s="1"/>
      <c r="J689" s="9" t="s">
        <v>506</v>
      </c>
      <c r="K689" s="10">
        <v>0.45548549999999999</v>
      </c>
      <c r="L689" s="1" t="s">
        <v>641</v>
      </c>
      <c r="M689" s="1" t="s">
        <v>76</v>
      </c>
      <c r="N689" s="1" t="s">
        <v>644</v>
      </c>
      <c r="O689" s="1" t="s">
        <v>27</v>
      </c>
      <c r="P689" s="82">
        <v>0.12</v>
      </c>
      <c r="Q689" s="1" t="s">
        <v>76</v>
      </c>
      <c r="R689" s="81" t="s">
        <v>194</v>
      </c>
      <c r="S689" s="1">
        <v>2</v>
      </c>
      <c r="T689" s="1" t="s">
        <v>120</v>
      </c>
      <c r="U689" s="1" t="s">
        <v>658</v>
      </c>
      <c r="V689" s="1" t="s">
        <v>655</v>
      </c>
      <c r="W689" s="1">
        <v>35</v>
      </c>
      <c r="X689" s="1" t="s">
        <v>381</v>
      </c>
      <c r="Y689" s="1" t="s">
        <v>644</v>
      </c>
      <c r="Z689" s="1">
        <v>5.0000000000000001E-3</v>
      </c>
      <c r="AA689" s="1">
        <v>6.0000000000000001E-3</v>
      </c>
      <c r="AB689" s="1">
        <v>7.0000000000000001E-3</v>
      </c>
      <c r="AC689" s="1">
        <v>4.4999999999999998E-2</v>
      </c>
      <c r="AD689" s="1">
        <v>2.8000000000000001E-2</v>
      </c>
      <c r="AE689" s="1">
        <v>7.0000000000000001E-3</v>
      </c>
      <c r="AF689" s="1">
        <v>8.9999999999999993E-3</v>
      </c>
      <c r="AG689" s="1">
        <v>1E-3</v>
      </c>
      <c r="AH689" s="1">
        <v>3.1E-2</v>
      </c>
      <c r="AI689" s="1">
        <v>4.0000000000000001E-3</v>
      </c>
      <c r="AJ689" s="1">
        <v>6.0000000000000001E-3</v>
      </c>
      <c r="AK689" s="1">
        <v>7.3999999999999996E-2</v>
      </c>
      <c r="AL689" s="1">
        <v>5.0000000000000001E-3</v>
      </c>
      <c r="AM689" s="1">
        <v>7.0000000000000001E-3</v>
      </c>
      <c r="AN689" s="1">
        <v>8.9999999999999993E-3</v>
      </c>
      <c r="AO689" s="1">
        <v>0.01</v>
      </c>
      <c r="AP689" s="1">
        <v>4.0000000000000001E-3</v>
      </c>
      <c r="AQ689" s="1">
        <v>4.0000000000000001E-3</v>
      </c>
      <c r="AR689" s="1">
        <v>8.9999999999999993E-3</v>
      </c>
      <c r="AS689" s="1">
        <v>2.3E-2</v>
      </c>
      <c r="AT689" s="1">
        <v>1.2E-2</v>
      </c>
      <c r="AU689" s="1">
        <v>7.0000000000000001E-3</v>
      </c>
      <c r="AV689" s="1">
        <v>0.12</v>
      </c>
      <c r="AW689" s="1">
        <v>1.0999999999999999E-2</v>
      </c>
      <c r="AX689" s="1">
        <v>1.6E-2</v>
      </c>
      <c r="AY689" s="1">
        <v>1.4E-2</v>
      </c>
      <c r="AZ689" s="1">
        <v>1.9E-2</v>
      </c>
      <c r="BA689" s="1">
        <v>3.9E-2</v>
      </c>
      <c r="BB689" s="1">
        <v>8.0000000000000002E-3</v>
      </c>
      <c r="BC689" s="1">
        <v>3.0000000000000001E-3</v>
      </c>
      <c r="BD689" s="1">
        <v>8.1000000000000003E-2</v>
      </c>
      <c r="BE689" s="1">
        <v>7.0000000000000001E-3</v>
      </c>
      <c r="BF689" s="1">
        <v>6.0000000000000001E-3</v>
      </c>
      <c r="BG689" s="1">
        <v>3.0000000000000001E-3</v>
      </c>
      <c r="BH689" s="1">
        <v>4.0000000000000001E-3</v>
      </c>
      <c r="BI689" s="1">
        <v>5.0000000000000001E-3</v>
      </c>
      <c r="BJ689" s="1">
        <v>6.0000000000000001E-3</v>
      </c>
      <c r="BK689" s="1">
        <v>3.0000000000000001E-3</v>
      </c>
      <c r="BL689" s="1">
        <v>0.01</v>
      </c>
      <c r="BM689" s="1">
        <v>5.0000000000000001E-3</v>
      </c>
      <c r="BN689" s="1">
        <v>1.0999999999999999E-2</v>
      </c>
      <c r="BO689" s="1">
        <v>6.0000000000000001E-3</v>
      </c>
      <c r="BP689" s="1">
        <v>3.0000000000000001E-3</v>
      </c>
      <c r="BQ689" s="1">
        <v>1.6E-2</v>
      </c>
      <c r="BR689" s="1">
        <v>8.9999999999999993E-3</v>
      </c>
      <c r="BS689" s="1">
        <v>5.0000000000000001E-3</v>
      </c>
      <c r="BT689" s="1">
        <v>6.0000000000000001E-3</v>
      </c>
      <c r="BU689" s="1">
        <v>5.0000000000000001E-3</v>
      </c>
      <c r="BV689" s="1">
        <v>8.0000000000000002E-3</v>
      </c>
      <c r="BW689" s="1">
        <v>8.0000000000000002E-3</v>
      </c>
      <c r="BX689" s="1">
        <v>1.2999999999999999E-2</v>
      </c>
      <c r="BY689" s="1">
        <v>1.6E-2</v>
      </c>
      <c r="BZ689" s="1">
        <v>1.7000000000000001E-2</v>
      </c>
      <c r="CA689" s="1">
        <v>8.0000000000000002E-3</v>
      </c>
      <c r="CB689" s="1">
        <v>5.0000000000000001E-3</v>
      </c>
      <c r="CC689" s="1">
        <v>1.4E-2</v>
      </c>
      <c r="CD689" s="1">
        <v>1E-3</v>
      </c>
      <c r="CE689" s="1">
        <v>6.0000000000000001E-3</v>
      </c>
      <c r="CF689" s="1">
        <v>6.0000000000000001E-3</v>
      </c>
      <c r="CG689" s="1">
        <v>2.4E-2</v>
      </c>
      <c r="CH689" s="1">
        <v>1.2E-2</v>
      </c>
      <c r="CI689" s="1">
        <v>8.0000000000000002E-3</v>
      </c>
      <c r="CJ689" s="1">
        <v>2.8000000000000001E-2</v>
      </c>
      <c r="CK689" s="1">
        <v>3.2000000000000001E-2</v>
      </c>
      <c r="CL689" s="1">
        <v>6.5000000000000002E-2</v>
      </c>
      <c r="CM689" s="1">
        <v>-39.777051780000001</v>
      </c>
      <c r="CN689" s="83">
        <v>-16.182093559999998</v>
      </c>
    </row>
    <row r="690" spans="1:92" s="3" customFormat="1" x14ac:dyDescent="0.25">
      <c r="A690" s="72">
        <v>780</v>
      </c>
      <c r="B690" s="81" t="s">
        <v>1013</v>
      </c>
      <c r="C690" s="1" t="s">
        <v>83</v>
      </c>
      <c r="D690" s="1" t="s">
        <v>73</v>
      </c>
      <c r="E690" s="1" t="s">
        <v>74</v>
      </c>
      <c r="F690" s="1" t="s">
        <v>128</v>
      </c>
      <c r="G690" s="1" t="s">
        <v>182</v>
      </c>
      <c r="H690" s="1" t="s">
        <v>570</v>
      </c>
      <c r="I690" s="1"/>
      <c r="J690" s="9" t="s">
        <v>544</v>
      </c>
      <c r="K690" s="10">
        <v>0.68655883333333301</v>
      </c>
      <c r="L690" s="1" t="s">
        <v>608</v>
      </c>
      <c r="M690" s="1" t="s">
        <v>506</v>
      </c>
      <c r="N690" s="96" t="s">
        <v>647</v>
      </c>
      <c r="O690" s="1" t="s">
        <v>48</v>
      </c>
      <c r="P690" s="82">
        <v>0.996</v>
      </c>
      <c r="Q690" s="1" t="s">
        <v>76</v>
      </c>
      <c r="R690" s="81" t="s">
        <v>142</v>
      </c>
      <c r="S690" s="1">
        <v>3</v>
      </c>
      <c r="T690" s="1" t="s">
        <v>78</v>
      </c>
      <c r="U690" s="1" t="s">
        <v>658</v>
      </c>
      <c r="V690" s="1" t="s">
        <v>655</v>
      </c>
      <c r="W690" s="1">
        <v>69</v>
      </c>
      <c r="X690" s="1" t="s">
        <v>423</v>
      </c>
      <c r="Y690" s="1" t="s">
        <v>647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0.996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2E-3</v>
      </c>
      <c r="BY690" s="1">
        <v>0</v>
      </c>
      <c r="BZ690" s="1">
        <v>0</v>
      </c>
      <c r="CA690" s="1">
        <v>0</v>
      </c>
      <c r="CB690" s="1">
        <v>0</v>
      </c>
      <c r="CC690" s="1">
        <v>1E-3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-62.624345910000002</v>
      </c>
      <c r="CN690" s="83">
        <v>51.130091479999997</v>
      </c>
    </row>
    <row r="691" spans="1:92" s="3" customFormat="1" x14ac:dyDescent="0.25">
      <c r="A691" s="72">
        <v>724</v>
      </c>
      <c r="B691" s="81" t="s">
        <v>1566</v>
      </c>
      <c r="C691" s="1" t="s">
        <v>83</v>
      </c>
      <c r="D691" s="1" t="s">
        <v>73</v>
      </c>
      <c r="E691" s="1" t="s">
        <v>74</v>
      </c>
      <c r="F691" s="1" t="s">
        <v>382</v>
      </c>
      <c r="G691" s="1" t="s">
        <v>76</v>
      </c>
      <c r="H691" s="1" t="s">
        <v>382</v>
      </c>
      <c r="I691" s="1"/>
      <c r="J691" s="9" t="s">
        <v>506</v>
      </c>
      <c r="K691" s="10">
        <v>0.37704783333333303</v>
      </c>
      <c r="L691" s="1" t="s">
        <v>641</v>
      </c>
      <c r="M691" s="1" t="s">
        <v>76</v>
      </c>
      <c r="N691" s="1" t="s">
        <v>644</v>
      </c>
      <c r="O691" s="1" t="s">
        <v>68</v>
      </c>
      <c r="P691" s="82">
        <v>0.10199999999999999</v>
      </c>
      <c r="Q691" s="1" t="s">
        <v>76</v>
      </c>
      <c r="R691" s="81" t="s">
        <v>169</v>
      </c>
      <c r="S691" s="1" t="s">
        <v>314</v>
      </c>
      <c r="T691" s="1" t="s">
        <v>120</v>
      </c>
      <c r="U691" s="1" t="s">
        <v>658</v>
      </c>
      <c r="V691" s="1" t="s">
        <v>655</v>
      </c>
      <c r="W691" s="1">
        <v>69</v>
      </c>
      <c r="X691" s="1" t="s">
        <v>383</v>
      </c>
      <c r="Y691" s="1" t="s">
        <v>644</v>
      </c>
      <c r="Z691" s="1">
        <v>4.0000000000000001E-3</v>
      </c>
      <c r="AA691" s="1">
        <v>6.0000000000000001E-3</v>
      </c>
      <c r="AB691" s="1">
        <v>2.5000000000000001E-2</v>
      </c>
      <c r="AC691" s="1">
        <v>0.08</v>
      </c>
      <c r="AD691" s="1">
        <v>2.8000000000000001E-2</v>
      </c>
      <c r="AE691" s="1">
        <v>0.01</v>
      </c>
      <c r="AF691" s="1">
        <v>8.9999999999999993E-3</v>
      </c>
      <c r="AG691" s="1">
        <v>1E-3</v>
      </c>
      <c r="AH691" s="1">
        <v>2.3E-2</v>
      </c>
      <c r="AI691" s="1">
        <v>2E-3</v>
      </c>
      <c r="AJ691" s="1">
        <v>8.0000000000000002E-3</v>
      </c>
      <c r="AK691" s="1">
        <v>3.5000000000000003E-2</v>
      </c>
      <c r="AL691" s="1">
        <v>1E-3</v>
      </c>
      <c r="AM691" s="1">
        <v>4.0000000000000001E-3</v>
      </c>
      <c r="AN691" s="1">
        <v>1.0999999999999999E-2</v>
      </c>
      <c r="AO691" s="1">
        <v>7.0000000000000001E-3</v>
      </c>
      <c r="AP691" s="1">
        <v>4.0000000000000001E-3</v>
      </c>
      <c r="AQ691" s="1">
        <v>4.0000000000000001E-3</v>
      </c>
      <c r="AR691" s="1">
        <v>5.0000000000000001E-3</v>
      </c>
      <c r="AS691" s="1">
        <v>0.03</v>
      </c>
      <c r="AT691" s="1">
        <v>1.4E-2</v>
      </c>
      <c r="AU691" s="1">
        <v>7.0000000000000001E-3</v>
      </c>
      <c r="AV691" s="1">
        <v>1.0999999999999999E-2</v>
      </c>
      <c r="AW691" s="1">
        <v>0.01</v>
      </c>
      <c r="AX691" s="1">
        <v>6.0000000000000001E-3</v>
      </c>
      <c r="AY691" s="1">
        <v>1.2E-2</v>
      </c>
      <c r="AZ691" s="1">
        <v>1.7999999999999999E-2</v>
      </c>
      <c r="BA691" s="1">
        <v>3.2000000000000001E-2</v>
      </c>
      <c r="BB691" s="1">
        <v>6.0000000000000001E-3</v>
      </c>
      <c r="BC691" s="1">
        <v>3.0000000000000001E-3</v>
      </c>
      <c r="BD691" s="1">
        <v>4.1000000000000002E-2</v>
      </c>
      <c r="BE691" s="1">
        <v>1.6E-2</v>
      </c>
      <c r="BF691" s="1">
        <v>4.0000000000000001E-3</v>
      </c>
      <c r="BG691" s="1">
        <v>1.4999999999999999E-2</v>
      </c>
      <c r="BH691" s="1">
        <v>4.0000000000000001E-3</v>
      </c>
      <c r="BI691" s="1">
        <v>7.0000000000000001E-3</v>
      </c>
      <c r="BJ691" s="1">
        <v>5.0000000000000001E-3</v>
      </c>
      <c r="BK691" s="1">
        <v>3.0000000000000001E-3</v>
      </c>
      <c r="BL691" s="1">
        <v>1.2E-2</v>
      </c>
      <c r="BM691" s="1">
        <v>6.0000000000000001E-3</v>
      </c>
      <c r="BN691" s="1">
        <v>0.04</v>
      </c>
      <c r="BO691" s="1">
        <v>5.0000000000000001E-3</v>
      </c>
      <c r="BP691" s="1">
        <v>3.0000000000000001E-3</v>
      </c>
      <c r="BQ691" s="1">
        <v>0.02</v>
      </c>
      <c r="BR691" s="1">
        <v>6.0000000000000001E-3</v>
      </c>
      <c r="BS691" s="1">
        <v>5.0000000000000001E-3</v>
      </c>
      <c r="BT691" s="1">
        <v>5.0000000000000001E-3</v>
      </c>
      <c r="BU691" s="1">
        <v>1.7999999999999999E-2</v>
      </c>
      <c r="BV691" s="1">
        <v>5.0000000000000001E-3</v>
      </c>
      <c r="BW691" s="1">
        <v>7.0000000000000001E-3</v>
      </c>
      <c r="BX691" s="1">
        <v>1.7000000000000001E-2</v>
      </c>
      <c r="BY691" s="1">
        <v>1.9E-2</v>
      </c>
      <c r="BZ691" s="1">
        <v>2.1999999999999999E-2</v>
      </c>
      <c r="CA691" s="1">
        <v>7.0000000000000001E-3</v>
      </c>
      <c r="CB691" s="1">
        <v>1.4E-2</v>
      </c>
      <c r="CC691" s="1">
        <v>2.3E-2</v>
      </c>
      <c r="CD691" s="1">
        <v>1E-3</v>
      </c>
      <c r="CE691" s="1">
        <v>7.0000000000000001E-3</v>
      </c>
      <c r="CF691" s="1">
        <v>7.0000000000000001E-3</v>
      </c>
      <c r="CG691" s="1">
        <v>2.5999999999999999E-2</v>
      </c>
      <c r="CH691" s="1">
        <v>1.4999999999999999E-2</v>
      </c>
      <c r="CI691" s="1">
        <v>1.0999999999999999E-2</v>
      </c>
      <c r="CJ691" s="1">
        <v>3.1E-2</v>
      </c>
      <c r="CK691" s="1">
        <v>0.10199999999999999</v>
      </c>
      <c r="CL691" s="1">
        <v>5.2999999999999999E-2</v>
      </c>
      <c r="CM691" s="1">
        <v>-44.689170560000001</v>
      </c>
      <c r="CN691" s="83">
        <v>-26.5549994</v>
      </c>
    </row>
    <row r="692" spans="1:92" s="3" customFormat="1" x14ac:dyDescent="0.25">
      <c r="A692" s="72">
        <v>725</v>
      </c>
      <c r="B692" s="81" t="s">
        <v>1453</v>
      </c>
      <c r="C692" s="1" t="s">
        <v>83</v>
      </c>
      <c r="D692" s="1" t="s">
        <v>73</v>
      </c>
      <c r="E692" s="1" t="s">
        <v>74</v>
      </c>
      <c r="F692" s="1" t="s">
        <v>382</v>
      </c>
      <c r="G692" s="1" t="s">
        <v>76</v>
      </c>
      <c r="H692" s="1" t="s">
        <v>382</v>
      </c>
      <c r="I692" s="1"/>
      <c r="J692" s="9" t="s">
        <v>506</v>
      </c>
      <c r="K692" s="10">
        <v>0.32407983333333301</v>
      </c>
      <c r="L692" s="1" t="s">
        <v>641</v>
      </c>
      <c r="M692" s="1" t="s">
        <v>76</v>
      </c>
      <c r="N692" s="1" t="s">
        <v>644</v>
      </c>
      <c r="O692" s="1" t="s">
        <v>68</v>
      </c>
      <c r="P692" s="82">
        <v>0.29799999999999999</v>
      </c>
      <c r="Q692" s="1" t="s">
        <v>76</v>
      </c>
      <c r="R692" s="81" t="s">
        <v>77</v>
      </c>
      <c r="S692" s="1">
        <v>3</v>
      </c>
      <c r="T692" s="1" t="s">
        <v>78</v>
      </c>
      <c r="U692" s="1" t="s">
        <v>658</v>
      </c>
      <c r="V692" s="1" t="s">
        <v>655</v>
      </c>
      <c r="W692" s="1">
        <v>49</v>
      </c>
      <c r="X692" s="1" t="s">
        <v>384</v>
      </c>
      <c r="Y692" s="1" t="s">
        <v>644</v>
      </c>
      <c r="Z692" s="1">
        <v>1.0999999999999999E-2</v>
      </c>
      <c r="AA692" s="1">
        <v>3.0000000000000001E-3</v>
      </c>
      <c r="AB692" s="1">
        <v>2E-3</v>
      </c>
      <c r="AC692" s="1">
        <v>1.2E-2</v>
      </c>
      <c r="AD692" s="1">
        <v>3.0000000000000001E-3</v>
      </c>
      <c r="AE692" s="1">
        <v>2E-3</v>
      </c>
      <c r="AF692" s="1">
        <v>2E-3</v>
      </c>
      <c r="AG692" s="1">
        <v>0</v>
      </c>
      <c r="AH692" s="1">
        <v>1.7000000000000001E-2</v>
      </c>
      <c r="AI692" s="1">
        <v>0.01</v>
      </c>
      <c r="AJ692" s="1">
        <v>1E-3</v>
      </c>
      <c r="AK692" s="1">
        <v>3.0000000000000001E-3</v>
      </c>
      <c r="AL692" s="1">
        <v>0.14499999999999999</v>
      </c>
      <c r="AM692" s="1">
        <v>0</v>
      </c>
      <c r="AN692" s="1">
        <v>2.5000000000000001E-2</v>
      </c>
      <c r="AO692" s="1">
        <v>2E-3</v>
      </c>
      <c r="AP692" s="1">
        <v>2E-3</v>
      </c>
      <c r="AQ692" s="1">
        <v>1E-3</v>
      </c>
      <c r="AR692" s="1">
        <v>3.0000000000000001E-3</v>
      </c>
      <c r="AS692" s="1">
        <v>3.0000000000000001E-3</v>
      </c>
      <c r="AT692" s="1">
        <v>3.0000000000000001E-3</v>
      </c>
      <c r="AU692" s="1">
        <v>3.0000000000000001E-3</v>
      </c>
      <c r="AV692" s="1">
        <v>3.0000000000000001E-3</v>
      </c>
      <c r="AW692" s="1">
        <v>3.0000000000000001E-3</v>
      </c>
      <c r="AX692" s="1">
        <v>0.02</v>
      </c>
      <c r="AY692" s="1">
        <v>3.0000000000000001E-3</v>
      </c>
      <c r="AZ692" s="1">
        <v>3.0000000000000001E-3</v>
      </c>
      <c r="BA692" s="1">
        <v>5.0000000000000001E-3</v>
      </c>
      <c r="BB692" s="1">
        <v>2E-3</v>
      </c>
      <c r="BC692" s="1">
        <v>0.26700000000000002</v>
      </c>
      <c r="BD692" s="1">
        <v>7.0000000000000001E-3</v>
      </c>
      <c r="BE692" s="1">
        <v>1E-3</v>
      </c>
      <c r="BF692" s="1">
        <v>1.0999999999999999E-2</v>
      </c>
      <c r="BG692" s="1">
        <v>0</v>
      </c>
      <c r="BH692" s="1">
        <v>3.0000000000000001E-3</v>
      </c>
      <c r="BI692" s="1">
        <v>1E-3</v>
      </c>
      <c r="BJ692" s="1">
        <v>1E-3</v>
      </c>
      <c r="BK692" s="1">
        <v>1E-3</v>
      </c>
      <c r="BL692" s="1">
        <v>1.7999999999999999E-2</v>
      </c>
      <c r="BM692" s="1">
        <v>3.0000000000000001E-3</v>
      </c>
      <c r="BN692" s="1">
        <v>2E-3</v>
      </c>
      <c r="BO692" s="1">
        <v>1E-3</v>
      </c>
      <c r="BP692" s="1">
        <v>1E-3</v>
      </c>
      <c r="BQ692" s="1">
        <v>4.0000000000000001E-3</v>
      </c>
      <c r="BR692" s="1">
        <v>4.0000000000000001E-3</v>
      </c>
      <c r="BS692" s="1">
        <v>4.0000000000000001E-3</v>
      </c>
      <c r="BT692" s="1">
        <v>1E-3</v>
      </c>
      <c r="BU692" s="1">
        <v>2E-3</v>
      </c>
      <c r="BV692" s="1">
        <v>1E-3</v>
      </c>
      <c r="BW692" s="1">
        <v>2E-3</v>
      </c>
      <c r="BX692" s="1">
        <v>1.9E-2</v>
      </c>
      <c r="BY692" s="1">
        <v>8.0000000000000002E-3</v>
      </c>
      <c r="BZ692" s="1">
        <v>8.9999999999999993E-3</v>
      </c>
      <c r="CA692" s="1">
        <v>5.0000000000000001E-3</v>
      </c>
      <c r="CB692" s="1">
        <v>1E-3</v>
      </c>
      <c r="CC692" s="1">
        <v>2E-3</v>
      </c>
      <c r="CD692" s="1">
        <v>0</v>
      </c>
      <c r="CE692" s="1">
        <v>2E-3</v>
      </c>
      <c r="CF692" s="1">
        <v>2E-3</v>
      </c>
      <c r="CG692" s="1">
        <v>8.0000000000000002E-3</v>
      </c>
      <c r="CH692" s="1">
        <v>3.0000000000000001E-3</v>
      </c>
      <c r="CI692" s="1">
        <v>2E-3</v>
      </c>
      <c r="CJ692" s="1">
        <v>5.0000000000000001E-3</v>
      </c>
      <c r="CK692" s="1">
        <v>0.29799999999999999</v>
      </c>
      <c r="CL692" s="1">
        <v>6.0000000000000001E-3</v>
      </c>
      <c r="CM692" s="1">
        <v>16.251363680000001</v>
      </c>
      <c r="CN692" s="83">
        <v>-29.095470089999999</v>
      </c>
    </row>
    <row r="693" spans="1:92" s="3" customFormat="1" x14ac:dyDescent="0.25">
      <c r="A693" s="72">
        <v>726</v>
      </c>
      <c r="B693" s="81" t="s">
        <v>1246</v>
      </c>
      <c r="C693" s="1" t="s">
        <v>83</v>
      </c>
      <c r="D693" s="1" t="s">
        <v>73</v>
      </c>
      <c r="E693" s="1" t="s">
        <v>99</v>
      </c>
      <c r="F693" s="1" t="s">
        <v>382</v>
      </c>
      <c r="G693" s="1" t="s">
        <v>76</v>
      </c>
      <c r="H693" s="1" t="s">
        <v>382</v>
      </c>
      <c r="I693" s="1"/>
      <c r="J693" s="9" t="s">
        <v>506</v>
      </c>
      <c r="K693" s="10">
        <v>0.36024499999999998</v>
      </c>
      <c r="L693" s="1" t="s">
        <v>641</v>
      </c>
      <c r="M693" s="1" t="s">
        <v>76</v>
      </c>
      <c r="N693" s="1" t="s">
        <v>644</v>
      </c>
      <c r="O693" s="1" t="s">
        <v>69</v>
      </c>
      <c r="P693" s="82">
        <v>0.47299999999999998</v>
      </c>
      <c r="Q693" s="1" t="s">
        <v>76</v>
      </c>
      <c r="R693" s="81" t="s">
        <v>95</v>
      </c>
      <c r="S693" s="1" t="s">
        <v>314</v>
      </c>
      <c r="T693" s="1" t="s">
        <v>330</v>
      </c>
      <c r="U693" s="1" t="s">
        <v>658</v>
      </c>
      <c r="V693" s="1" t="s">
        <v>655</v>
      </c>
      <c r="W693" s="1">
        <v>27</v>
      </c>
      <c r="X693" s="1" t="s">
        <v>385</v>
      </c>
      <c r="Y693" s="1" t="s">
        <v>644</v>
      </c>
      <c r="Z693" s="1">
        <v>1.2999999999999999E-2</v>
      </c>
      <c r="AA693" s="1">
        <v>2E-3</v>
      </c>
      <c r="AB693" s="1">
        <v>2E-3</v>
      </c>
      <c r="AC693" s="1">
        <v>3.0000000000000001E-3</v>
      </c>
      <c r="AD693" s="1">
        <v>2.1000000000000001E-2</v>
      </c>
      <c r="AE693" s="1">
        <v>2E-3</v>
      </c>
      <c r="AF693" s="1">
        <v>3.0000000000000001E-3</v>
      </c>
      <c r="AG693" s="1">
        <v>0</v>
      </c>
      <c r="AH693" s="1">
        <v>6.0000000000000001E-3</v>
      </c>
      <c r="AI693" s="1">
        <v>1E-3</v>
      </c>
      <c r="AJ693" s="1">
        <v>7.0000000000000001E-3</v>
      </c>
      <c r="AK693" s="1">
        <v>2E-3</v>
      </c>
      <c r="AL693" s="1">
        <v>0</v>
      </c>
      <c r="AM693" s="1">
        <v>2E-3</v>
      </c>
      <c r="AN693" s="1">
        <v>1.0999999999999999E-2</v>
      </c>
      <c r="AO693" s="1">
        <v>1E-3</v>
      </c>
      <c r="AP693" s="1">
        <v>1E-3</v>
      </c>
      <c r="AQ693" s="1">
        <v>1E-3</v>
      </c>
      <c r="AR693" s="1">
        <v>2.9000000000000001E-2</v>
      </c>
      <c r="AS693" s="1">
        <v>5.0000000000000001E-3</v>
      </c>
      <c r="AT693" s="1">
        <v>2E-3</v>
      </c>
      <c r="AU693" s="1">
        <v>4.0000000000000001E-3</v>
      </c>
      <c r="AV693" s="1">
        <v>7.0000000000000001E-3</v>
      </c>
      <c r="AW693" s="1">
        <v>2E-3</v>
      </c>
      <c r="AX693" s="1">
        <v>1.4999999999999999E-2</v>
      </c>
      <c r="AY693" s="1">
        <v>4.0000000000000001E-3</v>
      </c>
      <c r="AZ693" s="1">
        <v>1.2E-2</v>
      </c>
      <c r="BA693" s="1">
        <v>8.0000000000000002E-3</v>
      </c>
      <c r="BB693" s="1">
        <v>2E-3</v>
      </c>
      <c r="BC693" s="1">
        <v>1E-3</v>
      </c>
      <c r="BD693" s="1">
        <v>1.2E-2</v>
      </c>
      <c r="BE693" s="1">
        <v>2E-3</v>
      </c>
      <c r="BF693" s="1">
        <v>4.0000000000000001E-3</v>
      </c>
      <c r="BG693" s="1">
        <v>0</v>
      </c>
      <c r="BH693" s="1">
        <v>1E-3</v>
      </c>
      <c r="BI693" s="1">
        <v>1E-3</v>
      </c>
      <c r="BJ693" s="1">
        <v>0.13600000000000001</v>
      </c>
      <c r="BK693" s="1">
        <v>1E-3</v>
      </c>
      <c r="BL693" s="1">
        <v>2E-3</v>
      </c>
      <c r="BM693" s="1">
        <v>1E-3</v>
      </c>
      <c r="BN693" s="1">
        <v>5.0000000000000001E-3</v>
      </c>
      <c r="BO693" s="1">
        <v>1E-3</v>
      </c>
      <c r="BP693" s="1">
        <v>0.01</v>
      </c>
      <c r="BQ693" s="1">
        <v>3.0000000000000001E-3</v>
      </c>
      <c r="BR693" s="1">
        <v>1E-3</v>
      </c>
      <c r="BS693" s="1">
        <v>8.9999999999999993E-3</v>
      </c>
      <c r="BT693" s="1">
        <v>1E-3</v>
      </c>
      <c r="BU693" s="1">
        <v>7.9000000000000001E-2</v>
      </c>
      <c r="BV693" s="1">
        <v>1E-3</v>
      </c>
      <c r="BW693" s="1">
        <v>2E-3</v>
      </c>
      <c r="BX693" s="1">
        <v>4.0000000000000001E-3</v>
      </c>
      <c r="BY693" s="1">
        <v>4.0000000000000001E-3</v>
      </c>
      <c r="BZ693" s="1">
        <v>1.4E-2</v>
      </c>
      <c r="CA693" s="1">
        <v>2E-3</v>
      </c>
      <c r="CB693" s="1">
        <v>5.0000000000000001E-3</v>
      </c>
      <c r="CC693" s="1">
        <v>3.0000000000000001E-3</v>
      </c>
      <c r="CD693" s="1">
        <v>0</v>
      </c>
      <c r="CE693" s="1">
        <v>2E-3</v>
      </c>
      <c r="CF693" s="1">
        <v>2E-3</v>
      </c>
      <c r="CG693" s="1">
        <v>2E-3</v>
      </c>
      <c r="CH693" s="1">
        <v>2E-3</v>
      </c>
      <c r="CI693" s="1">
        <v>2E-3</v>
      </c>
      <c r="CJ693" s="1">
        <v>3.0000000000000001E-3</v>
      </c>
      <c r="CK693" s="1">
        <v>3.7999999999999999E-2</v>
      </c>
      <c r="CL693" s="1">
        <v>0.47299999999999998</v>
      </c>
      <c r="CM693" s="1">
        <v>-46.356454919999997</v>
      </c>
      <c r="CN693" s="83">
        <v>-20.008002479999998</v>
      </c>
    </row>
    <row r="694" spans="1:92" s="3" customFormat="1" x14ac:dyDescent="0.25">
      <c r="A694" s="72">
        <v>727</v>
      </c>
      <c r="B694" s="81" t="s">
        <v>1420</v>
      </c>
      <c r="C694" s="1" t="s">
        <v>83</v>
      </c>
      <c r="D694" s="1" t="s">
        <v>73</v>
      </c>
      <c r="E694" s="1" t="s">
        <v>99</v>
      </c>
      <c r="F694" s="1" t="s">
        <v>382</v>
      </c>
      <c r="G694" s="1" t="s">
        <v>76</v>
      </c>
      <c r="H694" s="1" t="s">
        <v>382</v>
      </c>
      <c r="I694" s="1"/>
      <c r="J694" s="9" t="s">
        <v>506</v>
      </c>
      <c r="K694" s="10">
        <v>0.27874383333333302</v>
      </c>
      <c r="L694" s="1" t="s">
        <v>626</v>
      </c>
      <c r="M694" s="1" t="s">
        <v>506</v>
      </c>
      <c r="N694" s="1" t="s">
        <v>647</v>
      </c>
      <c r="O694" s="1" t="s">
        <v>68</v>
      </c>
      <c r="P694" s="82">
        <v>0.95199999999999996</v>
      </c>
      <c r="Q694" s="1" t="s">
        <v>76</v>
      </c>
      <c r="R694" s="81" t="s">
        <v>169</v>
      </c>
      <c r="S694" s="1">
        <v>3</v>
      </c>
      <c r="T694" s="1" t="s">
        <v>120</v>
      </c>
      <c r="U694" s="1" t="s">
        <v>658</v>
      </c>
      <c r="V694" s="1" t="s">
        <v>655</v>
      </c>
      <c r="W694" s="1">
        <v>70</v>
      </c>
      <c r="X694" s="1" t="s">
        <v>386</v>
      </c>
      <c r="Y694" s="1" t="s">
        <v>647</v>
      </c>
      <c r="Z694" s="1">
        <v>2.7E-2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1E-3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1.7999999999999999E-2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0.95199999999999996</v>
      </c>
      <c r="CL694" s="1">
        <v>1E-3</v>
      </c>
      <c r="CM694" s="1">
        <v>1.4130092299999999</v>
      </c>
      <c r="CN694" s="83">
        <v>-30.83872277</v>
      </c>
    </row>
    <row r="695" spans="1:92" s="3" customFormat="1" x14ac:dyDescent="0.25">
      <c r="A695" s="72">
        <v>728</v>
      </c>
      <c r="B695" s="81" t="s">
        <v>1442</v>
      </c>
      <c r="C695" s="1" t="s">
        <v>83</v>
      </c>
      <c r="D695" s="1" t="s">
        <v>73</v>
      </c>
      <c r="E695" s="1" t="s">
        <v>99</v>
      </c>
      <c r="F695" s="1" t="s">
        <v>382</v>
      </c>
      <c r="G695" s="1" t="s">
        <v>76</v>
      </c>
      <c r="H695" s="1" t="s">
        <v>382</v>
      </c>
      <c r="I695" s="1"/>
      <c r="J695" s="9" t="s">
        <v>506</v>
      </c>
      <c r="K695" s="10">
        <v>0.42886599999999903</v>
      </c>
      <c r="L695" s="1" t="s">
        <v>641</v>
      </c>
      <c r="M695" s="1" t="s">
        <v>76</v>
      </c>
      <c r="N695" s="1" t="s">
        <v>644</v>
      </c>
      <c r="O695" s="1" t="s">
        <v>9</v>
      </c>
      <c r="P695" s="82">
        <v>0.185</v>
      </c>
      <c r="Q695" s="1" t="s">
        <v>76</v>
      </c>
      <c r="R695" s="81" t="s">
        <v>292</v>
      </c>
      <c r="S695" s="1" t="s">
        <v>76</v>
      </c>
      <c r="T695" s="1" t="s">
        <v>78</v>
      </c>
      <c r="U695" s="1" t="s">
        <v>658</v>
      </c>
      <c r="V695" s="1" t="s">
        <v>655</v>
      </c>
      <c r="W695" s="1">
        <v>39</v>
      </c>
      <c r="X695" s="1" t="s">
        <v>384</v>
      </c>
      <c r="Y695" s="1" t="s">
        <v>644</v>
      </c>
      <c r="Z695" s="1">
        <v>4.0000000000000001E-3</v>
      </c>
      <c r="AA695" s="1">
        <v>7.0000000000000001E-3</v>
      </c>
      <c r="AB695" s="1">
        <v>8.0000000000000002E-3</v>
      </c>
      <c r="AC695" s="1">
        <v>1.9E-2</v>
      </c>
      <c r="AD695" s="1">
        <v>0.185</v>
      </c>
      <c r="AE695" s="1">
        <v>6.0000000000000001E-3</v>
      </c>
      <c r="AF695" s="1">
        <v>1.7999999999999999E-2</v>
      </c>
      <c r="AG695" s="1">
        <v>1E-3</v>
      </c>
      <c r="AH695" s="1">
        <v>2.1999999999999999E-2</v>
      </c>
      <c r="AI695" s="1">
        <v>2E-3</v>
      </c>
      <c r="AJ695" s="1">
        <v>5.0000000000000001E-3</v>
      </c>
      <c r="AK695" s="1">
        <v>3.9E-2</v>
      </c>
      <c r="AL695" s="1">
        <v>2E-3</v>
      </c>
      <c r="AM695" s="1">
        <v>4.0000000000000001E-3</v>
      </c>
      <c r="AN695" s="1">
        <v>7.0000000000000001E-3</v>
      </c>
      <c r="AO695" s="1">
        <v>6.0000000000000001E-3</v>
      </c>
      <c r="AP695" s="1">
        <v>4.0000000000000001E-3</v>
      </c>
      <c r="AQ695" s="1">
        <v>5.0000000000000001E-3</v>
      </c>
      <c r="AR695" s="1">
        <v>7.0000000000000001E-3</v>
      </c>
      <c r="AS695" s="1">
        <v>0.02</v>
      </c>
      <c r="AT695" s="1">
        <v>8.9999999999999993E-3</v>
      </c>
      <c r="AU695" s="1">
        <v>8.0000000000000002E-3</v>
      </c>
      <c r="AV695" s="1">
        <v>4.0000000000000001E-3</v>
      </c>
      <c r="AW695" s="1">
        <v>1.7999999999999999E-2</v>
      </c>
      <c r="AX695" s="1">
        <v>0.01</v>
      </c>
      <c r="AY695" s="1">
        <v>0.01</v>
      </c>
      <c r="AZ695" s="1">
        <v>1.4E-2</v>
      </c>
      <c r="BA695" s="1">
        <v>2.1999999999999999E-2</v>
      </c>
      <c r="BB695" s="1">
        <v>6.0000000000000001E-3</v>
      </c>
      <c r="BC695" s="1">
        <v>4.0000000000000001E-3</v>
      </c>
      <c r="BD695" s="1">
        <v>2.9000000000000001E-2</v>
      </c>
      <c r="BE695" s="1">
        <v>4.0000000000000001E-3</v>
      </c>
      <c r="BF695" s="1">
        <v>3.0000000000000001E-3</v>
      </c>
      <c r="BG695" s="1">
        <v>4.0000000000000001E-3</v>
      </c>
      <c r="BH695" s="1">
        <v>4.0000000000000001E-3</v>
      </c>
      <c r="BI695" s="1">
        <v>3.0000000000000001E-3</v>
      </c>
      <c r="BJ695" s="1">
        <v>4.0000000000000001E-3</v>
      </c>
      <c r="BK695" s="1">
        <v>3.0000000000000001E-3</v>
      </c>
      <c r="BL695" s="1">
        <v>1.6E-2</v>
      </c>
      <c r="BM695" s="1">
        <v>1.7999999999999999E-2</v>
      </c>
      <c r="BN695" s="1">
        <v>8.9999999999999993E-3</v>
      </c>
      <c r="BO695" s="1">
        <v>5.0000000000000001E-3</v>
      </c>
      <c r="BP695" s="1">
        <v>3.0000000000000001E-3</v>
      </c>
      <c r="BQ695" s="1">
        <v>1.0999999999999999E-2</v>
      </c>
      <c r="BR695" s="1">
        <v>5.0000000000000001E-3</v>
      </c>
      <c r="BS695" s="1">
        <v>6.0000000000000001E-3</v>
      </c>
      <c r="BT695" s="1">
        <v>4.0000000000000001E-3</v>
      </c>
      <c r="BU695" s="1">
        <v>6.0000000000000001E-3</v>
      </c>
      <c r="BV695" s="1">
        <v>0.01</v>
      </c>
      <c r="BW695" s="1">
        <v>7.0000000000000001E-3</v>
      </c>
      <c r="BX695" s="1">
        <v>1.9E-2</v>
      </c>
      <c r="BY695" s="1">
        <v>2.4E-2</v>
      </c>
      <c r="BZ695" s="1">
        <v>2.1000000000000001E-2</v>
      </c>
      <c r="CA695" s="1">
        <v>6.0000000000000001E-3</v>
      </c>
      <c r="CB695" s="1">
        <v>2E-3</v>
      </c>
      <c r="CC695" s="1">
        <v>7.0000000000000001E-3</v>
      </c>
      <c r="CD695" s="1">
        <v>1E-3</v>
      </c>
      <c r="CE695" s="1">
        <v>6.0000000000000001E-3</v>
      </c>
      <c r="CF695" s="1">
        <v>5.0000000000000001E-3</v>
      </c>
      <c r="CG695" s="1">
        <v>8.9999999999999993E-3</v>
      </c>
      <c r="CH695" s="1">
        <v>1.2999999999999999E-2</v>
      </c>
      <c r="CI695" s="1">
        <v>1.2E-2</v>
      </c>
      <c r="CJ695" s="1">
        <v>1.4E-2</v>
      </c>
      <c r="CK695" s="1">
        <v>0.13900000000000001</v>
      </c>
      <c r="CL695" s="1">
        <v>9.1999999999999998E-2</v>
      </c>
      <c r="CM695" s="1">
        <v>-60.309563300000001</v>
      </c>
      <c r="CN695" s="83">
        <v>-3.9913576759999998</v>
      </c>
    </row>
    <row r="696" spans="1:92" s="3" customFormat="1" x14ac:dyDescent="0.25">
      <c r="A696" s="72">
        <v>729</v>
      </c>
      <c r="B696" s="81" t="s">
        <v>1481</v>
      </c>
      <c r="C696" s="1" t="s">
        <v>83</v>
      </c>
      <c r="D696" s="1" t="s">
        <v>73</v>
      </c>
      <c r="E696" s="1" t="s">
        <v>74</v>
      </c>
      <c r="F696" s="1" t="s">
        <v>382</v>
      </c>
      <c r="G696" s="1" t="s">
        <v>76</v>
      </c>
      <c r="H696" s="1" t="s">
        <v>382</v>
      </c>
      <c r="I696" s="1"/>
      <c r="J696" s="9" t="s">
        <v>506</v>
      </c>
      <c r="K696" s="10">
        <v>0.58500283333333403</v>
      </c>
      <c r="L696" s="1" t="s">
        <v>641</v>
      </c>
      <c r="M696" s="1" t="s">
        <v>76</v>
      </c>
      <c r="N696" s="1" t="s">
        <v>644</v>
      </c>
      <c r="O696" s="1" t="s">
        <v>69</v>
      </c>
      <c r="P696" s="82">
        <v>0.14899999999999999</v>
      </c>
      <c r="Q696" s="1" t="s">
        <v>76</v>
      </c>
      <c r="R696" s="81" t="s">
        <v>87</v>
      </c>
      <c r="S696" s="1">
        <v>3</v>
      </c>
      <c r="T696" s="1" t="s">
        <v>78</v>
      </c>
      <c r="U696" s="1" t="s">
        <v>658</v>
      </c>
      <c r="V696" s="1" t="s">
        <v>655</v>
      </c>
      <c r="W696" s="1">
        <v>27</v>
      </c>
      <c r="X696" s="1" t="s">
        <v>384</v>
      </c>
      <c r="Y696" s="1" t="s">
        <v>644</v>
      </c>
      <c r="Z696" s="1">
        <v>6.0000000000000001E-3</v>
      </c>
      <c r="AA696" s="1">
        <v>1.2999999999999999E-2</v>
      </c>
      <c r="AB696" s="1">
        <v>6.0000000000000001E-3</v>
      </c>
      <c r="AC696" s="1">
        <v>0.04</v>
      </c>
      <c r="AD696" s="1">
        <v>1.2999999999999999E-2</v>
      </c>
      <c r="AE696" s="1">
        <v>5.0000000000000001E-3</v>
      </c>
      <c r="AF696" s="1">
        <v>7.0000000000000001E-3</v>
      </c>
      <c r="AG696" s="1">
        <v>1E-3</v>
      </c>
      <c r="AH696" s="1">
        <v>2.5000000000000001E-2</v>
      </c>
      <c r="AI696" s="1">
        <v>6.0000000000000001E-3</v>
      </c>
      <c r="AJ696" s="1">
        <v>4.0000000000000001E-3</v>
      </c>
      <c r="AK696" s="1">
        <v>8.9999999999999993E-3</v>
      </c>
      <c r="AL696" s="1">
        <v>4.0000000000000001E-3</v>
      </c>
      <c r="AM696" s="1">
        <v>8.0000000000000002E-3</v>
      </c>
      <c r="AN696" s="1">
        <v>8.9999999999999993E-3</v>
      </c>
      <c r="AO696" s="1">
        <v>5.0000000000000001E-3</v>
      </c>
      <c r="AP696" s="1">
        <v>4.0000000000000001E-3</v>
      </c>
      <c r="AQ696" s="1">
        <v>0.02</v>
      </c>
      <c r="AR696" s="1">
        <v>6.0000000000000001E-3</v>
      </c>
      <c r="AS696" s="1">
        <v>1.2999999999999999E-2</v>
      </c>
      <c r="AT696" s="1">
        <v>8.9999999999999993E-3</v>
      </c>
      <c r="AU696" s="1">
        <v>8.9999999999999993E-3</v>
      </c>
      <c r="AV696" s="1">
        <v>6.0000000000000001E-3</v>
      </c>
      <c r="AW696" s="1">
        <v>8.9999999999999993E-3</v>
      </c>
      <c r="AX696" s="1">
        <v>0.02</v>
      </c>
      <c r="AY696" s="1">
        <v>1.6E-2</v>
      </c>
      <c r="AZ696" s="1">
        <v>1.2E-2</v>
      </c>
      <c r="BA696" s="1">
        <v>2.4E-2</v>
      </c>
      <c r="BB696" s="1">
        <v>4.0000000000000001E-3</v>
      </c>
      <c r="BC696" s="1">
        <v>3.0000000000000001E-3</v>
      </c>
      <c r="BD696" s="1">
        <v>3.2000000000000001E-2</v>
      </c>
      <c r="BE696" s="1">
        <v>5.0000000000000001E-3</v>
      </c>
      <c r="BF696" s="1">
        <v>4.0000000000000001E-3</v>
      </c>
      <c r="BG696" s="1">
        <v>8.9999999999999993E-3</v>
      </c>
      <c r="BH696" s="1">
        <v>4.0000000000000001E-3</v>
      </c>
      <c r="BI696" s="1">
        <v>3.0000000000000001E-3</v>
      </c>
      <c r="BJ696" s="1">
        <v>5.0000000000000001E-3</v>
      </c>
      <c r="BK696" s="1">
        <v>3.0000000000000001E-3</v>
      </c>
      <c r="BL696" s="1">
        <v>8.1000000000000003E-2</v>
      </c>
      <c r="BM696" s="1">
        <v>8.9999999999999993E-3</v>
      </c>
      <c r="BN696" s="1">
        <v>2.1999999999999999E-2</v>
      </c>
      <c r="BO696" s="1">
        <v>3.0000000000000001E-3</v>
      </c>
      <c r="BP696" s="1">
        <v>3.0000000000000001E-3</v>
      </c>
      <c r="BQ696" s="1">
        <v>3.2000000000000001E-2</v>
      </c>
      <c r="BR696" s="1">
        <v>1.7999999999999999E-2</v>
      </c>
      <c r="BS696" s="1">
        <v>6.0000000000000001E-3</v>
      </c>
      <c r="BT696" s="1">
        <v>3.0000000000000001E-3</v>
      </c>
      <c r="BU696" s="1">
        <v>6.0000000000000001E-3</v>
      </c>
      <c r="BV696" s="1">
        <v>3.0000000000000001E-3</v>
      </c>
      <c r="BW696" s="1">
        <v>6.0000000000000001E-3</v>
      </c>
      <c r="BX696" s="1">
        <v>1.9E-2</v>
      </c>
      <c r="BY696" s="1">
        <v>0.02</v>
      </c>
      <c r="BZ696" s="1">
        <v>2.7E-2</v>
      </c>
      <c r="CA696" s="1">
        <v>7.0000000000000001E-3</v>
      </c>
      <c r="CB696" s="1">
        <v>3.0000000000000001E-3</v>
      </c>
      <c r="CC696" s="1">
        <v>8.0000000000000002E-3</v>
      </c>
      <c r="CD696" s="1">
        <v>1E-3</v>
      </c>
      <c r="CE696" s="1">
        <v>6.0000000000000001E-3</v>
      </c>
      <c r="CF696" s="1">
        <v>7.0000000000000001E-3</v>
      </c>
      <c r="CG696" s="1">
        <v>1.6E-2</v>
      </c>
      <c r="CH696" s="1">
        <v>0.01</v>
      </c>
      <c r="CI696" s="1">
        <v>8.0000000000000002E-3</v>
      </c>
      <c r="CJ696" s="1">
        <v>1.7999999999999999E-2</v>
      </c>
      <c r="CK696" s="1">
        <v>0.13100000000000001</v>
      </c>
      <c r="CL696" s="1">
        <v>0.14899999999999999</v>
      </c>
      <c r="CM696" s="1">
        <v>40.423403039999997</v>
      </c>
      <c r="CN696" s="83">
        <v>-30.684309150000001</v>
      </c>
    </row>
    <row r="697" spans="1:92" s="3" customFormat="1" x14ac:dyDescent="0.25">
      <c r="A697" s="72">
        <v>730</v>
      </c>
      <c r="B697" s="81" t="s">
        <v>1545</v>
      </c>
      <c r="C697" s="1" t="s">
        <v>83</v>
      </c>
      <c r="D697" s="1" t="s">
        <v>73</v>
      </c>
      <c r="E697" s="1" t="s">
        <v>74</v>
      </c>
      <c r="F697" s="1" t="s">
        <v>382</v>
      </c>
      <c r="G697" s="1" t="s">
        <v>76</v>
      </c>
      <c r="H697" s="1" t="s">
        <v>382</v>
      </c>
      <c r="I697" s="1"/>
      <c r="J697" s="9" t="s">
        <v>506</v>
      </c>
      <c r="K697" s="10">
        <v>0.55022066666666603</v>
      </c>
      <c r="L697" s="1" t="s">
        <v>641</v>
      </c>
      <c r="M697" s="1" t="s">
        <v>76</v>
      </c>
      <c r="N697" s="1" t="s">
        <v>644</v>
      </c>
      <c r="O697" s="1" t="s">
        <v>68</v>
      </c>
      <c r="P697" s="82">
        <v>0.86699999999999999</v>
      </c>
      <c r="Q697" s="1" t="s">
        <v>76</v>
      </c>
      <c r="R697" s="81" t="s">
        <v>169</v>
      </c>
      <c r="S697" s="1">
        <v>3</v>
      </c>
      <c r="T697" s="1" t="s">
        <v>120</v>
      </c>
      <c r="U697" s="1" t="s">
        <v>658</v>
      </c>
      <c r="V697" s="1" t="s">
        <v>655</v>
      </c>
      <c r="W697" s="1">
        <v>51</v>
      </c>
      <c r="X697" s="1" t="s">
        <v>387</v>
      </c>
      <c r="Y697" s="1" t="s">
        <v>644</v>
      </c>
      <c r="Z697" s="1">
        <v>1E-3</v>
      </c>
      <c r="AA697" s="1">
        <v>1E-3</v>
      </c>
      <c r="AB697" s="1">
        <v>1E-3</v>
      </c>
      <c r="AC697" s="1">
        <v>2E-3</v>
      </c>
      <c r="AD697" s="1">
        <v>1.7999999999999999E-2</v>
      </c>
      <c r="AE697" s="1">
        <v>0</v>
      </c>
      <c r="AF697" s="1">
        <v>1E-3</v>
      </c>
      <c r="AG697" s="1">
        <v>0</v>
      </c>
      <c r="AH697" s="1">
        <v>2E-3</v>
      </c>
      <c r="AI697" s="1">
        <v>0</v>
      </c>
      <c r="AJ697" s="1">
        <v>0</v>
      </c>
      <c r="AK697" s="1">
        <v>1E-3</v>
      </c>
      <c r="AL697" s="1">
        <v>0</v>
      </c>
      <c r="AM697" s="1">
        <v>0</v>
      </c>
      <c r="AN697" s="1">
        <v>1E-3</v>
      </c>
      <c r="AO697" s="1">
        <v>0</v>
      </c>
      <c r="AP697" s="1">
        <v>0</v>
      </c>
      <c r="AQ697" s="1">
        <v>0</v>
      </c>
      <c r="AR697" s="1">
        <v>1E-3</v>
      </c>
      <c r="AS697" s="1">
        <v>1E-3</v>
      </c>
      <c r="AT697" s="1">
        <v>1E-3</v>
      </c>
      <c r="AU697" s="1">
        <v>1E-3</v>
      </c>
      <c r="AV697" s="1">
        <v>1E-3</v>
      </c>
      <c r="AW697" s="1">
        <v>1E-3</v>
      </c>
      <c r="AX697" s="1">
        <v>5.0000000000000001E-3</v>
      </c>
      <c r="AY697" s="1">
        <v>1E-3</v>
      </c>
      <c r="AZ697" s="1">
        <v>1E-3</v>
      </c>
      <c r="BA697" s="1">
        <v>2E-3</v>
      </c>
      <c r="BB697" s="1">
        <v>0</v>
      </c>
      <c r="BC697" s="1">
        <v>0</v>
      </c>
      <c r="BD697" s="1">
        <v>4.0000000000000001E-3</v>
      </c>
      <c r="BE697" s="1">
        <v>0</v>
      </c>
      <c r="BF697" s="1">
        <v>1E-3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4.1000000000000002E-2</v>
      </c>
      <c r="BM697" s="1">
        <v>1E-3</v>
      </c>
      <c r="BN697" s="1">
        <v>1E-3</v>
      </c>
      <c r="BO697" s="1">
        <v>0</v>
      </c>
      <c r="BP697" s="1">
        <v>0</v>
      </c>
      <c r="BQ697" s="1">
        <v>1E-3</v>
      </c>
      <c r="BR697" s="1">
        <v>1E-3</v>
      </c>
      <c r="BS697" s="1">
        <v>1E-3</v>
      </c>
      <c r="BT697" s="1">
        <v>0</v>
      </c>
      <c r="BU697" s="1">
        <v>1E-3</v>
      </c>
      <c r="BV697" s="1">
        <v>0</v>
      </c>
      <c r="BW697" s="1">
        <v>1E-3</v>
      </c>
      <c r="BX697" s="1">
        <v>3.0000000000000001E-3</v>
      </c>
      <c r="BY697" s="1">
        <v>2E-3</v>
      </c>
      <c r="BZ697" s="1">
        <v>3.0000000000000001E-3</v>
      </c>
      <c r="CA697" s="1">
        <v>1E-3</v>
      </c>
      <c r="CB697" s="1">
        <v>1E-3</v>
      </c>
      <c r="CC697" s="1">
        <v>1E-3</v>
      </c>
      <c r="CD697" s="1">
        <v>0</v>
      </c>
      <c r="CE697" s="1">
        <v>1E-3</v>
      </c>
      <c r="CF697" s="1">
        <v>1E-3</v>
      </c>
      <c r="CG697" s="1">
        <v>1E-3</v>
      </c>
      <c r="CH697" s="1">
        <v>1E-3</v>
      </c>
      <c r="CI697" s="1">
        <v>1E-3</v>
      </c>
      <c r="CJ697" s="1">
        <v>2E-3</v>
      </c>
      <c r="CK697" s="1">
        <v>0.86699999999999999</v>
      </c>
      <c r="CL697" s="1">
        <v>1.6E-2</v>
      </c>
      <c r="CM697" s="1">
        <v>41.919486200000001</v>
      </c>
      <c r="CN697" s="83">
        <v>-31.455028899999999</v>
      </c>
    </row>
    <row r="698" spans="1:92" s="3" customFormat="1" x14ac:dyDescent="0.25">
      <c r="A698" s="72">
        <v>731</v>
      </c>
      <c r="B698" s="81" t="s">
        <v>1612</v>
      </c>
      <c r="C698" s="1" t="s">
        <v>83</v>
      </c>
      <c r="D698" s="1" t="s">
        <v>73</v>
      </c>
      <c r="E698" s="1" t="s">
        <v>74</v>
      </c>
      <c r="F698" s="1" t="s">
        <v>382</v>
      </c>
      <c r="G698" s="1" t="s">
        <v>76</v>
      </c>
      <c r="H698" s="1" t="s">
        <v>382</v>
      </c>
      <c r="I698" s="1"/>
      <c r="J698" s="9" t="s">
        <v>506</v>
      </c>
      <c r="K698" s="10">
        <v>0.49613299999999999</v>
      </c>
      <c r="L698" s="1" t="s">
        <v>641</v>
      </c>
      <c r="M698" s="1" t="s">
        <v>76</v>
      </c>
      <c r="N698" s="1" t="s">
        <v>644</v>
      </c>
      <c r="O698" s="1" t="s">
        <v>28</v>
      </c>
      <c r="P698" s="82">
        <v>0.153</v>
      </c>
      <c r="Q698" s="1" t="s">
        <v>76</v>
      </c>
      <c r="R698" s="81" t="s">
        <v>187</v>
      </c>
      <c r="S698" s="1" t="s">
        <v>314</v>
      </c>
      <c r="T698" s="1" t="s">
        <v>78</v>
      </c>
      <c r="U698" s="1" t="s">
        <v>658</v>
      </c>
      <c r="V698" s="1" t="s">
        <v>655</v>
      </c>
      <c r="W698" s="1">
        <v>60</v>
      </c>
      <c r="X698" s="1" t="s">
        <v>76</v>
      </c>
      <c r="Y698" s="1" t="s">
        <v>644</v>
      </c>
      <c r="Z698" s="1">
        <v>2E-3</v>
      </c>
      <c r="AA698" s="1">
        <v>6.0000000000000001E-3</v>
      </c>
      <c r="AB698" s="1">
        <v>3.2000000000000001E-2</v>
      </c>
      <c r="AC698" s="1">
        <v>5.1999999999999998E-2</v>
      </c>
      <c r="AD698" s="1">
        <v>7.0000000000000001E-3</v>
      </c>
      <c r="AE698" s="1">
        <v>5.0000000000000001E-3</v>
      </c>
      <c r="AF698" s="1">
        <v>2.5999999999999999E-2</v>
      </c>
      <c r="AG698" s="1">
        <v>1E-3</v>
      </c>
      <c r="AH698" s="1">
        <v>1.9E-2</v>
      </c>
      <c r="AI698" s="1">
        <v>2E-3</v>
      </c>
      <c r="AJ698" s="1">
        <v>4.0000000000000001E-3</v>
      </c>
      <c r="AK698" s="1">
        <v>5.3999999999999999E-2</v>
      </c>
      <c r="AL698" s="1">
        <v>2E-3</v>
      </c>
      <c r="AM698" s="1">
        <v>3.0000000000000001E-3</v>
      </c>
      <c r="AN698" s="1">
        <v>4.0000000000000001E-3</v>
      </c>
      <c r="AO698" s="1">
        <v>1.0999999999999999E-2</v>
      </c>
      <c r="AP698" s="1">
        <v>4.0000000000000001E-3</v>
      </c>
      <c r="AQ698" s="1">
        <v>5.0000000000000001E-3</v>
      </c>
      <c r="AR698" s="1">
        <v>3.0000000000000001E-3</v>
      </c>
      <c r="AS698" s="1">
        <v>3.4000000000000002E-2</v>
      </c>
      <c r="AT698" s="1">
        <v>1.2999999999999999E-2</v>
      </c>
      <c r="AU698" s="1">
        <v>5.0000000000000001E-3</v>
      </c>
      <c r="AV698" s="1">
        <v>4.0000000000000001E-3</v>
      </c>
      <c r="AW698" s="1">
        <v>0.153</v>
      </c>
      <c r="AX698" s="1">
        <v>5.0000000000000001E-3</v>
      </c>
      <c r="AY698" s="1">
        <v>1.2999999999999999E-2</v>
      </c>
      <c r="AZ698" s="1">
        <v>1.4999999999999999E-2</v>
      </c>
      <c r="BA698" s="1">
        <v>2.5000000000000001E-2</v>
      </c>
      <c r="BB698" s="1">
        <v>4.0000000000000001E-3</v>
      </c>
      <c r="BC698" s="1">
        <v>3.0000000000000001E-3</v>
      </c>
      <c r="BD698" s="1">
        <v>3.6999999999999998E-2</v>
      </c>
      <c r="BE698" s="1">
        <v>5.0000000000000001E-3</v>
      </c>
      <c r="BF698" s="1">
        <v>2E-3</v>
      </c>
      <c r="BG698" s="1">
        <v>4.0000000000000001E-3</v>
      </c>
      <c r="BH698" s="1">
        <v>3.0000000000000001E-3</v>
      </c>
      <c r="BI698" s="1">
        <v>6.0000000000000001E-3</v>
      </c>
      <c r="BJ698" s="1">
        <v>2E-3</v>
      </c>
      <c r="BK698" s="1">
        <v>4.0000000000000001E-3</v>
      </c>
      <c r="BL698" s="1">
        <v>3.4000000000000002E-2</v>
      </c>
      <c r="BM698" s="1">
        <v>6.0000000000000001E-3</v>
      </c>
      <c r="BN698" s="1">
        <v>1.9E-2</v>
      </c>
      <c r="BO698" s="1">
        <v>3.0000000000000001E-3</v>
      </c>
      <c r="BP698" s="1">
        <v>2E-3</v>
      </c>
      <c r="BQ698" s="1">
        <v>1.4E-2</v>
      </c>
      <c r="BR698" s="1">
        <v>6.0000000000000001E-3</v>
      </c>
      <c r="BS698" s="1">
        <v>3.0000000000000001E-3</v>
      </c>
      <c r="BT698" s="1">
        <v>4.0000000000000001E-3</v>
      </c>
      <c r="BU698" s="1">
        <v>4.0000000000000001E-3</v>
      </c>
      <c r="BV698" s="1">
        <v>6.0000000000000001E-3</v>
      </c>
      <c r="BW698" s="1">
        <v>7.0000000000000001E-3</v>
      </c>
      <c r="BX698" s="1">
        <v>1.4E-2</v>
      </c>
      <c r="BY698" s="1">
        <v>1.4999999999999999E-2</v>
      </c>
      <c r="BZ698" s="1">
        <v>1.2E-2</v>
      </c>
      <c r="CA698" s="1">
        <v>8.0000000000000002E-3</v>
      </c>
      <c r="CB698" s="1">
        <v>4.0000000000000001E-3</v>
      </c>
      <c r="CC698" s="1">
        <v>8.0000000000000002E-3</v>
      </c>
      <c r="CD698" s="1">
        <v>1E-3</v>
      </c>
      <c r="CE698" s="1">
        <v>5.0000000000000001E-3</v>
      </c>
      <c r="CF698" s="1">
        <v>4.0000000000000001E-3</v>
      </c>
      <c r="CG698" s="1">
        <v>8.0000000000000002E-3</v>
      </c>
      <c r="CH698" s="1">
        <v>3.7999999999999999E-2</v>
      </c>
      <c r="CI698" s="1">
        <v>1.2999999999999999E-2</v>
      </c>
      <c r="CJ698" s="1">
        <v>2.4E-2</v>
      </c>
      <c r="CK698" s="1">
        <v>0.09</v>
      </c>
      <c r="CL698" s="1">
        <v>7.0999999999999994E-2</v>
      </c>
      <c r="CM698" s="1">
        <v>-61.962889859999997</v>
      </c>
      <c r="CN698" s="83">
        <v>-3.518871758</v>
      </c>
    </row>
    <row r="699" spans="1:92" s="3" customFormat="1" hidden="1" x14ac:dyDescent="0.25">
      <c r="A699" s="72">
        <v>732</v>
      </c>
      <c r="B699" s="81" t="s">
        <v>1493</v>
      </c>
      <c r="C699" s="1" t="s">
        <v>83</v>
      </c>
      <c r="D699" s="1" t="s">
        <v>301</v>
      </c>
      <c r="E699" s="1" t="s">
        <v>76</v>
      </c>
      <c r="F699" s="1" t="s">
        <v>301</v>
      </c>
      <c r="G699" s="1" t="s">
        <v>76</v>
      </c>
      <c r="H699" s="1" t="s">
        <v>537</v>
      </c>
      <c r="I699" s="1"/>
      <c r="J699" s="9" t="s">
        <v>544</v>
      </c>
      <c r="K699" s="10">
        <v>0.30577466666666703</v>
      </c>
      <c r="L699" s="1" t="s">
        <v>76</v>
      </c>
      <c r="M699" s="1" t="s">
        <v>506</v>
      </c>
      <c r="N699" s="1" t="s">
        <v>645</v>
      </c>
      <c r="O699" s="1" t="s">
        <v>21</v>
      </c>
      <c r="P699" s="82">
        <v>0.96199999999999997</v>
      </c>
      <c r="Q699" s="1" t="s">
        <v>76</v>
      </c>
      <c r="R699" s="81" t="s">
        <v>269</v>
      </c>
      <c r="S699" s="1" t="s">
        <v>76</v>
      </c>
      <c r="T699" s="1" t="s">
        <v>269</v>
      </c>
      <c r="U699" s="1" t="s">
        <v>76</v>
      </c>
      <c r="V699" s="1" t="s">
        <v>656</v>
      </c>
      <c r="W699" s="1" t="s">
        <v>269</v>
      </c>
      <c r="X699" s="1" t="s">
        <v>76</v>
      </c>
      <c r="Y699" s="1" t="s">
        <v>645</v>
      </c>
      <c r="Z699" s="1">
        <v>0</v>
      </c>
      <c r="AA699" s="1">
        <v>0</v>
      </c>
      <c r="AB699" s="1">
        <v>0</v>
      </c>
      <c r="AC699" s="1">
        <v>3.0000000000000001E-3</v>
      </c>
      <c r="AD699" s="1">
        <v>0</v>
      </c>
      <c r="AE699" s="1">
        <v>0</v>
      </c>
      <c r="AF699" s="1">
        <v>0</v>
      </c>
      <c r="AG699" s="1">
        <v>0</v>
      </c>
      <c r="AH699" s="1">
        <v>1E-3</v>
      </c>
      <c r="AI699" s="1">
        <v>0</v>
      </c>
      <c r="AJ699" s="1">
        <v>0</v>
      </c>
      <c r="AK699" s="1">
        <v>1E-3</v>
      </c>
      <c r="AL699" s="1">
        <v>0</v>
      </c>
      <c r="AM699" s="1">
        <v>0</v>
      </c>
      <c r="AN699" s="1">
        <v>0</v>
      </c>
      <c r="AO699" s="1">
        <v>1E-3</v>
      </c>
      <c r="AP699" s="1">
        <v>0.96199999999999997</v>
      </c>
      <c r="AQ699" s="1">
        <v>0</v>
      </c>
      <c r="AR699" s="1">
        <v>0</v>
      </c>
      <c r="AS699" s="1">
        <v>1E-3</v>
      </c>
      <c r="AT699" s="1">
        <v>1E-3</v>
      </c>
      <c r="AU699" s="1">
        <v>0</v>
      </c>
      <c r="AV699" s="1">
        <v>0</v>
      </c>
      <c r="AW699" s="1">
        <v>1E-3</v>
      </c>
      <c r="AX699" s="1">
        <v>0</v>
      </c>
      <c r="AY699" s="1">
        <v>1E-3</v>
      </c>
      <c r="AZ699" s="1">
        <v>0</v>
      </c>
      <c r="BA699" s="1">
        <v>1E-3</v>
      </c>
      <c r="BB699" s="1">
        <v>0</v>
      </c>
      <c r="BC699" s="1">
        <v>0</v>
      </c>
      <c r="BD699" s="1">
        <v>2E-3</v>
      </c>
      <c r="BE699" s="1">
        <v>0</v>
      </c>
      <c r="BF699" s="1">
        <v>0</v>
      </c>
      <c r="BG699" s="1">
        <v>0</v>
      </c>
      <c r="BH699" s="1">
        <v>8.0000000000000002E-3</v>
      </c>
      <c r="BI699" s="1">
        <v>0</v>
      </c>
      <c r="BJ699" s="1">
        <v>0</v>
      </c>
      <c r="BK699" s="1">
        <v>0</v>
      </c>
      <c r="BL699" s="1">
        <v>1E-3</v>
      </c>
      <c r="BM699" s="1">
        <v>0</v>
      </c>
      <c r="BN699" s="1">
        <v>1E-3</v>
      </c>
      <c r="BO699" s="1">
        <v>0</v>
      </c>
      <c r="BP699" s="1">
        <v>0</v>
      </c>
      <c r="BQ699" s="1">
        <v>1E-3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1E-3</v>
      </c>
      <c r="BY699" s="1">
        <v>1E-3</v>
      </c>
      <c r="BZ699" s="1">
        <v>1E-3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1E-3</v>
      </c>
      <c r="CI699" s="1">
        <v>1E-3</v>
      </c>
      <c r="CJ699" s="1">
        <v>1E-3</v>
      </c>
      <c r="CK699" s="1">
        <v>2E-3</v>
      </c>
      <c r="CL699" s="1">
        <v>1E-3</v>
      </c>
      <c r="CM699" s="1">
        <v>-53.036210279999999</v>
      </c>
      <c r="CN699" s="83">
        <v>-77.005333750000005</v>
      </c>
    </row>
    <row r="700" spans="1:92" s="3" customFormat="1" x14ac:dyDescent="0.25">
      <c r="A700" s="72">
        <v>733</v>
      </c>
      <c r="B700" s="81" t="s">
        <v>818</v>
      </c>
      <c r="C700" s="1" t="s">
        <v>83</v>
      </c>
      <c r="D700" s="1" t="s">
        <v>73</v>
      </c>
      <c r="E700" s="1" t="s">
        <v>74</v>
      </c>
      <c r="F700" s="1" t="s">
        <v>93</v>
      </c>
      <c r="G700" s="1" t="s">
        <v>94</v>
      </c>
      <c r="H700" s="1" t="s">
        <v>525</v>
      </c>
      <c r="I700" s="1"/>
      <c r="J700" s="9" t="s">
        <v>506</v>
      </c>
      <c r="K700" s="10">
        <v>0.33250016666666699</v>
      </c>
      <c r="L700" s="1" t="s">
        <v>641</v>
      </c>
      <c r="M700" s="1" t="s">
        <v>76</v>
      </c>
      <c r="N700" s="1" t="s">
        <v>644</v>
      </c>
      <c r="O700" s="1" t="s">
        <v>34</v>
      </c>
      <c r="P700" s="82">
        <v>0.85699999999999998</v>
      </c>
      <c r="Q700" s="1" t="s">
        <v>76</v>
      </c>
      <c r="R700" s="81" t="s">
        <v>87</v>
      </c>
      <c r="S700" s="1" t="s">
        <v>76</v>
      </c>
      <c r="T700" s="1" t="s">
        <v>78</v>
      </c>
      <c r="U700" s="1" t="s">
        <v>658</v>
      </c>
      <c r="V700" s="1" t="s">
        <v>655</v>
      </c>
      <c r="W700" s="1">
        <v>38</v>
      </c>
      <c r="X700" s="1" t="s">
        <v>388</v>
      </c>
      <c r="Y700" s="1" t="s">
        <v>644</v>
      </c>
      <c r="Z700" s="1">
        <v>0</v>
      </c>
      <c r="AA700" s="1">
        <v>1E-3</v>
      </c>
      <c r="AB700" s="1">
        <v>0</v>
      </c>
      <c r="AC700" s="1">
        <v>1E-3</v>
      </c>
      <c r="AD700" s="1">
        <v>0</v>
      </c>
      <c r="AE700" s="1">
        <v>0</v>
      </c>
      <c r="AF700" s="1">
        <v>0</v>
      </c>
      <c r="AG700" s="1">
        <v>0</v>
      </c>
      <c r="AH700" s="1">
        <v>2E-3</v>
      </c>
      <c r="AI700" s="1">
        <v>0</v>
      </c>
      <c r="AJ700" s="1">
        <v>0</v>
      </c>
      <c r="AK700" s="1">
        <v>0</v>
      </c>
      <c r="AL700" s="1">
        <v>4.9000000000000002E-2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1E-3</v>
      </c>
      <c r="AT700" s="1">
        <v>1E-3</v>
      </c>
      <c r="AU700" s="1">
        <v>0</v>
      </c>
      <c r="AV700" s="1">
        <v>0</v>
      </c>
      <c r="AW700" s="1">
        <v>0</v>
      </c>
      <c r="AX700" s="1">
        <v>1.2999999999999999E-2</v>
      </c>
      <c r="AY700" s="1">
        <v>0</v>
      </c>
      <c r="AZ700" s="1">
        <v>0</v>
      </c>
      <c r="BA700" s="1">
        <v>1E-3</v>
      </c>
      <c r="BB700" s="1">
        <v>0</v>
      </c>
      <c r="BC700" s="1">
        <v>0.85699999999999998</v>
      </c>
      <c r="BD700" s="1">
        <v>1E-3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4.0000000000000001E-3</v>
      </c>
      <c r="BM700" s="1">
        <v>1E-3</v>
      </c>
      <c r="BN700" s="1">
        <v>0</v>
      </c>
      <c r="BO700" s="1">
        <v>0</v>
      </c>
      <c r="BP700" s="1">
        <v>0</v>
      </c>
      <c r="BQ700" s="1">
        <v>1E-3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2E-3</v>
      </c>
      <c r="BY700" s="1">
        <v>2E-3</v>
      </c>
      <c r="BZ700" s="1">
        <v>1E-3</v>
      </c>
      <c r="CA700" s="1">
        <v>1E-3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1E-3</v>
      </c>
      <c r="CH700" s="1">
        <v>1E-3</v>
      </c>
      <c r="CI700" s="1">
        <v>1E-3</v>
      </c>
      <c r="CJ700" s="1">
        <v>1E-3</v>
      </c>
      <c r="CK700" s="1">
        <v>4.7E-2</v>
      </c>
      <c r="CL700" s="1">
        <v>1E-3</v>
      </c>
      <c r="CM700" s="1">
        <v>17.886097599999999</v>
      </c>
      <c r="CN700" s="83">
        <v>-29.34353754</v>
      </c>
    </row>
    <row r="701" spans="1:92" s="3" customFormat="1" x14ac:dyDescent="0.25">
      <c r="A701" s="72">
        <v>734</v>
      </c>
      <c r="B701" s="81" t="s">
        <v>762</v>
      </c>
      <c r="C701" s="1" t="s">
        <v>83</v>
      </c>
      <c r="D701" s="1" t="s">
        <v>73</v>
      </c>
      <c r="E701" s="1" t="s">
        <v>99</v>
      </c>
      <c r="F701" s="1" t="s">
        <v>93</v>
      </c>
      <c r="G701" s="1" t="s">
        <v>307</v>
      </c>
      <c r="H701" s="1" t="s">
        <v>34</v>
      </c>
      <c r="I701" s="1"/>
      <c r="J701" s="9" t="s">
        <v>544</v>
      </c>
      <c r="K701" s="10">
        <v>0.256232666666666</v>
      </c>
      <c r="L701" s="1" t="s">
        <v>515</v>
      </c>
      <c r="M701" s="1" t="s">
        <v>76</v>
      </c>
      <c r="N701" s="1" t="s">
        <v>644</v>
      </c>
      <c r="O701" s="1" t="s">
        <v>5</v>
      </c>
      <c r="P701" s="82">
        <v>0.22800000000000001</v>
      </c>
      <c r="Q701" s="1" t="s">
        <v>76</v>
      </c>
      <c r="R701" s="81" t="s">
        <v>77</v>
      </c>
      <c r="S701" s="1" t="s">
        <v>76</v>
      </c>
      <c r="T701" s="1" t="s">
        <v>78</v>
      </c>
      <c r="U701" s="1" t="s">
        <v>658</v>
      </c>
      <c r="V701" s="1" t="s">
        <v>655</v>
      </c>
      <c r="W701" s="1">
        <v>23</v>
      </c>
      <c r="X701" s="1" t="s">
        <v>389</v>
      </c>
      <c r="Y701" s="1" t="s">
        <v>644</v>
      </c>
      <c r="Z701" s="1">
        <v>0.22800000000000001</v>
      </c>
      <c r="AA701" s="1">
        <v>2E-3</v>
      </c>
      <c r="AB701" s="1">
        <v>2E-3</v>
      </c>
      <c r="AC701" s="1">
        <v>6.5000000000000002E-2</v>
      </c>
      <c r="AD701" s="1">
        <v>3.0000000000000001E-3</v>
      </c>
      <c r="AE701" s="1">
        <v>5.0000000000000001E-3</v>
      </c>
      <c r="AF701" s="1">
        <v>2E-3</v>
      </c>
      <c r="AG701" s="1">
        <v>0</v>
      </c>
      <c r="AH701" s="1">
        <v>7.2999999999999995E-2</v>
      </c>
      <c r="AI701" s="1">
        <v>1.2E-2</v>
      </c>
      <c r="AJ701" s="1">
        <v>2E-3</v>
      </c>
      <c r="AK701" s="1">
        <v>4.0000000000000001E-3</v>
      </c>
      <c r="AL701" s="1">
        <v>3.0000000000000001E-3</v>
      </c>
      <c r="AM701" s="1">
        <v>0</v>
      </c>
      <c r="AN701" s="1">
        <v>0.126</v>
      </c>
      <c r="AO701" s="1">
        <v>2E-3</v>
      </c>
      <c r="AP701" s="1">
        <v>3.0000000000000001E-3</v>
      </c>
      <c r="AQ701" s="1">
        <v>2E-3</v>
      </c>
      <c r="AR701" s="1">
        <v>1E-3</v>
      </c>
      <c r="AS701" s="1">
        <v>5.0000000000000001E-3</v>
      </c>
      <c r="AT701" s="1">
        <v>4.0000000000000001E-3</v>
      </c>
      <c r="AU701" s="1">
        <v>2E-3</v>
      </c>
      <c r="AV701" s="1">
        <v>3.0000000000000001E-3</v>
      </c>
      <c r="AW701" s="1">
        <v>3.0000000000000001E-3</v>
      </c>
      <c r="AX701" s="1">
        <v>4.0000000000000001E-3</v>
      </c>
      <c r="AY701" s="1">
        <v>5.0000000000000001E-3</v>
      </c>
      <c r="AZ701" s="1">
        <v>4.0000000000000001E-3</v>
      </c>
      <c r="BA701" s="1">
        <v>8.9999999999999993E-3</v>
      </c>
      <c r="BB701" s="1">
        <v>2E-3</v>
      </c>
      <c r="BC701" s="1">
        <v>0.11700000000000001</v>
      </c>
      <c r="BD701" s="1">
        <v>1.4E-2</v>
      </c>
      <c r="BE701" s="1">
        <v>2E-3</v>
      </c>
      <c r="BF701" s="1">
        <v>0.13600000000000001</v>
      </c>
      <c r="BG701" s="1">
        <v>0</v>
      </c>
      <c r="BH701" s="1">
        <v>1.6E-2</v>
      </c>
      <c r="BI701" s="1">
        <v>1E-3</v>
      </c>
      <c r="BJ701" s="1">
        <v>1E-3</v>
      </c>
      <c r="BK701" s="1">
        <v>1E-3</v>
      </c>
      <c r="BL701" s="1">
        <v>6.0000000000000001E-3</v>
      </c>
      <c r="BM701" s="1">
        <v>3.0000000000000001E-3</v>
      </c>
      <c r="BN701" s="1">
        <v>3.0000000000000001E-3</v>
      </c>
      <c r="BO701" s="1">
        <v>1E-3</v>
      </c>
      <c r="BP701" s="1">
        <v>1E-3</v>
      </c>
      <c r="BQ701" s="1">
        <v>4.0000000000000001E-3</v>
      </c>
      <c r="BR701" s="1">
        <v>4.0000000000000001E-3</v>
      </c>
      <c r="BS701" s="1">
        <v>2E-3</v>
      </c>
      <c r="BT701" s="1">
        <v>1E-3</v>
      </c>
      <c r="BU701" s="1">
        <v>2E-3</v>
      </c>
      <c r="BV701" s="1">
        <v>1E-3</v>
      </c>
      <c r="BW701" s="1">
        <v>2E-3</v>
      </c>
      <c r="BX701" s="1">
        <v>3.4000000000000002E-2</v>
      </c>
      <c r="BY701" s="1">
        <v>0.01</v>
      </c>
      <c r="BZ701" s="1">
        <v>3.0000000000000001E-3</v>
      </c>
      <c r="CA701" s="1">
        <v>5.0000000000000001E-3</v>
      </c>
      <c r="CB701" s="1">
        <v>1E-3</v>
      </c>
      <c r="CC701" s="1">
        <v>2E-3</v>
      </c>
      <c r="CD701" s="1">
        <v>0</v>
      </c>
      <c r="CE701" s="1">
        <v>3.0000000000000001E-3</v>
      </c>
      <c r="CF701" s="1">
        <v>3.0000000000000001E-3</v>
      </c>
      <c r="CG701" s="1">
        <v>7.0000000000000001E-3</v>
      </c>
      <c r="CH701" s="1">
        <v>4.0000000000000001E-3</v>
      </c>
      <c r="CI701" s="1">
        <v>4.0000000000000001E-3</v>
      </c>
      <c r="CJ701" s="1">
        <v>7.0000000000000001E-3</v>
      </c>
      <c r="CK701" s="1">
        <v>0.02</v>
      </c>
      <c r="CL701" s="1">
        <v>4.0000000000000001E-3</v>
      </c>
      <c r="CM701" s="1">
        <v>0.66117331199999996</v>
      </c>
      <c r="CN701" s="83">
        <v>-43.201567930000003</v>
      </c>
    </row>
    <row r="702" spans="1:92" s="3" customFormat="1" x14ac:dyDescent="0.25">
      <c r="A702" s="72">
        <v>735</v>
      </c>
      <c r="B702" s="81" t="s">
        <v>771</v>
      </c>
      <c r="C702" s="1" t="s">
        <v>83</v>
      </c>
      <c r="D702" s="1" t="s">
        <v>73</v>
      </c>
      <c r="E702" s="1" t="s">
        <v>99</v>
      </c>
      <c r="F702" s="1" t="s">
        <v>108</v>
      </c>
      <c r="G702" s="1" t="s">
        <v>76</v>
      </c>
      <c r="H702" s="1" t="s">
        <v>10</v>
      </c>
      <c r="I702" s="1"/>
      <c r="J702" s="9" t="s">
        <v>544</v>
      </c>
      <c r="K702" s="10">
        <v>0.32639216666666698</v>
      </c>
      <c r="L702" s="1" t="s">
        <v>76</v>
      </c>
      <c r="M702" s="1" t="s">
        <v>506</v>
      </c>
      <c r="N702" s="1" t="s">
        <v>645</v>
      </c>
      <c r="O702" s="1" t="s">
        <v>10</v>
      </c>
      <c r="P702" s="82">
        <v>0.96799999999999997</v>
      </c>
      <c r="Q702" s="1" t="s">
        <v>76</v>
      </c>
      <c r="R702" s="81" t="s">
        <v>81</v>
      </c>
      <c r="S702" s="1" t="s">
        <v>76</v>
      </c>
      <c r="T702" s="1" t="s">
        <v>78</v>
      </c>
      <c r="U702" s="1" t="s">
        <v>658</v>
      </c>
      <c r="V702" s="1" t="s">
        <v>655</v>
      </c>
      <c r="W702" s="1">
        <v>22</v>
      </c>
      <c r="X702" s="1" t="s">
        <v>390</v>
      </c>
      <c r="Y702" s="1" t="s">
        <v>645</v>
      </c>
      <c r="Z702" s="1">
        <v>0</v>
      </c>
      <c r="AA702" s="1">
        <v>0</v>
      </c>
      <c r="AB702" s="1">
        <v>0</v>
      </c>
      <c r="AC702" s="1">
        <v>2E-3</v>
      </c>
      <c r="AD702" s="1">
        <v>0</v>
      </c>
      <c r="AE702" s="1">
        <v>0.96799999999999997</v>
      </c>
      <c r="AF702" s="1">
        <v>0</v>
      </c>
      <c r="AG702" s="1">
        <v>0</v>
      </c>
      <c r="AH702" s="1">
        <v>1E-3</v>
      </c>
      <c r="AI702" s="1">
        <v>0</v>
      </c>
      <c r="AJ702" s="1">
        <v>1E-3</v>
      </c>
      <c r="AK702" s="1">
        <v>6.0000000000000001E-3</v>
      </c>
      <c r="AL702" s="1">
        <v>0</v>
      </c>
      <c r="AM702" s="1">
        <v>0</v>
      </c>
      <c r="AN702" s="1">
        <v>3.0000000000000001E-3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1E-3</v>
      </c>
      <c r="BB702" s="1">
        <v>0</v>
      </c>
      <c r="BC702" s="1">
        <v>0</v>
      </c>
      <c r="BD702" s="1">
        <v>1E-3</v>
      </c>
      <c r="BE702" s="1">
        <v>0</v>
      </c>
      <c r="BF702" s="1">
        <v>1E-3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2E-3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1E-3</v>
      </c>
      <c r="CK702" s="1">
        <v>5.0000000000000001E-3</v>
      </c>
      <c r="CL702" s="1">
        <v>0</v>
      </c>
      <c r="CM702" s="1">
        <v>-15.476195560000001</v>
      </c>
      <c r="CN702" s="83">
        <v>-5.73314258</v>
      </c>
    </row>
    <row r="703" spans="1:92" s="3" customFormat="1" x14ac:dyDescent="0.25">
      <c r="A703" s="72">
        <v>736</v>
      </c>
      <c r="B703" s="81" t="s">
        <v>820</v>
      </c>
      <c r="C703" s="1" t="s">
        <v>83</v>
      </c>
      <c r="D703" s="1" t="s">
        <v>73</v>
      </c>
      <c r="E703" s="1" t="s">
        <v>99</v>
      </c>
      <c r="F703" s="1" t="s">
        <v>211</v>
      </c>
      <c r="G703" s="1" t="s">
        <v>76</v>
      </c>
      <c r="H703" s="1" t="s">
        <v>212</v>
      </c>
      <c r="I703" s="1"/>
      <c r="J703" s="9" t="s">
        <v>544</v>
      </c>
      <c r="K703" s="10">
        <v>0.48918466666666699</v>
      </c>
      <c r="L703" s="1" t="s">
        <v>76</v>
      </c>
      <c r="M703" s="1" t="s">
        <v>506</v>
      </c>
      <c r="N703" s="1" t="s">
        <v>645</v>
      </c>
      <c r="O703" s="1" t="s">
        <v>68</v>
      </c>
      <c r="P703" s="82">
        <v>0.999</v>
      </c>
      <c r="Q703" s="1" t="s">
        <v>76</v>
      </c>
      <c r="R703" s="81" t="s">
        <v>169</v>
      </c>
      <c r="S703" s="1">
        <v>3</v>
      </c>
      <c r="T703" s="1" t="s">
        <v>120</v>
      </c>
      <c r="U703" s="1" t="s">
        <v>659</v>
      </c>
      <c r="V703" s="1" t="s">
        <v>655</v>
      </c>
      <c r="W703" s="1">
        <v>51</v>
      </c>
      <c r="X703" s="1" t="s">
        <v>391</v>
      </c>
      <c r="Y703" s="1" t="s">
        <v>645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0.999</v>
      </c>
      <c r="CL703" s="1">
        <v>0</v>
      </c>
      <c r="CM703" s="1">
        <v>30.68886788</v>
      </c>
      <c r="CN703" s="83">
        <v>-74.954658370000004</v>
      </c>
    </row>
    <row r="704" spans="1:92" s="3" customFormat="1" x14ac:dyDescent="0.25">
      <c r="A704" s="72">
        <v>737</v>
      </c>
      <c r="B704" s="81" t="s">
        <v>815</v>
      </c>
      <c r="C704" s="1" t="s">
        <v>83</v>
      </c>
      <c r="D704" s="1" t="s">
        <v>73</v>
      </c>
      <c r="E704" s="1" t="s">
        <v>99</v>
      </c>
      <c r="F704" s="1" t="s">
        <v>211</v>
      </c>
      <c r="G704" s="1" t="s">
        <v>76</v>
      </c>
      <c r="H704" s="1" t="s">
        <v>212</v>
      </c>
      <c r="I704" s="1"/>
      <c r="J704" s="9" t="s">
        <v>544</v>
      </c>
      <c r="K704" s="10">
        <v>0.31514166666666699</v>
      </c>
      <c r="L704" s="1" t="s">
        <v>641</v>
      </c>
      <c r="M704" s="1" t="s">
        <v>76</v>
      </c>
      <c r="N704" s="1" t="s">
        <v>649</v>
      </c>
      <c r="O704" s="1" t="s">
        <v>68</v>
      </c>
      <c r="P704" s="82">
        <v>0.73</v>
      </c>
      <c r="Q704" s="1" t="s">
        <v>76</v>
      </c>
      <c r="R704" s="81" t="s">
        <v>392</v>
      </c>
      <c r="S704" s="1">
        <v>3</v>
      </c>
      <c r="T704" s="1" t="s">
        <v>120</v>
      </c>
      <c r="U704" s="1" t="s">
        <v>658</v>
      </c>
      <c r="V704" s="1" t="s">
        <v>655</v>
      </c>
      <c r="W704" s="1">
        <v>75</v>
      </c>
      <c r="X704" s="1" t="s">
        <v>393</v>
      </c>
      <c r="Y704" s="1" t="s">
        <v>649</v>
      </c>
      <c r="Z704" s="1">
        <v>7.0000000000000001E-3</v>
      </c>
      <c r="AA704" s="1">
        <v>1E-3</v>
      </c>
      <c r="AB704" s="1">
        <v>1E-3</v>
      </c>
      <c r="AC704" s="1">
        <v>8.0000000000000002E-3</v>
      </c>
      <c r="AD704" s="1">
        <v>3.0000000000000001E-3</v>
      </c>
      <c r="AE704" s="1">
        <v>2E-3</v>
      </c>
      <c r="AF704" s="1">
        <v>1E-3</v>
      </c>
      <c r="AG704" s="1">
        <v>0</v>
      </c>
      <c r="AH704" s="1">
        <v>3.0000000000000001E-3</v>
      </c>
      <c r="AI704" s="1">
        <v>2E-3</v>
      </c>
      <c r="AJ704" s="1">
        <v>1E-3</v>
      </c>
      <c r="AK704" s="1">
        <v>2E-3</v>
      </c>
      <c r="AL704" s="1">
        <v>0</v>
      </c>
      <c r="AM704" s="1">
        <v>1E-3</v>
      </c>
      <c r="AN704" s="1">
        <v>1.4E-2</v>
      </c>
      <c r="AO704" s="1">
        <v>1E-3</v>
      </c>
      <c r="AP704" s="1">
        <v>1E-3</v>
      </c>
      <c r="AQ704" s="1">
        <v>1E-3</v>
      </c>
      <c r="AR704" s="1">
        <v>2E-3</v>
      </c>
      <c r="AS704" s="1">
        <v>2E-3</v>
      </c>
      <c r="AT704" s="1">
        <v>1E-3</v>
      </c>
      <c r="AU704" s="1">
        <v>2E-3</v>
      </c>
      <c r="AV704" s="1">
        <v>2E-3</v>
      </c>
      <c r="AW704" s="1">
        <v>1E-3</v>
      </c>
      <c r="AX704" s="1">
        <v>1.2999999999999999E-2</v>
      </c>
      <c r="AY704" s="1">
        <v>2E-3</v>
      </c>
      <c r="AZ704" s="1">
        <v>2E-3</v>
      </c>
      <c r="BA704" s="1">
        <v>4.0000000000000001E-3</v>
      </c>
      <c r="BB704" s="1">
        <v>1E-3</v>
      </c>
      <c r="BC704" s="1">
        <v>1E-3</v>
      </c>
      <c r="BD704" s="1">
        <v>6.0000000000000001E-3</v>
      </c>
      <c r="BE704" s="1">
        <v>1E-3</v>
      </c>
      <c r="BF704" s="1">
        <v>0.11899999999999999</v>
      </c>
      <c r="BG704" s="1">
        <v>1E-3</v>
      </c>
      <c r="BH704" s="1">
        <v>3.0000000000000001E-3</v>
      </c>
      <c r="BI704" s="1">
        <v>1E-3</v>
      </c>
      <c r="BJ704" s="1">
        <v>1E-3</v>
      </c>
      <c r="BK704" s="1">
        <v>1E-3</v>
      </c>
      <c r="BL704" s="1">
        <v>2E-3</v>
      </c>
      <c r="BM704" s="1">
        <v>1E-3</v>
      </c>
      <c r="BN704" s="1">
        <v>2E-3</v>
      </c>
      <c r="BO704" s="1">
        <v>1E-3</v>
      </c>
      <c r="BP704" s="1">
        <v>1E-3</v>
      </c>
      <c r="BQ704" s="1">
        <v>2E-3</v>
      </c>
      <c r="BR704" s="1">
        <v>1E-3</v>
      </c>
      <c r="BS704" s="1">
        <v>2E-3</v>
      </c>
      <c r="BT704" s="1">
        <v>1E-3</v>
      </c>
      <c r="BU704" s="1">
        <v>2E-3</v>
      </c>
      <c r="BV704" s="1">
        <v>1E-3</v>
      </c>
      <c r="BW704" s="1">
        <v>1E-3</v>
      </c>
      <c r="BX704" s="1">
        <v>1.2E-2</v>
      </c>
      <c r="BY704" s="1">
        <v>3.0000000000000001E-3</v>
      </c>
      <c r="BZ704" s="1">
        <v>3.0000000000000001E-3</v>
      </c>
      <c r="CA704" s="1">
        <v>4.0000000000000001E-3</v>
      </c>
      <c r="CB704" s="1">
        <v>1E-3</v>
      </c>
      <c r="CC704" s="1">
        <v>2E-3</v>
      </c>
      <c r="CD704" s="1">
        <v>0</v>
      </c>
      <c r="CE704" s="1">
        <v>1E-3</v>
      </c>
      <c r="CF704" s="1">
        <v>1E-3</v>
      </c>
      <c r="CG704" s="1">
        <v>2E-3</v>
      </c>
      <c r="CH704" s="1">
        <v>2E-3</v>
      </c>
      <c r="CI704" s="1">
        <v>2E-3</v>
      </c>
      <c r="CJ704" s="1">
        <v>2E-3</v>
      </c>
      <c r="CK704" s="1">
        <v>0.73</v>
      </c>
      <c r="CL704" s="1">
        <v>8.9999999999999993E-3</v>
      </c>
      <c r="CM704" s="1">
        <v>1.3854356800000001</v>
      </c>
      <c r="CN704" s="83">
        <v>-60.382901080000003</v>
      </c>
    </row>
    <row r="705" spans="1:92" s="3" customFormat="1" x14ac:dyDescent="0.25">
      <c r="A705" s="72">
        <v>784</v>
      </c>
      <c r="B705" s="81" t="s">
        <v>824</v>
      </c>
      <c r="C705" s="1" t="s">
        <v>83</v>
      </c>
      <c r="D705" s="1" t="s">
        <v>73</v>
      </c>
      <c r="E705" s="1" t="s">
        <v>99</v>
      </c>
      <c r="F705" s="1" t="s">
        <v>128</v>
      </c>
      <c r="G705" s="1" t="s">
        <v>422</v>
      </c>
      <c r="H705" s="1" t="s">
        <v>570</v>
      </c>
      <c r="I705" s="1"/>
      <c r="J705" s="9" t="s">
        <v>544</v>
      </c>
      <c r="K705" s="10">
        <v>0.3997425</v>
      </c>
      <c r="L705" s="1" t="s">
        <v>593</v>
      </c>
      <c r="M705" s="1" t="s">
        <v>506</v>
      </c>
      <c r="N705" s="96" t="s">
        <v>647</v>
      </c>
      <c r="O705" s="1" t="s">
        <v>68</v>
      </c>
      <c r="P705" s="82">
        <v>0.96299999999999997</v>
      </c>
      <c r="Q705" s="1" t="s">
        <v>76</v>
      </c>
      <c r="R705" s="81" t="s">
        <v>243</v>
      </c>
      <c r="S705" s="1">
        <v>3</v>
      </c>
      <c r="T705" s="1" t="s">
        <v>78</v>
      </c>
      <c r="U705" s="1" t="s">
        <v>658</v>
      </c>
      <c r="V705" s="1" t="s">
        <v>655</v>
      </c>
      <c r="W705" s="1">
        <v>42</v>
      </c>
      <c r="X705" s="1" t="s">
        <v>423</v>
      </c>
      <c r="Y705" s="1" t="s">
        <v>647</v>
      </c>
      <c r="Z705" s="1">
        <v>1E-3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1E-3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1E-3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1E-3</v>
      </c>
      <c r="BT705" s="1">
        <v>0</v>
      </c>
      <c r="BU705" s="1">
        <v>0</v>
      </c>
      <c r="BV705" s="1">
        <v>0</v>
      </c>
      <c r="BW705" s="1">
        <v>0</v>
      </c>
      <c r="BX705" s="1">
        <v>2.9000000000000001E-2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0.96299999999999997</v>
      </c>
      <c r="CL705" s="1">
        <v>1E-3</v>
      </c>
      <c r="CM705" s="1">
        <v>27.382560000000002</v>
      </c>
      <c r="CN705" s="83">
        <v>-36.50803003</v>
      </c>
    </row>
    <row r="706" spans="1:92" s="3" customFormat="1" hidden="1" x14ac:dyDescent="0.25">
      <c r="A706" s="72">
        <v>739</v>
      </c>
      <c r="B706" s="81" t="s">
        <v>1699</v>
      </c>
      <c r="C706" s="1" t="s">
        <v>83</v>
      </c>
      <c r="D706" s="1" t="s">
        <v>73</v>
      </c>
      <c r="E706" s="1" t="s">
        <v>76</v>
      </c>
      <c r="F706" s="1" t="s">
        <v>663</v>
      </c>
      <c r="G706" s="1" t="s">
        <v>395</v>
      </c>
      <c r="H706" s="1" t="s">
        <v>537</v>
      </c>
      <c r="I706" s="1"/>
      <c r="J706" s="9" t="s">
        <v>544</v>
      </c>
      <c r="K706" s="10">
        <v>0.38438483333333301</v>
      </c>
      <c r="L706" s="1" t="s">
        <v>641</v>
      </c>
      <c r="M706" s="1" t="s">
        <v>76</v>
      </c>
      <c r="N706" s="1" t="s">
        <v>649</v>
      </c>
      <c r="O706" s="1" t="s">
        <v>22</v>
      </c>
      <c r="P706" s="82">
        <v>0.81699999999999995</v>
      </c>
      <c r="Q706" s="1" t="s">
        <v>76</v>
      </c>
      <c r="R706" s="81" t="s">
        <v>76</v>
      </c>
      <c r="S706" s="1" t="s">
        <v>76</v>
      </c>
      <c r="T706" s="1" t="s">
        <v>120</v>
      </c>
      <c r="U706" s="1" t="s">
        <v>76</v>
      </c>
      <c r="V706" s="1" t="s">
        <v>655</v>
      </c>
      <c r="W706" s="1" t="s">
        <v>269</v>
      </c>
      <c r="X706" s="1" t="s">
        <v>76</v>
      </c>
      <c r="Y706" s="1" t="s">
        <v>649</v>
      </c>
      <c r="Z706" s="1">
        <v>0</v>
      </c>
      <c r="AA706" s="1">
        <v>1E-3</v>
      </c>
      <c r="AB706" s="1">
        <v>2E-3</v>
      </c>
      <c r="AC706" s="1">
        <v>1.0999999999999999E-2</v>
      </c>
      <c r="AD706" s="1">
        <v>2.9000000000000001E-2</v>
      </c>
      <c r="AE706" s="1">
        <v>1E-3</v>
      </c>
      <c r="AF706" s="1">
        <v>1E-3</v>
      </c>
      <c r="AG706" s="1">
        <v>0</v>
      </c>
      <c r="AH706" s="1">
        <v>5.0000000000000001E-3</v>
      </c>
      <c r="AI706" s="1">
        <v>0</v>
      </c>
      <c r="AJ706" s="1">
        <v>1E-3</v>
      </c>
      <c r="AK706" s="1">
        <v>7.0000000000000001E-3</v>
      </c>
      <c r="AL706" s="1">
        <v>0</v>
      </c>
      <c r="AM706" s="1">
        <v>1E-3</v>
      </c>
      <c r="AN706" s="1">
        <v>1E-3</v>
      </c>
      <c r="AO706" s="1">
        <v>1E-3</v>
      </c>
      <c r="AP706" s="1">
        <v>1E-3</v>
      </c>
      <c r="AQ706" s="1">
        <v>0.81699999999999995</v>
      </c>
      <c r="AR706" s="1">
        <v>1E-3</v>
      </c>
      <c r="AS706" s="1">
        <v>5.0000000000000001E-3</v>
      </c>
      <c r="AT706" s="1">
        <v>2E-3</v>
      </c>
      <c r="AU706" s="1">
        <v>1E-3</v>
      </c>
      <c r="AV706" s="1">
        <v>1E-3</v>
      </c>
      <c r="AW706" s="1">
        <v>3.0000000000000001E-3</v>
      </c>
      <c r="AX706" s="1">
        <v>2E-3</v>
      </c>
      <c r="AY706" s="1">
        <v>3.0000000000000001E-3</v>
      </c>
      <c r="AZ706" s="1">
        <v>3.0000000000000001E-3</v>
      </c>
      <c r="BA706" s="1">
        <v>5.0000000000000001E-3</v>
      </c>
      <c r="BB706" s="1">
        <v>1E-3</v>
      </c>
      <c r="BC706" s="1">
        <v>1E-3</v>
      </c>
      <c r="BD706" s="1">
        <v>7.0000000000000001E-3</v>
      </c>
      <c r="BE706" s="1">
        <v>1E-3</v>
      </c>
      <c r="BF706" s="1">
        <v>0</v>
      </c>
      <c r="BG706" s="1">
        <v>1E-3</v>
      </c>
      <c r="BH706" s="1">
        <v>1E-3</v>
      </c>
      <c r="BI706" s="1">
        <v>1E-3</v>
      </c>
      <c r="BJ706" s="1">
        <v>1E-3</v>
      </c>
      <c r="BK706" s="1">
        <v>1E-3</v>
      </c>
      <c r="BL706" s="1">
        <v>4.0000000000000001E-3</v>
      </c>
      <c r="BM706" s="1">
        <v>1E-3</v>
      </c>
      <c r="BN706" s="1">
        <v>5.0000000000000001E-3</v>
      </c>
      <c r="BO706" s="1">
        <v>1E-3</v>
      </c>
      <c r="BP706" s="1">
        <v>1E-3</v>
      </c>
      <c r="BQ706" s="1">
        <v>3.0000000000000001E-3</v>
      </c>
      <c r="BR706" s="1">
        <v>1E-3</v>
      </c>
      <c r="BS706" s="1">
        <v>1E-3</v>
      </c>
      <c r="BT706" s="1">
        <v>1E-3</v>
      </c>
      <c r="BU706" s="1">
        <v>6.0000000000000001E-3</v>
      </c>
      <c r="BV706" s="1">
        <v>1E-3</v>
      </c>
      <c r="BW706" s="1">
        <v>1E-3</v>
      </c>
      <c r="BX706" s="1">
        <v>3.0000000000000001E-3</v>
      </c>
      <c r="BY706" s="1">
        <v>1.4E-2</v>
      </c>
      <c r="BZ706" s="1">
        <v>8.0000000000000002E-3</v>
      </c>
      <c r="CA706" s="1">
        <v>2E-3</v>
      </c>
      <c r="CB706" s="1">
        <v>0</v>
      </c>
      <c r="CC706" s="1">
        <v>2E-3</v>
      </c>
      <c r="CD706" s="1">
        <v>0</v>
      </c>
      <c r="CE706" s="1">
        <v>1E-3</v>
      </c>
      <c r="CF706" s="1">
        <v>1E-3</v>
      </c>
      <c r="CG706" s="1">
        <v>2E-3</v>
      </c>
      <c r="CH706" s="1">
        <v>3.0000000000000001E-3</v>
      </c>
      <c r="CI706" s="1">
        <v>2E-3</v>
      </c>
      <c r="CJ706" s="1">
        <v>3.0000000000000001E-3</v>
      </c>
      <c r="CK706" s="1">
        <v>3.0000000000000001E-3</v>
      </c>
      <c r="CL706" s="1">
        <v>0.01</v>
      </c>
      <c r="CM706" s="1">
        <v>-85.832676000000006</v>
      </c>
      <c r="CN706" s="83">
        <v>-21.583067979999999</v>
      </c>
    </row>
    <row r="707" spans="1:92" s="3" customFormat="1" hidden="1" x14ac:dyDescent="0.25">
      <c r="A707" s="72">
        <v>740</v>
      </c>
      <c r="B707" s="81" t="s">
        <v>1654</v>
      </c>
      <c r="C707" s="1" t="s">
        <v>83</v>
      </c>
      <c r="D707" s="1" t="s">
        <v>301</v>
      </c>
      <c r="E707" s="1" t="s">
        <v>76</v>
      </c>
      <c r="F707" s="1" t="s">
        <v>664</v>
      </c>
      <c r="G707" s="1" t="s">
        <v>76</v>
      </c>
      <c r="H707" s="1" t="s">
        <v>537</v>
      </c>
      <c r="I707" s="1"/>
      <c r="J707" s="9" t="s">
        <v>544</v>
      </c>
      <c r="K707" s="10">
        <v>0.32458200000000098</v>
      </c>
      <c r="L707" s="1" t="s">
        <v>76</v>
      </c>
      <c r="M707" s="1" t="s">
        <v>506</v>
      </c>
      <c r="N707" s="1" t="s">
        <v>645</v>
      </c>
      <c r="O707" s="1" t="s">
        <v>21</v>
      </c>
      <c r="P707" s="82">
        <v>0.99299999999999999</v>
      </c>
      <c r="Q707" s="1" t="s">
        <v>76</v>
      </c>
      <c r="R707" s="81" t="s">
        <v>269</v>
      </c>
      <c r="S707" s="1" t="s">
        <v>76</v>
      </c>
      <c r="T707" s="1" t="s">
        <v>269</v>
      </c>
      <c r="U707" s="1" t="s">
        <v>76</v>
      </c>
      <c r="V707" s="1" t="s">
        <v>656</v>
      </c>
      <c r="W707" s="1" t="s">
        <v>269</v>
      </c>
      <c r="X707" s="1" t="s">
        <v>76</v>
      </c>
      <c r="Y707" s="1" t="s">
        <v>645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0.99299999999999999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-64.310456650000006</v>
      </c>
      <c r="CN707" s="83">
        <v>-81.88355722</v>
      </c>
    </row>
    <row r="708" spans="1:92" s="3" customFormat="1" x14ac:dyDescent="0.25">
      <c r="A708" s="72">
        <v>741</v>
      </c>
      <c r="B708" s="81" t="s">
        <v>774</v>
      </c>
      <c r="C708" s="1" t="s">
        <v>83</v>
      </c>
      <c r="D708" s="1" t="s">
        <v>73</v>
      </c>
      <c r="E708" s="1" t="s">
        <v>74</v>
      </c>
      <c r="F708" s="1" t="s">
        <v>267</v>
      </c>
      <c r="G708" s="1" t="s">
        <v>80</v>
      </c>
      <c r="H708" s="1" t="s">
        <v>13</v>
      </c>
      <c r="I708" s="1"/>
      <c r="J708" s="9" t="s">
        <v>544</v>
      </c>
      <c r="K708" s="10">
        <v>0.26247033333333297</v>
      </c>
      <c r="L708" s="1" t="s">
        <v>546</v>
      </c>
      <c r="M708" s="1" t="s">
        <v>76</v>
      </c>
      <c r="N708" s="1" t="s">
        <v>644</v>
      </c>
      <c r="O708" s="1" t="s">
        <v>37</v>
      </c>
      <c r="P708" s="82">
        <v>0.318</v>
      </c>
      <c r="Q708" s="1" t="s">
        <v>76</v>
      </c>
      <c r="R708" s="81" t="s">
        <v>100</v>
      </c>
      <c r="S708" s="1" t="s">
        <v>76</v>
      </c>
      <c r="T708" s="1" t="s">
        <v>78</v>
      </c>
      <c r="U708" s="1" t="s">
        <v>658</v>
      </c>
      <c r="V708" s="1" t="s">
        <v>655</v>
      </c>
      <c r="W708" s="1">
        <v>67</v>
      </c>
      <c r="X708" s="1" t="s">
        <v>396</v>
      </c>
      <c r="Y708" s="1" t="s">
        <v>644</v>
      </c>
      <c r="Z708" s="1">
        <v>0.05</v>
      </c>
      <c r="AA708" s="1">
        <v>2E-3</v>
      </c>
      <c r="AB708" s="1">
        <v>2E-3</v>
      </c>
      <c r="AC708" s="1">
        <v>1.7000000000000001E-2</v>
      </c>
      <c r="AD708" s="1">
        <v>4.0000000000000001E-3</v>
      </c>
      <c r="AE708" s="1">
        <v>3.0000000000000001E-3</v>
      </c>
      <c r="AF708" s="1">
        <v>2E-3</v>
      </c>
      <c r="AG708" s="1">
        <v>0</v>
      </c>
      <c r="AH708" s="1">
        <v>0.04</v>
      </c>
      <c r="AI708" s="1">
        <v>6.0000000000000001E-3</v>
      </c>
      <c r="AJ708" s="1">
        <v>2E-3</v>
      </c>
      <c r="AK708" s="1">
        <v>4.0000000000000001E-3</v>
      </c>
      <c r="AL708" s="1">
        <v>0</v>
      </c>
      <c r="AM708" s="1">
        <v>2E-3</v>
      </c>
      <c r="AN708" s="1">
        <v>0.313</v>
      </c>
      <c r="AO708" s="1">
        <v>1E-3</v>
      </c>
      <c r="AP708" s="1">
        <v>1E-3</v>
      </c>
      <c r="AQ708" s="1">
        <v>1E-3</v>
      </c>
      <c r="AR708" s="1">
        <v>2E-3</v>
      </c>
      <c r="AS708" s="1">
        <v>3.0000000000000001E-3</v>
      </c>
      <c r="AT708" s="1">
        <v>2E-3</v>
      </c>
      <c r="AU708" s="1">
        <v>2E-3</v>
      </c>
      <c r="AV708" s="1">
        <v>4.0000000000000001E-3</v>
      </c>
      <c r="AW708" s="1">
        <v>2E-3</v>
      </c>
      <c r="AX708" s="1">
        <v>3.0000000000000001E-3</v>
      </c>
      <c r="AY708" s="1">
        <v>4.0000000000000001E-3</v>
      </c>
      <c r="AZ708" s="1">
        <v>6.0000000000000001E-3</v>
      </c>
      <c r="BA708" s="1">
        <v>8.0000000000000002E-3</v>
      </c>
      <c r="BB708" s="1">
        <v>1E-3</v>
      </c>
      <c r="BC708" s="1">
        <v>1E-3</v>
      </c>
      <c r="BD708" s="1">
        <v>1.2E-2</v>
      </c>
      <c r="BE708" s="1">
        <v>1E-3</v>
      </c>
      <c r="BF708" s="1">
        <v>0.318</v>
      </c>
      <c r="BG708" s="1">
        <v>0</v>
      </c>
      <c r="BH708" s="1">
        <v>4.0000000000000001E-3</v>
      </c>
      <c r="BI708" s="1">
        <v>1E-3</v>
      </c>
      <c r="BJ708" s="1">
        <v>3.0000000000000001E-3</v>
      </c>
      <c r="BK708" s="1">
        <v>1E-3</v>
      </c>
      <c r="BL708" s="1">
        <v>2E-3</v>
      </c>
      <c r="BM708" s="1">
        <v>1E-3</v>
      </c>
      <c r="BN708" s="1">
        <v>2E-3</v>
      </c>
      <c r="BO708" s="1">
        <v>1E-3</v>
      </c>
      <c r="BP708" s="1">
        <v>1E-3</v>
      </c>
      <c r="BQ708" s="1">
        <v>2E-3</v>
      </c>
      <c r="BR708" s="1">
        <v>2E-3</v>
      </c>
      <c r="BS708" s="1">
        <v>2E-3</v>
      </c>
      <c r="BT708" s="1">
        <v>1E-3</v>
      </c>
      <c r="BU708" s="1">
        <v>8.3000000000000004E-2</v>
      </c>
      <c r="BV708" s="1">
        <v>1E-3</v>
      </c>
      <c r="BW708" s="1">
        <v>2E-3</v>
      </c>
      <c r="BX708" s="1">
        <v>0.01</v>
      </c>
      <c r="BY708" s="1">
        <v>5.0000000000000001E-3</v>
      </c>
      <c r="BZ708" s="1">
        <v>4.0000000000000001E-3</v>
      </c>
      <c r="CA708" s="1">
        <v>3.0000000000000001E-3</v>
      </c>
      <c r="CB708" s="1">
        <v>1E-3</v>
      </c>
      <c r="CC708" s="1">
        <v>2E-3</v>
      </c>
      <c r="CD708" s="1">
        <v>0</v>
      </c>
      <c r="CE708" s="1">
        <v>2E-3</v>
      </c>
      <c r="CF708" s="1">
        <v>2E-3</v>
      </c>
      <c r="CG708" s="1">
        <v>4.0000000000000001E-3</v>
      </c>
      <c r="CH708" s="1">
        <v>2E-3</v>
      </c>
      <c r="CI708" s="1">
        <v>3.0000000000000001E-3</v>
      </c>
      <c r="CJ708" s="1">
        <v>4.0000000000000001E-3</v>
      </c>
      <c r="CK708" s="1">
        <v>8.9999999999999993E-3</v>
      </c>
      <c r="CL708" s="1">
        <v>2.5000000000000001E-2</v>
      </c>
      <c r="CM708" s="1">
        <v>-31.630404710000001</v>
      </c>
      <c r="CN708" s="83">
        <v>-43.09246649</v>
      </c>
    </row>
    <row r="709" spans="1:92" s="3" customFormat="1" x14ac:dyDescent="0.25">
      <c r="A709" s="72">
        <v>742</v>
      </c>
      <c r="B709" s="81" t="s">
        <v>735</v>
      </c>
      <c r="C709" s="1" t="s">
        <v>83</v>
      </c>
      <c r="D709" s="1" t="s">
        <v>73</v>
      </c>
      <c r="E709" s="1" t="s">
        <v>74</v>
      </c>
      <c r="F709" s="1" t="s">
        <v>267</v>
      </c>
      <c r="G709" s="1" t="s">
        <v>80</v>
      </c>
      <c r="H709" s="1" t="s">
        <v>13</v>
      </c>
      <c r="I709" s="1"/>
      <c r="J709" s="9" t="s">
        <v>544</v>
      </c>
      <c r="K709" s="10">
        <v>0.297205833333333</v>
      </c>
      <c r="L709" s="1" t="s">
        <v>641</v>
      </c>
      <c r="M709" s="1" t="s">
        <v>76</v>
      </c>
      <c r="N709" s="1" t="s">
        <v>649</v>
      </c>
      <c r="O709" s="1" t="s">
        <v>13</v>
      </c>
      <c r="P709" s="82">
        <v>0.89100000000000001</v>
      </c>
      <c r="Q709" s="1" t="s">
        <v>76</v>
      </c>
      <c r="R709" s="81" t="s">
        <v>100</v>
      </c>
      <c r="S709" s="1" t="s">
        <v>76</v>
      </c>
      <c r="T709" s="1" t="s">
        <v>78</v>
      </c>
      <c r="U709" s="1" t="s">
        <v>658</v>
      </c>
      <c r="V709" s="1" t="s">
        <v>655</v>
      </c>
      <c r="W709" s="1">
        <v>65</v>
      </c>
      <c r="X709" s="1" t="s">
        <v>397</v>
      </c>
      <c r="Y709" s="1" t="s">
        <v>645</v>
      </c>
      <c r="Z709" s="1">
        <v>4.0000000000000001E-3</v>
      </c>
      <c r="AA709" s="1">
        <v>1E-3</v>
      </c>
      <c r="AB709" s="1">
        <v>1E-3</v>
      </c>
      <c r="AC709" s="1">
        <v>4.0000000000000001E-3</v>
      </c>
      <c r="AD709" s="1">
        <v>1E-3</v>
      </c>
      <c r="AE709" s="1">
        <v>1E-3</v>
      </c>
      <c r="AF709" s="1">
        <v>1E-3</v>
      </c>
      <c r="AG709" s="1">
        <v>0</v>
      </c>
      <c r="AH709" s="1">
        <v>0.89100000000000001</v>
      </c>
      <c r="AI709" s="1">
        <v>5.0000000000000001E-3</v>
      </c>
      <c r="AJ709" s="1">
        <v>1E-3</v>
      </c>
      <c r="AK709" s="1">
        <v>2E-3</v>
      </c>
      <c r="AL709" s="1">
        <v>0</v>
      </c>
      <c r="AM709" s="1">
        <v>1E-3</v>
      </c>
      <c r="AN709" s="1">
        <v>1.2E-2</v>
      </c>
      <c r="AO709" s="1">
        <v>0</v>
      </c>
      <c r="AP709" s="1">
        <v>0</v>
      </c>
      <c r="AQ709" s="1">
        <v>0</v>
      </c>
      <c r="AR709" s="1">
        <v>1E-3</v>
      </c>
      <c r="AS709" s="1">
        <v>2E-3</v>
      </c>
      <c r="AT709" s="1">
        <v>1E-3</v>
      </c>
      <c r="AU709" s="1">
        <v>1E-3</v>
      </c>
      <c r="AV709" s="1">
        <v>1E-3</v>
      </c>
      <c r="AW709" s="1">
        <v>1E-3</v>
      </c>
      <c r="AX709" s="1">
        <v>3.0000000000000001E-3</v>
      </c>
      <c r="AY709" s="1">
        <v>1E-3</v>
      </c>
      <c r="AZ709" s="1">
        <v>2E-3</v>
      </c>
      <c r="BA709" s="1">
        <v>4.0000000000000001E-3</v>
      </c>
      <c r="BB709" s="1">
        <v>0</v>
      </c>
      <c r="BC709" s="1">
        <v>0</v>
      </c>
      <c r="BD709" s="1">
        <v>5.0000000000000001E-3</v>
      </c>
      <c r="BE709" s="1">
        <v>0</v>
      </c>
      <c r="BF709" s="1">
        <v>1E-3</v>
      </c>
      <c r="BG709" s="1">
        <v>0</v>
      </c>
      <c r="BH709" s="1">
        <v>1E-3</v>
      </c>
      <c r="BI709" s="1">
        <v>0</v>
      </c>
      <c r="BJ709" s="1">
        <v>1E-3</v>
      </c>
      <c r="BK709" s="1">
        <v>0</v>
      </c>
      <c r="BL709" s="1">
        <v>1E-3</v>
      </c>
      <c r="BM709" s="1">
        <v>1E-3</v>
      </c>
      <c r="BN709" s="1">
        <v>1E-3</v>
      </c>
      <c r="BO709" s="1">
        <v>0</v>
      </c>
      <c r="BP709" s="1">
        <v>0</v>
      </c>
      <c r="BQ709" s="1">
        <v>1E-3</v>
      </c>
      <c r="BR709" s="1">
        <v>1E-3</v>
      </c>
      <c r="BS709" s="1">
        <v>1E-3</v>
      </c>
      <c r="BT709" s="1">
        <v>0</v>
      </c>
      <c r="BU709" s="1">
        <v>0.01</v>
      </c>
      <c r="BV709" s="1">
        <v>0</v>
      </c>
      <c r="BW709" s="1">
        <v>1E-3</v>
      </c>
      <c r="BX709" s="1">
        <v>2E-3</v>
      </c>
      <c r="BY709" s="1">
        <v>2E-3</v>
      </c>
      <c r="BZ709" s="1">
        <v>2E-3</v>
      </c>
      <c r="CA709" s="1">
        <v>1E-3</v>
      </c>
      <c r="CB709" s="1">
        <v>0</v>
      </c>
      <c r="CC709" s="1">
        <v>1E-3</v>
      </c>
      <c r="CD709" s="1">
        <v>0</v>
      </c>
      <c r="CE709" s="1">
        <v>1E-3</v>
      </c>
      <c r="CF709" s="1">
        <v>1E-3</v>
      </c>
      <c r="CG709" s="1">
        <v>2E-3</v>
      </c>
      <c r="CH709" s="1">
        <v>1E-3</v>
      </c>
      <c r="CI709" s="1">
        <v>1E-3</v>
      </c>
      <c r="CJ709" s="1">
        <v>2E-3</v>
      </c>
      <c r="CK709" s="1">
        <v>5.0000000000000001E-3</v>
      </c>
      <c r="CL709" s="1">
        <v>1.2E-2</v>
      </c>
      <c r="CM709" s="1">
        <v>-21.32944779</v>
      </c>
      <c r="CN709" s="83">
        <v>-115.0489001</v>
      </c>
    </row>
    <row r="710" spans="1:92" s="3" customFormat="1" x14ac:dyDescent="0.25">
      <c r="A710" s="72">
        <v>743</v>
      </c>
      <c r="B710" s="81" t="s">
        <v>796</v>
      </c>
      <c r="C710" s="1" t="s">
        <v>83</v>
      </c>
      <c r="D710" s="1" t="s">
        <v>73</v>
      </c>
      <c r="E710" s="1" t="s">
        <v>99</v>
      </c>
      <c r="F710" s="1" t="s">
        <v>267</v>
      </c>
      <c r="G710" s="1" t="s">
        <v>80</v>
      </c>
      <c r="H710" s="1" t="s">
        <v>13</v>
      </c>
      <c r="I710" s="1"/>
      <c r="J710" s="9" t="s">
        <v>544</v>
      </c>
      <c r="K710" s="10">
        <v>0.485360333333333</v>
      </c>
      <c r="L710" s="1" t="s">
        <v>76</v>
      </c>
      <c r="M710" s="1" t="s">
        <v>506</v>
      </c>
      <c r="N710" s="1" t="s">
        <v>645</v>
      </c>
      <c r="O710" s="1" t="s">
        <v>13</v>
      </c>
      <c r="P710" s="82">
        <v>1</v>
      </c>
      <c r="Q710" s="1" t="s">
        <v>76</v>
      </c>
      <c r="R710" s="81" t="s">
        <v>276</v>
      </c>
      <c r="S710" s="1" t="s">
        <v>76</v>
      </c>
      <c r="T710" s="1" t="s">
        <v>78</v>
      </c>
      <c r="U710" s="1" t="s">
        <v>658</v>
      </c>
      <c r="V710" s="1" t="s">
        <v>655</v>
      </c>
      <c r="W710" s="1">
        <v>65</v>
      </c>
      <c r="X710" s="1" t="s">
        <v>398</v>
      </c>
      <c r="Y710" s="1" t="s">
        <v>645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1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-9.622831584</v>
      </c>
      <c r="CN710" s="83">
        <v>-125.5991906</v>
      </c>
    </row>
    <row r="711" spans="1:92" s="3" customFormat="1" x14ac:dyDescent="0.25">
      <c r="A711" s="72">
        <v>744</v>
      </c>
      <c r="B711" s="81" t="s">
        <v>790</v>
      </c>
      <c r="C711" s="1" t="s">
        <v>83</v>
      </c>
      <c r="D711" s="1" t="s">
        <v>73</v>
      </c>
      <c r="E711" s="1" t="s">
        <v>99</v>
      </c>
      <c r="F711" s="1" t="s">
        <v>267</v>
      </c>
      <c r="G711" s="1" t="s">
        <v>80</v>
      </c>
      <c r="H711" s="1" t="s">
        <v>13</v>
      </c>
      <c r="I711" s="1"/>
      <c r="J711" s="9" t="s">
        <v>544</v>
      </c>
      <c r="K711" s="10">
        <v>0.26970683333333401</v>
      </c>
      <c r="L711" s="1" t="s">
        <v>547</v>
      </c>
      <c r="M711" s="1" t="s">
        <v>76</v>
      </c>
      <c r="N711" s="1" t="s">
        <v>644</v>
      </c>
      <c r="O711" s="1" t="s">
        <v>39</v>
      </c>
      <c r="P711" s="82">
        <v>0.28399999999999997</v>
      </c>
      <c r="Q711" s="1" t="s">
        <v>76</v>
      </c>
      <c r="R711" s="81" t="s">
        <v>95</v>
      </c>
      <c r="S711" s="1" t="s">
        <v>76</v>
      </c>
      <c r="T711" s="1" t="s">
        <v>78</v>
      </c>
      <c r="U711" s="1" t="s">
        <v>658</v>
      </c>
      <c r="V711" s="1" t="s">
        <v>655</v>
      </c>
      <c r="W711" s="1">
        <v>33</v>
      </c>
      <c r="X711" s="1" t="s">
        <v>399</v>
      </c>
      <c r="Y711" s="1" t="s">
        <v>644</v>
      </c>
      <c r="Z711" s="1">
        <v>5.0000000000000001E-3</v>
      </c>
      <c r="AA711" s="1">
        <v>3.0000000000000001E-3</v>
      </c>
      <c r="AB711" s="1">
        <v>3.0000000000000001E-3</v>
      </c>
      <c r="AC711" s="1">
        <v>0.09</v>
      </c>
      <c r="AD711" s="1">
        <v>6.0000000000000001E-3</v>
      </c>
      <c r="AE711" s="1">
        <v>6.0000000000000001E-3</v>
      </c>
      <c r="AF711" s="1">
        <v>2E-3</v>
      </c>
      <c r="AG711" s="1">
        <v>0</v>
      </c>
      <c r="AH711" s="1">
        <v>5.6000000000000001E-2</v>
      </c>
      <c r="AI711" s="1">
        <v>2.1999999999999999E-2</v>
      </c>
      <c r="AJ711" s="1">
        <v>2E-3</v>
      </c>
      <c r="AK711" s="1">
        <v>7.0000000000000001E-3</v>
      </c>
      <c r="AL711" s="1">
        <v>0</v>
      </c>
      <c r="AM711" s="1">
        <v>2E-3</v>
      </c>
      <c r="AN711" s="1">
        <v>7.4999999999999997E-2</v>
      </c>
      <c r="AO711" s="1">
        <v>4.0000000000000001E-3</v>
      </c>
      <c r="AP711" s="1">
        <v>6.0000000000000001E-3</v>
      </c>
      <c r="AQ711" s="1">
        <v>2E-3</v>
      </c>
      <c r="AR711" s="1">
        <v>1E-3</v>
      </c>
      <c r="AS711" s="1">
        <v>7.0000000000000001E-3</v>
      </c>
      <c r="AT711" s="1">
        <v>5.0000000000000001E-3</v>
      </c>
      <c r="AU711" s="1">
        <v>2E-3</v>
      </c>
      <c r="AV711" s="1">
        <v>5.0000000000000001E-3</v>
      </c>
      <c r="AW711" s="1">
        <v>3.0000000000000001E-3</v>
      </c>
      <c r="AX711" s="1">
        <v>4.0000000000000001E-3</v>
      </c>
      <c r="AY711" s="1">
        <v>6.0000000000000001E-3</v>
      </c>
      <c r="AZ711" s="1">
        <v>5.0000000000000001E-3</v>
      </c>
      <c r="BA711" s="1">
        <v>1.2999999999999999E-2</v>
      </c>
      <c r="BB711" s="1">
        <v>2E-3</v>
      </c>
      <c r="BC711" s="1">
        <v>2E-3</v>
      </c>
      <c r="BD711" s="1">
        <v>2.1000000000000001E-2</v>
      </c>
      <c r="BE711" s="1">
        <v>3.0000000000000001E-3</v>
      </c>
      <c r="BF711" s="1">
        <v>0.20799999999999999</v>
      </c>
      <c r="BG711" s="1">
        <v>1E-3</v>
      </c>
      <c r="BH711" s="1">
        <v>0.28399999999999997</v>
      </c>
      <c r="BI711" s="1">
        <v>1E-3</v>
      </c>
      <c r="BJ711" s="1">
        <v>1E-3</v>
      </c>
      <c r="BK711" s="1">
        <v>1E-3</v>
      </c>
      <c r="BL711" s="1">
        <v>4.0000000000000001E-3</v>
      </c>
      <c r="BM711" s="1">
        <v>3.0000000000000001E-3</v>
      </c>
      <c r="BN711" s="1">
        <v>4.0000000000000001E-3</v>
      </c>
      <c r="BO711" s="1">
        <v>1E-3</v>
      </c>
      <c r="BP711" s="1">
        <v>1E-3</v>
      </c>
      <c r="BQ711" s="1">
        <v>5.0000000000000001E-3</v>
      </c>
      <c r="BR711" s="1">
        <v>5.0000000000000001E-3</v>
      </c>
      <c r="BS711" s="1">
        <v>1E-3</v>
      </c>
      <c r="BT711" s="1">
        <v>2E-3</v>
      </c>
      <c r="BU711" s="1">
        <v>4.0000000000000001E-3</v>
      </c>
      <c r="BV711" s="1">
        <v>2E-3</v>
      </c>
      <c r="BW711" s="1">
        <v>3.0000000000000001E-3</v>
      </c>
      <c r="BX711" s="1">
        <v>2.4E-2</v>
      </c>
      <c r="BY711" s="1">
        <v>8.9999999999999993E-3</v>
      </c>
      <c r="BZ711" s="1">
        <v>4.0000000000000001E-3</v>
      </c>
      <c r="CA711" s="1">
        <v>4.0000000000000001E-3</v>
      </c>
      <c r="CB711" s="1">
        <v>1E-3</v>
      </c>
      <c r="CC711" s="1">
        <v>3.0000000000000001E-3</v>
      </c>
      <c r="CD711" s="1">
        <v>0</v>
      </c>
      <c r="CE711" s="1">
        <v>3.0000000000000001E-3</v>
      </c>
      <c r="CF711" s="1">
        <v>5.0000000000000001E-3</v>
      </c>
      <c r="CG711" s="1">
        <v>7.0000000000000001E-3</v>
      </c>
      <c r="CH711" s="1">
        <v>5.0000000000000001E-3</v>
      </c>
      <c r="CI711" s="1">
        <v>5.0000000000000001E-3</v>
      </c>
      <c r="CJ711" s="1">
        <v>8.0000000000000002E-3</v>
      </c>
      <c r="CK711" s="1">
        <v>1.0999999999999999E-2</v>
      </c>
      <c r="CL711" s="1">
        <v>6.0000000000000001E-3</v>
      </c>
      <c r="CM711" s="1">
        <v>-29.31722323</v>
      </c>
      <c r="CN711" s="83">
        <v>-68.395977149999993</v>
      </c>
    </row>
    <row r="712" spans="1:92" s="3" customFormat="1" x14ac:dyDescent="0.25">
      <c r="A712" s="72">
        <v>745</v>
      </c>
      <c r="B712" s="81" t="s">
        <v>816</v>
      </c>
      <c r="C712" s="1" t="s">
        <v>83</v>
      </c>
      <c r="D712" s="1" t="s">
        <v>73</v>
      </c>
      <c r="E712" s="1" t="s">
        <v>99</v>
      </c>
      <c r="F712" s="1" t="s">
        <v>267</v>
      </c>
      <c r="G712" s="1" t="s">
        <v>80</v>
      </c>
      <c r="H712" s="1" t="s">
        <v>13</v>
      </c>
      <c r="I712" s="1"/>
      <c r="J712" s="9" t="s">
        <v>544</v>
      </c>
      <c r="K712" s="10">
        <v>0.323255666666666</v>
      </c>
      <c r="L712" s="1" t="s">
        <v>76</v>
      </c>
      <c r="M712" s="1" t="s">
        <v>506</v>
      </c>
      <c r="N712" s="1" t="s">
        <v>645</v>
      </c>
      <c r="O712" s="1" t="s">
        <v>13</v>
      </c>
      <c r="P712" s="82">
        <v>0.97099999999999997</v>
      </c>
      <c r="Q712" s="1" t="s">
        <v>76</v>
      </c>
      <c r="R712" s="81" t="s">
        <v>276</v>
      </c>
      <c r="S712" s="1" t="s">
        <v>76</v>
      </c>
      <c r="T712" s="1" t="s">
        <v>78</v>
      </c>
      <c r="U712" s="1" t="s">
        <v>658</v>
      </c>
      <c r="V712" s="1" t="s">
        <v>655</v>
      </c>
      <c r="W712" s="1">
        <v>69</v>
      </c>
      <c r="X712" s="1" t="s">
        <v>400</v>
      </c>
      <c r="Y712" s="1" t="s">
        <v>645</v>
      </c>
      <c r="Z712" s="1">
        <v>0</v>
      </c>
      <c r="AA712" s="1">
        <v>0</v>
      </c>
      <c r="AB712" s="1">
        <v>0</v>
      </c>
      <c r="AC712" s="1">
        <v>1E-3</v>
      </c>
      <c r="AD712" s="1">
        <v>0</v>
      </c>
      <c r="AE712" s="1">
        <v>0</v>
      </c>
      <c r="AF712" s="1">
        <v>0</v>
      </c>
      <c r="AG712" s="1">
        <v>0</v>
      </c>
      <c r="AH712" s="1">
        <v>0.97099999999999997</v>
      </c>
      <c r="AI712" s="1">
        <v>0</v>
      </c>
      <c r="AJ712" s="1">
        <v>0</v>
      </c>
      <c r="AK712" s="1">
        <v>1E-3</v>
      </c>
      <c r="AL712" s="1">
        <v>0</v>
      </c>
      <c r="AM712" s="1">
        <v>0</v>
      </c>
      <c r="AN712" s="1">
        <v>2E-3</v>
      </c>
      <c r="AO712" s="1">
        <v>0</v>
      </c>
      <c r="AP712" s="1">
        <v>0</v>
      </c>
      <c r="AQ712" s="1">
        <v>0</v>
      </c>
      <c r="AR712" s="1">
        <v>0</v>
      </c>
      <c r="AS712" s="1">
        <v>1E-3</v>
      </c>
      <c r="AT712" s="1">
        <v>0</v>
      </c>
      <c r="AU712" s="1">
        <v>0</v>
      </c>
      <c r="AV712" s="1">
        <v>0</v>
      </c>
      <c r="AW712" s="1">
        <v>0</v>
      </c>
      <c r="AX712" s="1">
        <v>1E-3</v>
      </c>
      <c r="AY712" s="1">
        <v>0</v>
      </c>
      <c r="AZ712" s="1">
        <v>1E-3</v>
      </c>
      <c r="BA712" s="1">
        <v>1E-3</v>
      </c>
      <c r="BB712" s="1">
        <v>0</v>
      </c>
      <c r="BC712" s="1">
        <v>0</v>
      </c>
      <c r="BD712" s="1">
        <v>2E-3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1E-3</v>
      </c>
      <c r="BY712" s="1">
        <v>1E-3</v>
      </c>
      <c r="BZ712" s="1">
        <v>1E-3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1E-3</v>
      </c>
      <c r="CH712" s="1">
        <v>0</v>
      </c>
      <c r="CI712" s="1">
        <v>0</v>
      </c>
      <c r="CJ712" s="1">
        <v>1E-3</v>
      </c>
      <c r="CK712" s="1">
        <v>2E-3</v>
      </c>
      <c r="CL712" s="1">
        <v>2E-3</v>
      </c>
      <c r="CM712" s="1">
        <v>-28.351635630000001</v>
      </c>
      <c r="CN712" s="83">
        <v>-120.0807593</v>
      </c>
    </row>
    <row r="713" spans="1:92" s="3" customFormat="1" x14ac:dyDescent="0.25">
      <c r="A713" s="72">
        <v>746</v>
      </c>
      <c r="B713" s="81" t="s">
        <v>829</v>
      </c>
      <c r="C713" s="1" t="s">
        <v>83</v>
      </c>
      <c r="D713" s="1" t="s">
        <v>73</v>
      </c>
      <c r="E713" s="1" t="s">
        <v>74</v>
      </c>
      <c r="F713" s="1" t="s">
        <v>267</v>
      </c>
      <c r="G713" s="1" t="s">
        <v>80</v>
      </c>
      <c r="H713" s="1" t="s">
        <v>13</v>
      </c>
      <c r="I713" s="1"/>
      <c r="J713" s="9" t="s">
        <v>544</v>
      </c>
      <c r="K713" s="10">
        <v>0.33081233333333299</v>
      </c>
      <c r="L713" s="1" t="s">
        <v>76</v>
      </c>
      <c r="M713" s="1" t="s">
        <v>506</v>
      </c>
      <c r="N713" s="1" t="s">
        <v>645</v>
      </c>
      <c r="O713" s="1" t="s">
        <v>13</v>
      </c>
      <c r="P713" s="82">
        <v>0.97299999999999998</v>
      </c>
      <c r="Q713" s="1" t="s">
        <v>76</v>
      </c>
      <c r="R713" s="81" t="s">
        <v>276</v>
      </c>
      <c r="S713" s="1" t="s">
        <v>76</v>
      </c>
      <c r="T713" s="1" t="s">
        <v>78</v>
      </c>
      <c r="U713" s="1" t="s">
        <v>658</v>
      </c>
      <c r="V713" s="1" t="s">
        <v>655</v>
      </c>
      <c r="W713" s="1">
        <v>50</v>
      </c>
      <c r="X713" s="1" t="s">
        <v>401</v>
      </c>
      <c r="Y713" s="1" t="s">
        <v>645</v>
      </c>
      <c r="Z713" s="1">
        <v>0</v>
      </c>
      <c r="AA713" s="1">
        <v>0</v>
      </c>
      <c r="AB713" s="1">
        <v>0</v>
      </c>
      <c r="AC713" s="1">
        <v>1E-3</v>
      </c>
      <c r="AD713" s="1">
        <v>0</v>
      </c>
      <c r="AE713" s="1">
        <v>0</v>
      </c>
      <c r="AF713" s="1">
        <v>0</v>
      </c>
      <c r="AG713" s="1">
        <v>0</v>
      </c>
      <c r="AH713" s="1">
        <v>0.97299999999999998</v>
      </c>
      <c r="AI713" s="1">
        <v>0</v>
      </c>
      <c r="AJ713" s="1">
        <v>0</v>
      </c>
      <c r="AK713" s="1">
        <v>1E-3</v>
      </c>
      <c r="AL713" s="1">
        <v>0</v>
      </c>
      <c r="AM713" s="1">
        <v>0</v>
      </c>
      <c r="AN713" s="1">
        <v>1E-3</v>
      </c>
      <c r="AO713" s="1">
        <v>0</v>
      </c>
      <c r="AP713" s="1">
        <v>0</v>
      </c>
      <c r="AQ713" s="1">
        <v>0</v>
      </c>
      <c r="AR713" s="1">
        <v>0</v>
      </c>
      <c r="AS713" s="1">
        <v>1E-3</v>
      </c>
      <c r="AT713" s="1">
        <v>0</v>
      </c>
      <c r="AU713" s="1">
        <v>0</v>
      </c>
      <c r="AV713" s="1">
        <v>0</v>
      </c>
      <c r="AW713" s="1">
        <v>0</v>
      </c>
      <c r="AX713" s="1">
        <v>1E-3</v>
      </c>
      <c r="AY713" s="1">
        <v>0</v>
      </c>
      <c r="AZ713" s="1">
        <v>1E-3</v>
      </c>
      <c r="BA713" s="1">
        <v>1E-3</v>
      </c>
      <c r="BB713" s="1">
        <v>0</v>
      </c>
      <c r="BC713" s="1">
        <v>0</v>
      </c>
      <c r="BD713" s="1">
        <v>1E-3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1E-3</v>
      </c>
      <c r="BV713" s="1">
        <v>0</v>
      </c>
      <c r="BW713" s="1">
        <v>0</v>
      </c>
      <c r="BX713" s="1">
        <v>1E-3</v>
      </c>
      <c r="BY713" s="1">
        <v>1E-3</v>
      </c>
      <c r="BZ713" s="1">
        <v>1E-3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1E-3</v>
      </c>
      <c r="CH713" s="1">
        <v>0</v>
      </c>
      <c r="CI713" s="1">
        <v>0</v>
      </c>
      <c r="CJ713" s="1">
        <v>1E-3</v>
      </c>
      <c r="CK713" s="1">
        <v>2E-3</v>
      </c>
      <c r="CL713" s="1">
        <v>2E-3</v>
      </c>
      <c r="CM713" s="1">
        <v>-29.634275039999999</v>
      </c>
      <c r="CN713" s="83">
        <v>-117.3754088</v>
      </c>
    </row>
    <row r="714" spans="1:92" s="3" customFormat="1" x14ac:dyDescent="0.25">
      <c r="A714" s="72">
        <v>747</v>
      </c>
      <c r="B714" s="81" t="s">
        <v>810</v>
      </c>
      <c r="C714" s="1" t="s">
        <v>83</v>
      </c>
      <c r="D714" s="1" t="s">
        <v>73</v>
      </c>
      <c r="E714" s="1" t="s">
        <v>99</v>
      </c>
      <c r="F714" s="1" t="s">
        <v>267</v>
      </c>
      <c r="G714" s="1" t="s">
        <v>80</v>
      </c>
      <c r="H714" s="1" t="s">
        <v>13</v>
      </c>
      <c r="I714" s="1"/>
      <c r="J714" s="9" t="s">
        <v>544</v>
      </c>
      <c r="K714" s="10">
        <v>0.564472999999999</v>
      </c>
      <c r="L714" s="1" t="s">
        <v>76</v>
      </c>
      <c r="M714" s="1" t="s">
        <v>506</v>
      </c>
      <c r="N714" s="1" t="s">
        <v>645</v>
      </c>
      <c r="O714" s="1" t="s">
        <v>13</v>
      </c>
      <c r="P714" s="82">
        <v>0.97699999999999998</v>
      </c>
      <c r="Q714" s="1" t="s">
        <v>76</v>
      </c>
      <c r="R714" s="81" t="s">
        <v>100</v>
      </c>
      <c r="S714" s="1" t="s">
        <v>76</v>
      </c>
      <c r="T714" s="1" t="s">
        <v>78</v>
      </c>
      <c r="U714" s="1" t="s">
        <v>658</v>
      </c>
      <c r="V714" s="1" t="s">
        <v>655</v>
      </c>
      <c r="W714" s="1">
        <v>58</v>
      </c>
      <c r="X714" s="1" t="s">
        <v>400</v>
      </c>
      <c r="Y714" s="1" t="s">
        <v>645</v>
      </c>
      <c r="Z714" s="1">
        <v>0</v>
      </c>
      <c r="AA714" s="1">
        <v>0</v>
      </c>
      <c r="AB714" s="1">
        <v>0</v>
      </c>
      <c r="AC714" s="1">
        <v>1E-3</v>
      </c>
      <c r="AD714" s="1">
        <v>0</v>
      </c>
      <c r="AE714" s="1">
        <v>0</v>
      </c>
      <c r="AF714" s="1">
        <v>0</v>
      </c>
      <c r="AG714" s="1">
        <v>0</v>
      </c>
      <c r="AH714" s="1">
        <v>0.97699999999999998</v>
      </c>
      <c r="AI714" s="1">
        <v>0</v>
      </c>
      <c r="AJ714" s="1">
        <v>0</v>
      </c>
      <c r="AK714" s="1">
        <v>1E-3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1E-3</v>
      </c>
      <c r="AT714" s="1">
        <v>1E-3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1E-3</v>
      </c>
      <c r="BB714" s="1">
        <v>0</v>
      </c>
      <c r="BC714" s="1">
        <v>0</v>
      </c>
      <c r="BD714" s="1">
        <v>1E-3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1E-3</v>
      </c>
      <c r="BO714" s="1">
        <v>0</v>
      </c>
      <c r="BP714" s="1">
        <v>0</v>
      </c>
      <c r="BQ714" s="1">
        <v>1E-3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1E-3</v>
      </c>
      <c r="BY714" s="1">
        <v>1E-3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1E-3</v>
      </c>
      <c r="CI714" s="1">
        <v>1E-3</v>
      </c>
      <c r="CJ714" s="1">
        <v>1E-3</v>
      </c>
      <c r="CK714" s="1">
        <v>2E-3</v>
      </c>
      <c r="CL714" s="1">
        <v>1E-3</v>
      </c>
      <c r="CM714" s="1">
        <v>-1.440690799</v>
      </c>
      <c r="CN714" s="83">
        <v>-127.7429331</v>
      </c>
    </row>
    <row r="715" spans="1:92" s="3" customFormat="1" hidden="1" x14ac:dyDescent="0.25">
      <c r="A715" s="72">
        <v>748</v>
      </c>
      <c r="B715" s="81" t="s">
        <v>1655</v>
      </c>
      <c r="C715" s="1" t="s">
        <v>83</v>
      </c>
      <c r="D715" s="1" t="s">
        <v>301</v>
      </c>
      <c r="E715" s="1" t="s">
        <v>76</v>
      </c>
      <c r="F715" s="1" t="s">
        <v>664</v>
      </c>
      <c r="G715" s="1" t="s">
        <v>76</v>
      </c>
      <c r="H715" s="1" t="s">
        <v>537</v>
      </c>
      <c r="I715" s="1"/>
      <c r="J715" s="9" t="s">
        <v>544</v>
      </c>
      <c r="K715" s="10">
        <v>0.315135000000001</v>
      </c>
      <c r="L715" s="1" t="s">
        <v>76</v>
      </c>
      <c r="M715" s="1" t="s">
        <v>506</v>
      </c>
      <c r="N715" s="1" t="s">
        <v>645</v>
      </c>
      <c r="O715" s="1" t="s">
        <v>21</v>
      </c>
      <c r="P715" s="82">
        <v>0.99299999999999999</v>
      </c>
      <c r="Q715" s="1" t="s">
        <v>76</v>
      </c>
      <c r="R715" s="81" t="s">
        <v>269</v>
      </c>
      <c r="S715" s="1" t="s">
        <v>76</v>
      </c>
      <c r="T715" s="1" t="s">
        <v>269</v>
      </c>
      <c r="U715" s="1" t="s">
        <v>76</v>
      </c>
      <c r="V715" s="1" t="s">
        <v>656</v>
      </c>
      <c r="W715" s="1" t="s">
        <v>269</v>
      </c>
      <c r="X715" s="1" t="s">
        <v>76</v>
      </c>
      <c r="Y715" s="1" t="s">
        <v>645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0.99299999999999999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-62.91036587</v>
      </c>
      <c r="CN715" s="83">
        <v>-80.020069160000006</v>
      </c>
    </row>
    <row r="716" spans="1:92" s="3" customFormat="1" x14ac:dyDescent="0.25">
      <c r="A716" s="72">
        <v>749</v>
      </c>
      <c r="B716" s="81" t="s">
        <v>751</v>
      </c>
      <c r="C716" s="1" t="s">
        <v>83</v>
      </c>
      <c r="D716" s="1" t="s">
        <v>73</v>
      </c>
      <c r="E716" s="1" t="s">
        <v>74</v>
      </c>
      <c r="F716" s="1" t="s">
        <v>267</v>
      </c>
      <c r="G716" s="1" t="s">
        <v>80</v>
      </c>
      <c r="H716" s="1" t="s">
        <v>13</v>
      </c>
      <c r="I716" s="1"/>
      <c r="J716" s="9" t="s">
        <v>544</v>
      </c>
      <c r="K716" s="10">
        <v>0.49936433333333402</v>
      </c>
      <c r="L716" s="1" t="s">
        <v>76</v>
      </c>
      <c r="M716" s="1" t="s">
        <v>506</v>
      </c>
      <c r="N716" s="1" t="s">
        <v>645</v>
      </c>
      <c r="O716" s="1" t="s">
        <v>13</v>
      </c>
      <c r="P716" s="82">
        <v>0.98199999999999998</v>
      </c>
      <c r="Q716" s="1" t="s">
        <v>76</v>
      </c>
      <c r="R716" s="81" t="s">
        <v>95</v>
      </c>
      <c r="S716" s="1" t="s">
        <v>76</v>
      </c>
      <c r="T716" s="1" t="s">
        <v>78</v>
      </c>
      <c r="U716" s="1" t="s">
        <v>660</v>
      </c>
      <c r="V716" s="1" t="s">
        <v>655</v>
      </c>
      <c r="W716" s="1">
        <v>50</v>
      </c>
      <c r="X716" s="1" t="s">
        <v>402</v>
      </c>
      <c r="Y716" s="1" t="s">
        <v>645</v>
      </c>
      <c r="Z716" s="1">
        <v>0</v>
      </c>
      <c r="AA716" s="1">
        <v>0</v>
      </c>
      <c r="AB716" s="1">
        <v>0</v>
      </c>
      <c r="AC716" s="1">
        <v>1E-3</v>
      </c>
      <c r="AD716" s="1">
        <v>0</v>
      </c>
      <c r="AE716" s="1">
        <v>0</v>
      </c>
      <c r="AF716" s="1">
        <v>0</v>
      </c>
      <c r="AG716" s="1">
        <v>0</v>
      </c>
      <c r="AH716" s="1">
        <v>0.98199999999999998</v>
      </c>
      <c r="AI716" s="1">
        <v>0</v>
      </c>
      <c r="AJ716" s="1">
        <v>0</v>
      </c>
      <c r="AK716" s="1">
        <v>1E-3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1E-3</v>
      </c>
      <c r="AT716" s="1">
        <v>1E-3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1E-3</v>
      </c>
      <c r="BB716" s="1">
        <v>0</v>
      </c>
      <c r="BC716" s="1">
        <v>0</v>
      </c>
      <c r="BD716" s="1">
        <v>1E-3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1E-3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1E-3</v>
      </c>
      <c r="CH716" s="1">
        <v>1E-3</v>
      </c>
      <c r="CI716" s="1">
        <v>0</v>
      </c>
      <c r="CJ716" s="1">
        <v>1E-3</v>
      </c>
      <c r="CK716" s="1">
        <v>2E-3</v>
      </c>
      <c r="CL716" s="1">
        <v>0</v>
      </c>
      <c r="CM716" s="1">
        <v>1.4559590280000001</v>
      </c>
      <c r="CN716" s="83">
        <v>-127.14912150000001</v>
      </c>
    </row>
    <row r="717" spans="1:92" s="3" customFormat="1" x14ac:dyDescent="0.25">
      <c r="A717" s="72">
        <v>750</v>
      </c>
      <c r="B717" s="81" t="s">
        <v>832</v>
      </c>
      <c r="C717" s="1" t="s">
        <v>83</v>
      </c>
      <c r="D717" s="1" t="s">
        <v>73</v>
      </c>
      <c r="E717" s="1" t="s">
        <v>99</v>
      </c>
      <c r="F717" s="1" t="s">
        <v>267</v>
      </c>
      <c r="G717" s="1" t="s">
        <v>80</v>
      </c>
      <c r="H717" s="1" t="s">
        <v>13</v>
      </c>
      <c r="I717" s="1"/>
      <c r="J717" s="9" t="s">
        <v>544</v>
      </c>
      <c r="K717" s="10">
        <v>0.52024599999999999</v>
      </c>
      <c r="L717" s="1" t="s">
        <v>76</v>
      </c>
      <c r="M717" s="1" t="s">
        <v>506</v>
      </c>
      <c r="N717" s="1" t="s">
        <v>645</v>
      </c>
      <c r="O717" s="1" t="s">
        <v>13</v>
      </c>
      <c r="P717" s="82">
        <v>0.99399999999999999</v>
      </c>
      <c r="Q717" s="1" t="s">
        <v>76</v>
      </c>
      <c r="R717" s="81" t="s">
        <v>100</v>
      </c>
      <c r="S717" s="1" t="s">
        <v>76</v>
      </c>
      <c r="T717" s="1" t="s">
        <v>78</v>
      </c>
      <c r="U717" s="1" t="s">
        <v>658</v>
      </c>
      <c r="V717" s="1" t="s">
        <v>655</v>
      </c>
      <c r="W717" s="1">
        <v>69</v>
      </c>
      <c r="X717" s="1" t="s">
        <v>403</v>
      </c>
      <c r="Y717" s="1" t="s">
        <v>645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0.99399999999999999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1E-3</v>
      </c>
      <c r="CL717" s="1">
        <v>0</v>
      </c>
      <c r="CM717" s="1">
        <v>-12.354704359999999</v>
      </c>
      <c r="CN717" s="83">
        <v>-119.65317589999999</v>
      </c>
    </row>
    <row r="718" spans="1:92" s="3" customFormat="1" x14ac:dyDescent="0.25">
      <c r="A718" s="72">
        <v>751</v>
      </c>
      <c r="B718" s="81" t="s">
        <v>828</v>
      </c>
      <c r="C718" s="1" t="s">
        <v>83</v>
      </c>
      <c r="D718" s="1" t="s">
        <v>73</v>
      </c>
      <c r="E718" s="1" t="s">
        <v>74</v>
      </c>
      <c r="F718" s="1" t="s">
        <v>267</v>
      </c>
      <c r="G718" s="1" t="s">
        <v>80</v>
      </c>
      <c r="H718" s="1" t="s">
        <v>13</v>
      </c>
      <c r="I718" s="1"/>
      <c r="J718" s="9" t="s">
        <v>544</v>
      </c>
      <c r="K718" s="10">
        <v>0.43315616666666701</v>
      </c>
      <c r="L718" s="1" t="s">
        <v>76</v>
      </c>
      <c r="M718" s="1" t="s">
        <v>506</v>
      </c>
      <c r="N718" s="1" t="s">
        <v>645</v>
      </c>
      <c r="O718" s="1" t="s">
        <v>13</v>
      </c>
      <c r="P718" s="82">
        <v>0.999</v>
      </c>
      <c r="Q718" s="1" t="s">
        <v>76</v>
      </c>
      <c r="R718" s="81" t="s">
        <v>100</v>
      </c>
      <c r="S718" s="1" t="s">
        <v>76</v>
      </c>
      <c r="T718" s="1" t="s">
        <v>78</v>
      </c>
      <c r="U718" s="1" t="s">
        <v>658</v>
      </c>
      <c r="V718" s="1" t="s">
        <v>655</v>
      </c>
      <c r="W718" s="1">
        <v>64</v>
      </c>
      <c r="X718" s="1" t="s">
        <v>404</v>
      </c>
      <c r="Y718" s="1" t="s">
        <v>645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0.999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-24.79120485</v>
      </c>
      <c r="CN718" s="83">
        <v>-129.71247640000001</v>
      </c>
    </row>
    <row r="719" spans="1:92" s="3" customFormat="1" x14ac:dyDescent="0.25">
      <c r="A719" s="72">
        <v>752</v>
      </c>
      <c r="B719" s="81" t="s">
        <v>773</v>
      </c>
      <c r="C719" s="1" t="s">
        <v>83</v>
      </c>
      <c r="D719" s="1" t="s">
        <v>73</v>
      </c>
      <c r="E719" s="1" t="s">
        <v>99</v>
      </c>
      <c r="F719" s="1" t="s">
        <v>267</v>
      </c>
      <c r="G719" s="1" t="s">
        <v>80</v>
      </c>
      <c r="H719" s="1" t="s">
        <v>13</v>
      </c>
      <c r="I719" s="1"/>
      <c r="J719" s="9" t="s">
        <v>544</v>
      </c>
      <c r="K719" s="10">
        <v>0.33787166666666701</v>
      </c>
      <c r="L719" s="1" t="s">
        <v>76</v>
      </c>
      <c r="M719" s="1" t="s">
        <v>506</v>
      </c>
      <c r="N719" s="1" t="s">
        <v>645</v>
      </c>
      <c r="O719" s="1" t="s">
        <v>13</v>
      </c>
      <c r="P719" s="82">
        <v>0.98499999999999999</v>
      </c>
      <c r="Q719" s="1" t="s">
        <v>76</v>
      </c>
      <c r="R719" s="81" t="s">
        <v>100</v>
      </c>
      <c r="S719" s="1" t="s">
        <v>76</v>
      </c>
      <c r="T719" s="1" t="s">
        <v>78</v>
      </c>
      <c r="U719" s="1" t="s">
        <v>658</v>
      </c>
      <c r="V719" s="1" t="s">
        <v>655</v>
      </c>
      <c r="W719" s="1">
        <v>61</v>
      </c>
      <c r="X719" s="1" t="s">
        <v>405</v>
      </c>
      <c r="Y719" s="1" t="s">
        <v>645</v>
      </c>
      <c r="Z719" s="1">
        <v>0</v>
      </c>
      <c r="AA719" s="1">
        <v>0</v>
      </c>
      <c r="AB719" s="1">
        <v>0</v>
      </c>
      <c r="AC719" s="1">
        <v>1E-3</v>
      </c>
      <c r="AD719" s="1">
        <v>0</v>
      </c>
      <c r="AE719" s="1">
        <v>0</v>
      </c>
      <c r="AF719" s="1">
        <v>0</v>
      </c>
      <c r="AG719" s="1">
        <v>0</v>
      </c>
      <c r="AH719" s="1">
        <v>0.98499999999999999</v>
      </c>
      <c r="AI719" s="1">
        <v>0</v>
      </c>
      <c r="AJ719" s="1">
        <v>0</v>
      </c>
      <c r="AK719" s="1">
        <v>1E-3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1E-3</v>
      </c>
      <c r="BB719" s="1">
        <v>0</v>
      </c>
      <c r="BC719" s="1">
        <v>0</v>
      </c>
      <c r="BD719" s="1">
        <v>1E-3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1E-3</v>
      </c>
      <c r="CL719" s="1">
        <v>2E-3</v>
      </c>
      <c r="CM719" s="1">
        <v>-25.205036799999998</v>
      </c>
      <c r="CN719" s="83">
        <v>-118.6891335</v>
      </c>
    </row>
    <row r="720" spans="1:92" s="3" customFormat="1" x14ac:dyDescent="0.25">
      <c r="A720" s="72">
        <v>753</v>
      </c>
      <c r="B720" s="81" t="s">
        <v>730</v>
      </c>
      <c r="C720" s="1" t="s">
        <v>83</v>
      </c>
      <c r="D720" s="1" t="s">
        <v>73</v>
      </c>
      <c r="E720" s="1" t="s">
        <v>99</v>
      </c>
      <c r="F720" s="1" t="s">
        <v>267</v>
      </c>
      <c r="G720" s="1" t="s">
        <v>80</v>
      </c>
      <c r="H720" s="1" t="s">
        <v>13</v>
      </c>
      <c r="I720" s="1"/>
      <c r="J720" s="9" t="s">
        <v>544</v>
      </c>
      <c r="K720" s="10">
        <v>0.261751333333333</v>
      </c>
      <c r="L720" s="1" t="s">
        <v>546</v>
      </c>
      <c r="M720" s="1" t="s">
        <v>76</v>
      </c>
      <c r="N720" s="1" t="s">
        <v>644</v>
      </c>
      <c r="O720" s="1" t="s">
        <v>19</v>
      </c>
      <c r="P720" s="82">
        <v>0.44500000000000001</v>
      </c>
      <c r="Q720" s="1" t="s">
        <v>76</v>
      </c>
      <c r="R720" s="81" t="s">
        <v>114</v>
      </c>
      <c r="S720" s="1" t="s">
        <v>76</v>
      </c>
      <c r="T720" s="1" t="s">
        <v>78</v>
      </c>
      <c r="U720" s="1" t="s">
        <v>659</v>
      </c>
      <c r="V720" s="1" t="s">
        <v>655</v>
      </c>
      <c r="W720" s="1">
        <v>67</v>
      </c>
      <c r="X720" s="1" t="s">
        <v>407</v>
      </c>
      <c r="Y720" s="1" t="s">
        <v>644</v>
      </c>
      <c r="Z720" s="1">
        <v>3.0000000000000001E-3</v>
      </c>
      <c r="AA720" s="1">
        <v>1E-3</v>
      </c>
      <c r="AB720" s="1">
        <v>1E-3</v>
      </c>
      <c r="AC720" s="1">
        <v>1.9E-2</v>
      </c>
      <c r="AD720" s="1">
        <v>2E-3</v>
      </c>
      <c r="AE720" s="1">
        <v>2E-3</v>
      </c>
      <c r="AF720" s="1">
        <v>1E-3</v>
      </c>
      <c r="AG720" s="1">
        <v>0</v>
      </c>
      <c r="AH720" s="1">
        <v>6.9000000000000006E-2</v>
      </c>
      <c r="AI720" s="1">
        <v>4.9000000000000002E-2</v>
      </c>
      <c r="AJ720" s="1">
        <v>1E-3</v>
      </c>
      <c r="AK720" s="1">
        <v>2E-3</v>
      </c>
      <c r="AL720" s="1">
        <v>0</v>
      </c>
      <c r="AM720" s="1">
        <v>1E-3</v>
      </c>
      <c r="AN720" s="1">
        <v>0.44500000000000001</v>
      </c>
      <c r="AO720" s="1">
        <v>1E-3</v>
      </c>
      <c r="AP720" s="1">
        <v>1E-3</v>
      </c>
      <c r="AQ720" s="1">
        <v>0</v>
      </c>
      <c r="AR720" s="1">
        <v>0</v>
      </c>
      <c r="AS720" s="1">
        <v>1E-3</v>
      </c>
      <c r="AT720" s="1">
        <v>1E-3</v>
      </c>
      <c r="AU720" s="1">
        <v>1E-3</v>
      </c>
      <c r="AV720" s="1">
        <v>1E-3</v>
      </c>
      <c r="AW720" s="1">
        <v>1E-3</v>
      </c>
      <c r="AX720" s="1">
        <v>2E-3</v>
      </c>
      <c r="AY720" s="1">
        <v>1E-3</v>
      </c>
      <c r="AZ720" s="1">
        <v>1E-3</v>
      </c>
      <c r="BA720" s="1">
        <v>3.0000000000000001E-3</v>
      </c>
      <c r="BB720" s="1">
        <v>1E-3</v>
      </c>
      <c r="BC720" s="1">
        <v>1E-3</v>
      </c>
      <c r="BD720" s="1">
        <v>6.0000000000000001E-3</v>
      </c>
      <c r="BE720" s="1">
        <v>1E-3</v>
      </c>
      <c r="BF720" s="1">
        <v>0.33900000000000002</v>
      </c>
      <c r="BG720" s="1">
        <v>0</v>
      </c>
      <c r="BH720" s="1">
        <v>6.0000000000000001E-3</v>
      </c>
      <c r="BI720" s="1">
        <v>0</v>
      </c>
      <c r="BJ720" s="1">
        <v>0</v>
      </c>
      <c r="BK720" s="1">
        <v>0</v>
      </c>
      <c r="BL720" s="1">
        <v>1E-3</v>
      </c>
      <c r="BM720" s="1">
        <v>1E-3</v>
      </c>
      <c r="BN720" s="1">
        <v>1E-3</v>
      </c>
      <c r="BO720" s="1">
        <v>0</v>
      </c>
      <c r="BP720" s="1">
        <v>0</v>
      </c>
      <c r="BQ720" s="1">
        <v>1E-3</v>
      </c>
      <c r="BR720" s="1">
        <v>2E-3</v>
      </c>
      <c r="BS720" s="1">
        <v>0</v>
      </c>
      <c r="BT720" s="1">
        <v>0</v>
      </c>
      <c r="BU720" s="1">
        <v>1E-3</v>
      </c>
      <c r="BV720" s="1">
        <v>0</v>
      </c>
      <c r="BW720" s="1">
        <v>1E-3</v>
      </c>
      <c r="BX720" s="1">
        <v>7.0000000000000001E-3</v>
      </c>
      <c r="BY720" s="1">
        <v>2E-3</v>
      </c>
      <c r="BZ720" s="1">
        <v>1E-3</v>
      </c>
      <c r="CA720" s="1">
        <v>1E-3</v>
      </c>
      <c r="CB720" s="1">
        <v>0</v>
      </c>
      <c r="CC720" s="1">
        <v>1E-3</v>
      </c>
      <c r="CD720" s="1">
        <v>0</v>
      </c>
      <c r="CE720" s="1">
        <v>1E-3</v>
      </c>
      <c r="CF720" s="1">
        <v>1E-3</v>
      </c>
      <c r="CG720" s="1">
        <v>4.0000000000000001E-3</v>
      </c>
      <c r="CH720" s="1">
        <v>1E-3</v>
      </c>
      <c r="CI720" s="1">
        <v>1E-3</v>
      </c>
      <c r="CJ720" s="1">
        <v>2E-3</v>
      </c>
      <c r="CK720" s="1">
        <v>1E-3</v>
      </c>
      <c r="CL720" s="1">
        <v>2E-3</v>
      </c>
      <c r="CM720" s="1">
        <v>-19.836711149999999</v>
      </c>
      <c r="CN720" s="83">
        <v>-110.4301435</v>
      </c>
    </row>
    <row r="721" spans="1:92" s="3" customFormat="1" x14ac:dyDescent="0.25">
      <c r="A721" s="72">
        <v>754</v>
      </c>
      <c r="B721" s="81" t="s">
        <v>747</v>
      </c>
      <c r="C721" s="1" t="s">
        <v>83</v>
      </c>
      <c r="D721" s="1" t="s">
        <v>73</v>
      </c>
      <c r="E721" s="1" t="s">
        <v>99</v>
      </c>
      <c r="F721" s="1" t="s">
        <v>267</v>
      </c>
      <c r="G721" s="1" t="s">
        <v>80</v>
      </c>
      <c r="H721" s="1" t="s">
        <v>13</v>
      </c>
      <c r="I721" s="1"/>
      <c r="J721" s="9" t="s">
        <v>544</v>
      </c>
      <c r="K721" s="10">
        <v>0.45378816666666599</v>
      </c>
      <c r="L721" s="1" t="s">
        <v>76</v>
      </c>
      <c r="M721" s="1" t="s">
        <v>506</v>
      </c>
      <c r="N721" s="1" t="s">
        <v>645</v>
      </c>
      <c r="O721" s="1" t="s">
        <v>13</v>
      </c>
      <c r="P721" s="82">
        <v>0.999</v>
      </c>
      <c r="Q721" s="1" t="s">
        <v>76</v>
      </c>
      <c r="R721" s="81" t="s">
        <v>100</v>
      </c>
      <c r="S721" s="1" t="s">
        <v>76</v>
      </c>
      <c r="T721" s="1" t="s">
        <v>78</v>
      </c>
      <c r="U721" s="1" t="s">
        <v>658</v>
      </c>
      <c r="V721" s="1" t="s">
        <v>655</v>
      </c>
      <c r="W721" s="1">
        <v>66</v>
      </c>
      <c r="X721" s="1" t="s">
        <v>408</v>
      </c>
      <c r="Y721" s="1" t="s">
        <v>645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0.999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-19.16230676</v>
      </c>
      <c r="CN721" s="83">
        <v>-120.4182672</v>
      </c>
    </row>
    <row r="722" spans="1:92" s="3" customFormat="1" x14ac:dyDescent="0.25">
      <c r="A722" s="72">
        <v>755</v>
      </c>
      <c r="B722" s="81" t="s">
        <v>826</v>
      </c>
      <c r="C722" s="1" t="s">
        <v>83</v>
      </c>
      <c r="D722" s="1" t="s">
        <v>73</v>
      </c>
      <c r="E722" s="1" t="s">
        <v>99</v>
      </c>
      <c r="F722" s="1" t="s">
        <v>267</v>
      </c>
      <c r="G722" s="1" t="s">
        <v>80</v>
      </c>
      <c r="H722" s="1" t="s">
        <v>13</v>
      </c>
      <c r="I722" s="1"/>
      <c r="J722" s="9" t="s">
        <v>544</v>
      </c>
      <c r="K722" s="10">
        <v>0.39354883333333301</v>
      </c>
      <c r="L722" s="1" t="s">
        <v>76</v>
      </c>
      <c r="M722" s="1" t="s">
        <v>506</v>
      </c>
      <c r="N722" s="1" t="s">
        <v>645</v>
      </c>
      <c r="O722" s="1" t="s">
        <v>13</v>
      </c>
      <c r="P722" s="82">
        <v>0.999</v>
      </c>
      <c r="Q722" s="1" t="s">
        <v>76</v>
      </c>
      <c r="R722" s="81" t="s">
        <v>276</v>
      </c>
      <c r="S722" s="1" t="s">
        <v>76</v>
      </c>
      <c r="T722" s="1" t="s">
        <v>78</v>
      </c>
      <c r="U722" s="1" t="s">
        <v>658</v>
      </c>
      <c r="V722" s="1" t="s">
        <v>655</v>
      </c>
      <c r="W722" s="1">
        <v>58</v>
      </c>
      <c r="X722" s="1" t="s">
        <v>409</v>
      </c>
      <c r="Y722" s="1" t="s">
        <v>645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0.999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-10.97192879</v>
      </c>
      <c r="CN722" s="83">
        <v>-132.80596840000001</v>
      </c>
    </row>
    <row r="723" spans="1:92" s="3" customFormat="1" hidden="1" x14ac:dyDescent="0.25">
      <c r="A723" s="72">
        <v>756</v>
      </c>
      <c r="B723" s="81" t="s">
        <v>1700</v>
      </c>
      <c r="C723" s="1" t="s">
        <v>83</v>
      </c>
      <c r="D723" s="1" t="s">
        <v>73</v>
      </c>
      <c r="E723" s="1" t="s">
        <v>76</v>
      </c>
      <c r="F723" s="1" t="s">
        <v>663</v>
      </c>
      <c r="G723" s="1" t="s">
        <v>395</v>
      </c>
      <c r="H723" s="1" t="s">
        <v>537</v>
      </c>
      <c r="I723" s="1"/>
      <c r="J723" s="9" t="s">
        <v>544</v>
      </c>
      <c r="K723" s="10">
        <v>0.40556616666666701</v>
      </c>
      <c r="L723" s="1" t="s">
        <v>76</v>
      </c>
      <c r="M723" s="1" t="s">
        <v>506</v>
      </c>
      <c r="N723" s="1" t="s">
        <v>645</v>
      </c>
      <c r="O723" s="1" t="s">
        <v>22</v>
      </c>
      <c r="P723" s="82">
        <v>0.98399999999999999</v>
      </c>
      <c r="Q723" s="1" t="s">
        <v>76</v>
      </c>
      <c r="R723" s="81" t="s">
        <v>76</v>
      </c>
      <c r="S723" s="1" t="s">
        <v>76</v>
      </c>
      <c r="T723" s="1" t="s">
        <v>120</v>
      </c>
      <c r="U723" s="1" t="s">
        <v>76</v>
      </c>
      <c r="V723" s="1" t="s">
        <v>655</v>
      </c>
      <c r="W723" s="1" t="s">
        <v>269</v>
      </c>
      <c r="X723" s="1" t="s">
        <v>76</v>
      </c>
      <c r="Y723" s="1" t="s">
        <v>645</v>
      </c>
      <c r="Z723" s="1">
        <v>0</v>
      </c>
      <c r="AA723" s="1">
        <v>0</v>
      </c>
      <c r="AB723" s="1">
        <v>0</v>
      </c>
      <c r="AC723" s="1">
        <v>2E-3</v>
      </c>
      <c r="AD723" s="1">
        <v>1E-3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1E-3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0.98399999999999999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1E-3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1E-3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2E-3</v>
      </c>
      <c r="BZ723" s="1">
        <v>1E-3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1E-3</v>
      </c>
      <c r="CM723" s="1">
        <v>-86.763469409999999</v>
      </c>
      <c r="CN723" s="83">
        <v>-24.195049220000001</v>
      </c>
    </row>
    <row r="724" spans="1:92" s="3" customFormat="1" x14ac:dyDescent="0.25">
      <c r="A724" s="72">
        <v>757</v>
      </c>
      <c r="B724" s="81" t="s">
        <v>791</v>
      </c>
      <c r="C724" s="1" t="s">
        <v>83</v>
      </c>
      <c r="D724" s="1" t="s">
        <v>73</v>
      </c>
      <c r="E724" s="1" t="s">
        <v>99</v>
      </c>
      <c r="F724" s="1" t="s">
        <v>267</v>
      </c>
      <c r="G724" s="1" t="s">
        <v>80</v>
      </c>
      <c r="H724" s="1" t="s">
        <v>13</v>
      </c>
      <c r="I724" s="1"/>
      <c r="J724" s="9" t="s">
        <v>544</v>
      </c>
      <c r="K724" s="10">
        <v>0.368404333333333</v>
      </c>
      <c r="L724" s="1" t="s">
        <v>76</v>
      </c>
      <c r="M724" s="1" t="s">
        <v>506</v>
      </c>
      <c r="N724" s="1" t="s">
        <v>645</v>
      </c>
      <c r="O724" s="1" t="s">
        <v>13</v>
      </c>
      <c r="P724" s="82">
        <v>0.998</v>
      </c>
      <c r="Q724" s="1" t="s">
        <v>76</v>
      </c>
      <c r="R724" s="81" t="s">
        <v>100</v>
      </c>
      <c r="S724" s="1" t="s">
        <v>76</v>
      </c>
      <c r="T724" s="1" t="s">
        <v>78</v>
      </c>
      <c r="U724" s="1" t="s">
        <v>658</v>
      </c>
      <c r="V724" s="1" t="s">
        <v>655</v>
      </c>
      <c r="W724" s="1">
        <v>42</v>
      </c>
      <c r="X724" s="1" t="s">
        <v>410</v>
      </c>
      <c r="Y724" s="1" t="s">
        <v>645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0.998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-26.669482469999998</v>
      </c>
      <c r="CN724" s="83">
        <v>-116.27261180000001</v>
      </c>
    </row>
    <row r="725" spans="1:92" s="3" customFormat="1" x14ac:dyDescent="0.25">
      <c r="A725" s="72">
        <v>829</v>
      </c>
      <c r="B725" s="81" t="s">
        <v>879</v>
      </c>
      <c r="C725" s="1" t="s">
        <v>83</v>
      </c>
      <c r="D725" s="1" t="s">
        <v>73</v>
      </c>
      <c r="E725" s="1" t="s">
        <v>99</v>
      </c>
      <c r="F725" s="1" t="s">
        <v>128</v>
      </c>
      <c r="G725" s="1" t="s">
        <v>303</v>
      </c>
      <c r="H725" s="1" t="s">
        <v>570</v>
      </c>
      <c r="I725" s="1"/>
      <c r="J725" s="9" t="s">
        <v>544</v>
      </c>
      <c r="K725" s="10">
        <v>0.51201083333333397</v>
      </c>
      <c r="L725" s="1" t="s">
        <v>596</v>
      </c>
      <c r="M725" s="1" t="s">
        <v>506</v>
      </c>
      <c r="N725" s="96" t="s">
        <v>647</v>
      </c>
      <c r="O725" s="1" t="s">
        <v>68</v>
      </c>
      <c r="P725" s="82">
        <v>0.98799999999999999</v>
      </c>
      <c r="Q725" s="1" t="s">
        <v>76</v>
      </c>
      <c r="R725" s="81" t="s">
        <v>439</v>
      </c>
      <c r="S725" s="1">
        <v>3</v>
      </c>
      <c r="T725" s="1" t="s">
        <v>78</v>
      </c>
      <c r="U725" s="1" t="s">
        <v>658</v>
      </c>
      <c r="V725" s="1" t="s">
        <v>655</v>
      </c>
      <c r="W725" s="1">
        <v>78</v>
      </c>
      <c r="X725" s="1" t="s">
        <v>423</v>
      </c>
      <c r="Y725" s="1" t="s">
        <v>647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1E-3</v>
      </c>
      <c r="AS725" s="1">
        <v>0</v>
      </c>
      <c r="AT725" s="1">
        <v>0</v>
      </c>
      <c r="AU725" s="1">
        <v>1E-3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4.0000000000000001E-3</v>
      </c>
      <c r="BT725" s="1">
        <v>0</v>
      </c>
      <c r="BU725" s="1">
        <v>0</v>
      </c>
      <c r="BV725" s="1">
        <v>0</v>
      </c>
      <c r="BW725" s="1">
        <v>0</v>
      </c>
      <c r="BX725" s="1">
        <v>2E-3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0.98799999999999999</v>
      </c>
      <c r="CL725" s="1">
        <v>0</v>
      </c>
      <c r="CM725" s="1">
        <v>61.36809152</v>
      </c>
      <c r="CN725" s="83">
        <v>-12.668709890000001</v>
      </c>
    </row>
    <row r="726" spans="1:92" s="3" customFormat="1" x14ac:dyDescent="0.25">
      <c r="A726" s="72">
        <v>759</v>
      </c>
      <c r="B726" s="81" t="s">
        <v>804</v>
      </c>
      <c r="C726" s="1" t="s">
        <v>83</v>
      </c>
      <c r="D726" s="1" t="s">
        <v>73</v>
      </c>
      <c r="E726" s="1" t="s">
        <v>74</v>
      </c>
      <c r="F726" s="1" t="s">
        <v>267</v>
      </c>
      <c r="G726" s="1" t="s">
        <v>80</v>
      </c>
      <c r="H726" s="1" t="s">
        <v>13</v>
      </c>
      <c r="I726" s="1"/>
      <c r="J726" s="9" t="s">
        <v>544</v>
      </c>
      <c r="K726" s="10">
        <v>0.483686333333334</v>
      </c>
      <c r="L726" s="1" t="s">
        <v>76</v>
      </c>
      <c r="M726" s="1" t="s">
        <v>506</v>
      </c>
      <c r="N726" s="1" t="s">
        <v>645</v>
      </c>
      <c r="O726" s="1" t="s">
        <v>13</v>
      </c>
      <c r="P726" s="82">
        <v>0.999</v>
      </c>
      <c r="Q726" s="1" t="s">
        <v>76</v>
      </c>
      <c r="R726" s="81" t="s">
        <v>100</v>
      </c>
      <c r="S726" s="1" t="s">
        <v>76</v>
      </c>
      <c r="T726" s="1" t="s">
        <v>78</v>
      </c>
      <c r="U726" s="1" t="s">
        <v>658</v>
      </c>
      <c r="V726" s="1" t="s">
        <v>655</v>
      </c>
      <c r="W726" s="1">
        <v>69</v>
      </c>
      <c r="X726" s="1" t="s">
        <v>404</v>
      </c>
      <c r="Y726" s="1" t="s">
        <v>645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0.999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-25.093009609999999</v>
      </c>
      <c r="CN726" s="83">
        <v>-131.45858480000001</v>
      </c>
    </row>
    <row r="727" spans="1:92" s="3" customFormat="1" x14ac:dyDescent="0.25">
      <c r="A727" s="72">
        <v>760</v>
      </c>
      <c r="B727" s="81" t="s">
        <v>723</v>
      </c>
      <c r="C727" s="1" t="s">
        <v>83</v>
      </c>
      <c r="D727" s="1" t="s">
        <v>73</v>
      </c>
      <c r="E727" s="1" t="s">
        <v>99</v>
      </c>
      <c r="F727" s="1" t="s">
        <v>267</v>
      </c>
      <c r="G727" s="1" t="s">
        <v>80</v>
      </c>
      <c r="H727" s="1" t="s">
        <v>13</v>
      </c>
      <c r="I727" s="1"/>
      <c r="J727" s="9" t="s">
        <v>544</v>
      </c>
      <c r="K727" s="10">
        <v>0.34287649999999997</v>
      </c>
      <c r="L727" s="1" t="s">
        <v>546</v>
      </c>
      <c r="M727" s="1" t="s">
        <v>76</v>
      </c>
      <c r="N727" s="1" t="s">
        <v>644</v>
      </c>
      <c r="O727" s="1" t="s">
        <v>9</v>
      </c>
      <c r="P727" s="82">
        <v>0.32500000000000001</v>
      </c>
      <c r="Q727" s="1" t="s">
        <v>76</v>
      </c>
      <c r="R727" s="81" t="s">
        <v>104</v>
      </c>
      <c r="S727" s="1" t="s">
        <v>76</v>
      </c>
      <c r="T727" s="1" t="s">
        <v>78</v>
      </c>
      <c r="U727" s="1" t="s">
        <v>660</v>
      </c>
      <c r="V727" s="1" t="s">
        <v>655</v>
      </c>
      <c r="W727" s="1">
        <v>61</v>
      </c>
      <c r="X727" s="1" t="s">
        <v>412</v>
      </c>
      <c r="Y727" s="1" t="s">
        <v>644</v>
      </c>
      <c r="Z727" s="1">
        <v>8.0000000000000002E-3</v>
      </c>
      <c r="AA727" s="1">
        <v>5.0000000000000001E-3</v>
      </c>
      <c r="AB727" s="1">
        <v>8.0000000000000002E-3</v>
      </c>
      <c r="AC727" s="1">
        <v>1.0999999999999999E-2</v>
      </c>
      <c r="AD727" s="1">
        <v>0.32500000000000001</v>
      </c>
      <c r="AE727" s="1">
        <v>4.0000000000000001E-3</v>
      </c>
      <c r="AF727" s="1">
        <v>5.0000000000000001E-3</v>
      </c>
      <c r="AG727" s="1">
        <v>1E-3</v>
      </c>
      <c r="AH727" s="1">
        <v>6.7000000000000004E-2</v>
      </c>
      <c r="AI727" s="1">
        <v>6.0000000000000001E-3</v>
      </c>
      <c r="AJ727" s="1">
        <v>6.0000000000000001E-3</v>
      </c>
      <c r="AK727" s="1">
        <v>1.4999999999999999E-2</v>
      </c>
      <c r="AL727" s="1">
        <v>0</v>
      </c>
      <c r="AM727" s="1">
        <v>5.0000000000000001E-3</v>
      </c>
      <c r="AN727" s="1">
        <v>4.9000000000000002E-2</v>
      </c>
      <c r="AO727" s="1">
        <v>3.0000000000000001E-3</v>
      </c>
      <c r="AP727" s="1">
        <v>3.0000000000000001E-3</v>
      </c>
      <c r="AQ727" s="1">
        <v>1.0999999999999999E-2</v>
      </c>
      <c r="AR727" s="1">
        <v>8.9999999999999993E-3</v>
      </c>
      <c r="AS727" s="1">
        <v>1.2E-2</v>
      </c>
      <c r="AT727" s="1">
        <v>5.0000000000000001E-3</v>
      </c>
      <c r="AU727" s="1">
        <v>5.0000000000000001E-3</v>
      </c>
      <c r="AV727" s="1">
        <v>4.0000000000000001E-3</v>
      </c>
      <c r="AW727" s="1">
        <v>5.0000000000000001E-3</v>
      </c>
      <c r="AX727" s="1">
        <v>0.03</v>
      </c>
      <c r="AY727" s="1">
        <v>7.0000000000000001E-3</v>
      </c>
      <c r="AZ727" s="1">
        <v>1.4E-2</v>
      </c>
      <c r="BA727" s="1">
        <v>1.7000000000000001E-2</v>
      </c>
      <c r="BB727" s="1">
        <v>3.0000000000000001E-3</v>
      </c>
      <c r="BC727" s="1">
        <v>2E-3</v>
      </c>
      <c r="BD727" s="1">
        <v>2.5000000000000001E-2</v>
      </c>
      <c r="BE727" s="1">
        <v>3.0000000000000001E-3</v>
      </c>
      <c r="BF727" s="1">
        <v>3.0000000000000001E-3</v>
      </c>
      <c r="BG727" s="1">
        <v>1E-3</v>
      </c>
      <c r="BH727" s="1">
        <v>3.0000000000000001E-3</v>
      </c>
      <c r="BI727" s="1">
        <v>2E-3</v>
      </c>
      <c r="BJ727" s="1">
        <v>6.0000000000000001E-3</v>
      </c>
      <c r="BK727" s="1">
        <v>2E-3</v>
      </c>
      <c r="BL727" s="1">
        <v>6.0000000000000001E-3</v>
      </c>
      <c r="BM727" s="1">
        <v>3.0000000000000001E-3</v>
      </c>
      <c r="BN727" s="1">
        <v>7.0000000000000001E-3</v>
      </c>
      <c r="BO727" s="1">
        <v>2E-3</v>
      </c>
      <c r="BP727" s="1">
        <v>6.0000000000000001E-3</v>
      </c>
      <c r="BQ727" s="1">
        <v>6.0000000000000001E-3</v>
      </c>
      <c r="BR727" s="1">
        <v>5.0000000000000001E-3</v>
      </c>
      <c r="BS727" s="1">
        <v>6.0000000000000001E-3</v>
      </c>
      <c r="BT727" s="1">
        <v>3.0000000000000001E-3</v>
      </c>
      <c r="BU727" s="1">
        <v>3.6999999999999998E-2</v>
      </c>
      <c r="BV727" s="1">
        <v>3.0000000000000001E-3</v>
      </c>
      <c r="BW727" s="1">
        <v>4.0000000000000001E-3</v>
      </c>
      <c r="BX727" s="1">
        <v>1.2E-2</v>
      </c>
      <c r="BY727" s="1">
        <v>2.1000000000000001E-2</v>
      </c>
      <c r="BZ727" s="1">
        <v>2.7E-2</v>
      </c>
      <c r="CA727" s="1">
        <v>6.0000000000000001E-3</v>
      </c>
      <c r="CB727" s="1">
        <v>2E-3</v>
      </c>
      <c r="CC727" s="1">
        <v>5.0000000000000001E-3</v>
      </c>
      <c r="CD727" s="1">
        <v>0</v>
      </c>
      <c r="CE727" s="1">
        <v>4.0000000000000001E-3</v>
      </c>
      <c r="CF727" s="1">
        <v>4.0000000000000001E-3</v>
      </c>
      <c r="CG727" s="1">
        <v>8.0000000000000002E-3</v>
      </c>
      <c r="CH727" s="1">
        <v>7.0000000000000001E-3</v>
      </c>
      <c r="CI727" s="1">
        <v>6.0000000000000001E-3</v>
      </c>
      <c r="CJ727" s="1">
        <v>8.9999999999999993E-3</v>
      </c>
      <c r="CK727" s="1">
        <v>2.8000000000000001E-2</v>
      </c>
      <c r="CL727" s="1">
        <v>8.2000000000000003E-2</v>
      </c>
      <c r="CM727" s="1">
        <v>-56.321631940000003</v>
      </c>
      <c r="CN727" s="83">
        <v>-14.75205042</v>
      </c>
    </row>
    <row r="728" spans="1:92" s="3" customFormat="1" x14ac:dyDescent="0.25">
      <c r="A728" s="72">
        <v>761</v>
      </c>
      <c r="B728" s="81" t="s">
        <v>761</v>
      </c>
      <c r="C728" s="1" t="s">
        <v>83</v>
      </c>
      <c r="D728" s="1" t="s">
        <v>73</v>
      </c>
      <c r="E728" s="1" t="s">
        <v>99</v>
      </c>
      <c r="F728" s="1" t="s">
        <v>267</v>
      </c>
      <c r="G728" s="1" t="s">
        <v>80</v>
      </c>
      <c r="H728" s="1" t="s">
        <v>13</v>
      </c>
      <c r="I728" s="1"/>
      <c r="J728" s="9" t="s">
        <v>544</v>
      </c>
      <c r="K728" s="10">
        <v>0.37398283333333299</v>
      </c>
      <c r="L728" s="1" t="s">
        <v>76</v>
      </c>
      <c r="M728" s="1" t="s">
        <v>506</v>
      </c>
      <c r="N728" s="1" t="s">
        <v>645</v>
      </c>
      <c r="O728" s="1" t="s">
        <v>13</v>
      </c>
      <c r="P728" s="82">
        <v>0.999</v>
      </c>
      <c r="Q728" s="1" t="s">
        <v>76</v>
      </c>
      <c r="R728" s="81" t="s">
        <v>100</v>
      </c>
      <c r="S728" s="1" t="s">
        <v>76</v>
      </c>
      <c r="T728" s="1" t="s">
        <v>78</v>
      </c>
      <c r="U728" s="1" t="s">
        <v>658</v>
      </c>
      <c r="V728" s="1" t="s">
        <v>654</v>
      </c>
      <c r="W728" s="1">
        <v>78</v>
      </c>
      <c r="X728" s="1" t="s">
        <v>398</v>
      </c>
      <c r="Y728" s="1" t="s">
        <v>645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0.999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-11.59586891</v>
      </c>
      <c r="CN728" s="83">
        <v>-133.41043490000001</v>
      </c>
    </row>
    <row r="729" spans="1:92" s="3" customFormat="1" x14ac:dyDescent="0.25">
      <c r="A729" s="72">
        <v>762</v>
      </c>
      <c r="B729" s="81" t="s">
        <v>763</v>
      </c>
      <c r="C729" s="1" t="s">
        <v>83</v>
      </c>
      <c r="D729" s="1" t="s">
        <v>73</v>
      </c>
      <c r="E729" s="1" t="s">
        <v>74</v>
      </c>
      <c r="F729" s="1" t="s">
        <v>267</v>
      </c>
      <c r="G729" s="1" t="s">
        <v>80</v>
      </c>
      <c r="H729" s="1" t="s">
        <v>13</v>
      </c>
      <c r="I729" s="1"/>
      <c r="J729" s="9" t="s">
        <v>544</v>
      </c>
      <c r="K729" s="10">
        <v>0.58729600000000004</v>
      </c>
      <c r="L729" s="1" t="s">
        <v>76</v>
      </c>
      <c r="M729" s="1" t="s">
        <v>506</v>
      </c>
      <c r="N729" s="1" t="s">
        <v>645</v>
      </c>
      <c r="O729" s="1" t="s">
        <v>13</v>
      </c>
      <c r="P729" s="82">
        <v>0.997</v>
      </c>
      <c r="Q729" s="1" t="s">
        <v>76</v>
      </c>
      <c r="R729" s="81" t="s">
        <v>100</v>
      </c>
      <c r="S729" s="1" t="s">
        <v>76</v>
      </c>
      <c r="T729" s="1" t="s">
        <v>78</v>
      </c>
      <c r="U729" s="1" t="s">
        <v>659</v>
      </c>
      <c r="V729" s="1" t="s">
        <v>655</v>
      </c>
      <c r="W729" s="1">
        <v>63</v>
      </c>
      <c r="X729" s="1" t="s">
        <v>413</v>
      </c>
      <c r="Y729" s="1" t="s">
        <v>645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0.997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-25.509515159999999</v>
      </c>
      <c r="CN729" s="83">
        <v>-134.0697054</v>
      </c>
    </row>
    <row r="730" spans="1:92" s="3" customFormat="1" x14ac:dyDescent="0.25">
      <c r="A730" s="72">
        <v>763</v>
      </c>
      <c r="B730" s="81" t="s">
        <v>817</v>
      </c>
      <c r="C730" s="1" t="s">
        <v>83</v>
      </c>
      <c r="D730" s="1" t="s">
        <v>73</v>
      </c>
      <c r="E730" s="1" t="s">
        <v>74</v>
      </c>
      <c r="F730" s="1" t="s">
        <v>267</v>
      </c>
      <c r="G730" s="1" t="s">
        <v>80</v>
      </c>
      <c r="H730" s="1" t="s">
        <v>13</v>
      </c>
      <c r="I730" s="1"/>
      <c r="J730" s="9" t="s">
        <v>544</v>
      </c>
      <c r="K730" s="10">
        <v>0.438236333333334</v>
      </c>
      <c r="L730" s="1" t="s">
        <v>76</v>
      </c>
      <c r="M730" s="1" t="s">
        <v>506</v>
      </c>
      <c r="N730" s="1" t="s">
        <v>645</v>
      </c>
      <c r="O730" s="1" t="s">
        <v>13</v>
      </c>
      <c r="P730" s="82">
        <v>0.999</v>
      </c>
      <c r="Q730" s="1" t="s">
        <v>76</v>
      </c>
      <c r="R730" s="81" t="s">
        <v>100</v>
      </c>
      <c r="S730" s="1" t="s">
        <v>76</v>
      </c>
      <c r="T730" s="1" t="s">
        <v>78</v>
      </c>
      <c r="U730" s="1" t="s">
        <v>658</v>
      </c>
      <c r="V730" s="1" t="s">
        <v>654</v>
      </c>
      <c r="W730" s="1">
        <v>78</v>
      </c>
      <c r="X730" s="1" t="s">
        <v>400</v>
      </c>
      <c r="Y730" s="1" t="s">
        <v>645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0.999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-11.26830447</v>
      </c>
      <c r="CN730" s="83">
        <v>-113.11992189999999</v>
      </c>
    </row>
    <row r="731" spans="1:92" s="3" customFormat="1" hidden="1" x14ac:dyDescent="0.25">
      <c r="A731" s="72">
        <v>764</v>
      </c>
      <c r="B731" s="81" t="s">
        <v>1701</v>
      </c>
      <c r="C731" s="1" t="s">
        <v>83</v>
      </c>
      <c r="D731" s="1" t="s">
        <v>73</v>
      </c>
      <c r="E731" s="1" t="s">
        <v>76</v>
      </c>
      <c r="F731" s="1" t="s">
        <v>663</v>
      </c>
      <c r="G731" s="1" t="s">
        <v>395</v>
      </c>
      <c r="H731" s="1" t="s">
        <v>537</v>
      </c>
      <c r="I731" s="1"/>
      <c r="J731" s="9" t="s">
        <v>544</v>
      </c>
      <c r="K731" s="10">
        <v>0.41588066666666601</v>
      </c>
      <c r="L731" s="1" t="s">
        <v>76</v>
      </c>
      <c r="M731" s="1" t="s">
        <v>506</v>
      </c>
      <c r="N731" s="1" t="s">
        <v>645</v>
      </c>
      <c r="O731" s="1" t="s">
        <v>22</v>
      </c>
      <c r="P731" s="82">
        <v>0.98699999999999999</v>
      </c>
      <c r="Q731" s="1" t="s">
        <v>76</v>
      </c>
      <c r="R731" s="81" t="s">
        <v>76</v>
      </c>
      <c r="S731" s="1" t="s">
        <v>76</v>
      </c>
      <c r="T731" s="1" t="s">
        <v>120</v>
      </c>
      <c r="U731" s="1" t="s">
        <v>76</v>
      </c>
      <c r="V731" s="1" t="s">
        <v>655</v>
      </c>
      <c r="W731" s="1" t="s">
        <v>269</v>
      </c>
      <c r="X731" s="1" t="s">
        <v>76</v>
      </c>
      <c r="Y731" s="1" t="s">
        <v>645</v>
      </c>
      <c r="Z731" s="1">
        <v>0</v>
      </c>
      <c r="AA731" s="1">
        <v>0</v>
      </c>
      <c r="AB731" s="1">
        <v>0</v>
      </c>
      <c r="AC731" s="1">
        <v>1E-3</v>
      </c>
      <c r="AD731" s="1">
        <v>1E-3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0.98699999999999999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1E-3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1E-3</v>
      </c>
      <c r="BZ731" s="1">
        <v>1E-3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1E-3</v>
      </c>
      <c r="CM731" s="1">
        <v>-85.824401330000001</v>
      </c>
      <c r="CN731" s="83">
        <v>-23.104414890000001</v>
      </c>
    </row>
    <row r="732" spans="1:92" s="3" customFormat="1" x14ac:dyDescent="0.25">
      <c r="A732" s="72">
        <v>765</v>
      </c>
      <c r="B732" s="81" t="s">
        <v>726</v>
      </c>
      <c r="C732" s="1" t="s">
        <v>83</v>
      </c>
      <c r="D732" s="1" t="s">
        <v>73</v>
      </c>
      <c r="E732" s="1" t="s">
        <v>74</v>
      </c>
      <c r="F732" s="1" t="s">
        <v>267</v>
      </c>
      <c r="G732" s="1" t="s">
        <v>80</v>
      </c>
      <c r="H732" s="1" t="s">
        <v>13</v>
      </c>
      <c r="I732" s="1"/>
      <c r="J732" s="9" t="s">
        <v>544</v>
      </c>
      <c r="K732" s="10">
        <v>0.33118316666666697</v>
      </c>
      <c r="L732" s="1" t="s">
        <v>76</v>
      </c>
      <c r="M732" s="1" t="s">
        <v>506</v>
      </c>
      <c r="N732" s="1" t="s">
        <v>645</v>
      </c>
      <c r="O732" s="1" t="s">
        <v>13</v>
      </c>
      <c r="P732" s="82">
        <v>0.98099999999999998</v>
      </c>
      <c r="Q732" s="1" t="s">
        <v>76</v>
      </c>
      <c r="R732" s="81" t="s">
        <v>100</v>
      </c>
      <c r="S732" s="1" t="s">
        <v>76</v>
      </c>
      <c r="T732" s="1" t="s">
        <v>78</v>
      </c>
      <c r="U732" s="1" t="s">
        <v>658</v>
      </c>
      <c r="V732" s="1" t="s">
        <v>655</v>
      </c>
      <c r="W732" s="1">
        <v>62</v>
      </c>
      <c r="X732" s="1" t="s">
        <v>414</v>
      </c>
      <c r="Y732" s="1" t="s">
        <v>645</v>
      </c>
      <c r="Z732" s="1">
        <v>0</v>
      </c>
      <c r="AA732" s="1">
        <v>0</v>
      </c>
      <c r="AB732" s="1">
        <v>0</v>
      </c>
      <c r="AC732" s="1">
        <v>1E-3</v>
      </c>
      <c r="AD732" s="1">
        <v>0</v>
      </c>
      <c r="AE732" s="1">
        <v>0</v>
      </c>
      <c r="AF732" s="1">
        <v>0</v>
      </c>
      <c r="AG732" s="1">
        <v>0</v>
      </c>
      <c r="AH732" s="1">
        <v>0.98099999999999998</v>
      </c>
      <c r="AI732" s="1">
        <v>1E-3</v>
      </c>
      <c r="AJ732" s="1">
        <v>0</v>
      </c>
      <c r="AK732" s="1">
        <v>0</v>
      </c>
      <c r="AL732" s="1">
        <v>0</v>
      </c>
      <c r="AM732" s="1">
        <v>0</v>
      </c>
      <c r="AN732" s="1">
        <v>1E-3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1E-3</v>
      </c>
      <c r="AY732" s="1">
        <v>0</v>
      </c>
      <c r="AZ732" s="1">
        <v>0</v>
      </c>
      <c r="BA732" s="1">
        <v>1E-3</v>
      </c>
      <c r="BB732" s="1">
        <v>0</v>
      </c>
      <c r="BC732" s="1">
        <v>0</v>
      </c>
      <c r="BD732" s="1">
        <v>1E-3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2E-3</v>
      </c>
      <c r="CL732" s="1">
        <v>1E-3</v>
      </c>
      <c r="CM732" s="1">
        <v>-22.00536645</v>
      </c>
      <c r="CN732" s="83">
        <v>-114.397876</v>
      </c>
    </row>
    <row r="733" spans="1:92" s="3" customFormat="1" x14ac:dyDescent="0.25">
      <c r="A733" s="72">
        <v>766</v>
      </c>
      <c r="B733" s="81" t="s">
        <v>809</v>
      </c>
      <c r="C733" s="1" t="s">
        <v>83</v>
      </c>
      <c r="D733" s="1" t="s">
        <v>73</v>
      </c>
      <c r="E733" s="1" t="s">
        <v>99</v>
      </c>
      <c r="F733" s="1" t="s">
        <v>267</v>
      </c>
      <c r="G733" s="1" t="s">
        <v>80</v>
      </c>
      <c r="H733" s="1" t="s">
        <v>13</v>
      </c>
      <c r="I733" s="1"/>
      <c r="J733" s="9" t="s">
        <v>544</v>
      </c>
      <c r="K733" s="10">
        <v>0.47114066666666699</v>
      </c>
      <c r="L733" s="1" t="s">
        <v>76</v>
      </c>
      <c r="M733" s="1" t="s">
        <v>506</v>
      </c>
      <c r="N733" s="1" t="s">
        <v>645</v>
      </c>
      <c r="O733" s="1" t="s">
        <v>13</v>
      </c>
      <c r="P733" s="82">
        <v>0.997</v>
      </c>
      <c r="Q733" s="1" t="s">
        <v>76</v>
      </c>
      <c r="R733" s="81" t="s">
        <v>100</v>
      </c>
      <c r="S733" s="1" t="s">
        <v>76</v>
      </c>
      <c r="T733" s="1" t="s">
        <v>78</v>
      </c>
      <c r="U733" s="1" t="s">
        <v>658</v>
      </c>
      <c r="V733" s="1" t="s">
        <v>655</v>
      </c>
      <c r="W733" s="1">
        <v>47</v>
      </c>
      <c r="X733" s="1" t="s">
        <v>415</v>
      </c>
      <c r="Y733" s="1" t="s">
        <v>645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0.997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-8.9044452219999997</v>
      </c>
      <c r="CN733" s="83">
        <v>-122.6884965</v>
      </c>
    </row>
    <row r="734" spans="1:92" s="3" customFormat="1" x14ac:dyDescent="0.25">
      <c r="A734" s="72">
        <v>767</v>
      </c>
      <c r="B734" s="81" t="s">
        <v>819</v>
      </c>
      <c r="C734" s="1" t="s">
        <v>83</v>
      </c>
      <c r="D734" s="1" t="s">
        <v>73</v>
      </c>
      <c r="E734" s="1" t="s">
        <v>99</v>
      </c>
      <c r="F734" s="1" t="s">
        <v>267</v>
      </c>
      <c r="G734" s="1" t="s">
        <v>80</v>
      </c>
      <c r="H734" s="1" t="s">
        <v>13</v>
      </c>
      <c r="I734" s="1"/>
      <c r="J734" s="9" t="s">
        <v>544</v>
      </c>
      <c r="K734" s="10">
        <v>0.48625816666666799</v>
      </c>
      <c r="L734" s="1" t="s">
        <v>76</v>
      </c>
      <c r="M734" s="1" t="s">
        <v>506</v>
      </c>
      <c r="N734" s="1" t="s">
        <v>645</v>
      </c>
      <c r="O734" s="1" t="s">
        <v>13</v>
      </c>
      <c r="P734" s="82">
        <v>0.999</v>
      </c>
      <c r="Q734" s="1" t="s">
        <v>76</v>
      </c>
      <c r="R734" s="81" t="s">
        <v>100</v>
      </c>
      <c r="S734" s="1" t="s">
        <v>76</v>
      </c>
      <c r="T734" s="1" t="s">
        <v>78</v>
      </c>
      <c r="U734" s="1" t="s">
        <v>658</v>
      </c>
      <c r="V734" s="1" t="s">
        <v>654</v>
      </c>
      <c r="W734" s="1">
        <v>71</v>
      </c>
      <c r="X734" s="1" t="s">
        <v>401</v>
      </c>
      <c r="Y734" s="1" t="s">
        <v>645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0.999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-25.447431609999999</v>
      </c>
      <c r="CN734" s="83">
        <v>-132.88458069999999</v>
      </c>
    </row>
    <row r="735" spans="1:92" s="3" customFormat="1" x14ac:dyDescent="0.25">
      <c r="A735" s="72">
        <v>768</v>
      </c>
      <c r="B735" s="81" t="s">
        <v>764</v>
      </c>
      <c r="C735" s="1" t="s">
        <v>83</v>
      </c>
      <c r="D735" s="1" t="s">
        <v>73</v>
      </c>
      <c r="E735" s="1" t="s">
        <v>74</v>
      </c>
      <c r="F735" s="1" t="s">
        <v>267</v>
      </c>
      <c r="G735" s="1" t="s">
        <v>80</v>
      </c>
      <c r="H735" s="1" t="s">
        <v>13</v>
      </c>
      <c r="I735" s="1"/>
      <c r="J735" s="9" t="s">
        <v>544</v>
      </c>
      <c r="K735" s="10">
        <v>0.34658766666666702</v>
      </c>
      <c r="L735" s="1" t="s">
        <v>76</v>
      </c>
      <c r="M735" s="1" t="s">
        <v>506</v>
      </c>
      <c r="N735" s="1" t="s">
        <v>645</v>
      </c>
      <c r="O735" s="1" t="s">
        <v>13</v>
      </c>
      <c r="P735" s="82">
        <v>0.999</v>
      </c>
      <c r="Q735" s="1" t="s">
        <v>76</v>
      </c>
      <c r="R735" s="81" t="s">
        <v>416</v>
      </c>
      <c r="S735" s="1" t="s">
        <v>76</v>
      </c>
      <c r="T735" s="1" t="s">
        <v>120</v>
      </c>
      <c r="U735" s="1" t="s">
        <v>659</v>
      </c>
      <c r="V735" s="1" t="s">
        <v>655</v>
      </c>
      <c r="W735" s="1">
        <v>68</v>
      </c>
      <c r="X735" s="1" t="s">
        <v>413</v>
      </c>
      <c r="Y735" s="1" t="s">
        <v>645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0.999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-24.465085670000001</v>
      </c>
      <c r="CN735" s="83">
        <v>-109.8222801</v>
      </c>
    </row>
    <row r="736" spans="1:92" s="3" customFormat="1" x14ac:dyDescent="0.25">
      <c r="A736" s="72">
        <v>769</v>
      </c>
      <c r="B736" s="81" t="s">
        <v>827</v>
      </c>
      <c r="C736" s="1" t="s">
        <v>83</v>
      </c>
      <c r="D736" s="1" t="s">
        <v>73</v>
      </c>
      <c r="E736" s="1" t="s">
        <v>99</v>
      </c>
      <c r="F736" s="1" t="s">
        <v>267</v>
      </c>
      <c r="G736" s="1" t="s">
        <v>80</v>
      </c>
      <c r="H736" s="1" t="s">
        <v>13</v>
      </c>
      <c r="I736" s="1"/>
      <c r="J736" s="9" t="s">
        <v>544</v>
      </c>
      <c r="K736" s="10">
        <v>0.54723966666666701</v>
      </c>
      <c r="L736" s="1" t="s">
        <v>641</v>
      </c>
      <c r="M736" s="1" t="s">
        <v>76</v>
      </c>
      <c r="N736" s="1" t="s">
        <v>649</v>
      </c>
      <c r="O736" s="1" t="s">
        <v>13</v>
      </c>
      <c r="P736" s="82">
        <v>0.309</v>
      </c>
      <c r="Q736" s="1" t="s">
        <v>76</v>
      </c>
      <c r="R736" s="81" t="s">
        <v>100</v>
      </c>
      <c r="S736" s="1" t="s">
        <v>76</v>
      </c>
      <c r="T736" s="1" t="s">
        <v>78</v>
      </c>
      <c r="U736" s="1" t="s">
        <v>658</v>
      </c>
      <c r="V736" s="1" t="s">
        <v>655</v>
      </c>
      <c r="W736" s="1">
        <v>54</v>
      </c>
      <c r="X736" s="1" t="s">
        <v>404</v>
      </c>
      <c r="Y736" s="1" t="s">
        <v>649</v>
      </c>
      <c r="Z736" s="1">
        <v>1E-3</v>
      </c>
      <c r="AA736" s="1">
        <v>6.0000000000000001E-3</v>
      </c>
      <c r="AB736" s="1">
        <v>5.0000000000000001E-3</v>
      </c>
      <c r="AC736" s="1">
        <v>3.4000000000000002E-2</v>
      </c>
      <c r="AD736" s="1">
        <v>4.0000000000000001E-3</v>
      </c>
      <c r="AE736" s="1">
        <v>4.0000000000000001E-3</v>
      </c>
      <c r="AF736" s="1">
        <v>7.0000000000000001E-3</v>
      </c>
      <c r="AG736" s="1">
        <v>1E-3</v>
      </c>
      <c r="AH736" s="1">
        <v>0.309</v>
      </c>
      <c r="AI736" s="1">
        <v>2E-3</v>
      </c>
      <c r="AJ736" s="1">
        <v>2E-3</v>
      </c>
      <c r="AK736" s="1">
        <v>2.4E-2</v>
      </c>
      <c r="AL736" s="1">
        <v>2E-3</v>
      </c>
      <c r="AM736" s="1">
        <v>3.0000000000000001E-3</v>
      </c>
      <c r="AN736" s="1">
        <v>3.0000000000000001E-3</v>
      </c>
      <c r="AO736" s="1">
        <v>1.2E-2</v>
      </c>
      <c r="AP736" s="1">
        <v>5.0000000000000001E-3</v>
      </c>
      <c r="AQ736" s="1">
        <v>4.0000000000000001E-3</v>
      </c>
      <c r="AR736" s="1">
        <v>2E-3</v>
      </c>
      <c r="AS736" s="1">
        <v>2.9000000000000001E-2</v>
      </c>
      <c r="AT736" s="1">
        <v>3.5000000000000003E-2</v>
      </c>
      <c r="AU736" s="1">
        <v>6.0000000000000001E-3</v>
      </c>
      <c r="AV736" s="1">
        <v>3.0000000000000001E-3</v>
      </c>
      <c r="AW736" s="1">
        <v>1.2999999999999999E-2</v>
      </c>
      <c r="AX736" s="1">
        <v>5.0000000000000001E-3</v>
      </c>
      <c r="AY736" s="1">
        <v>0.01</v>
      </c>
      <c r="AZ736" s="1">
        <v>0.01</v>
      </c>
      <c r="BA736" s="1">
        <v>2.5000000000000001E-2</v>
      </c>
      <c r="BB736" s="1">
        <v>5.0000000000000001E-3</v>
      </c>
      <c r="BC736" s="1">
        <v>3.0000000000000001E-3</v>
      </c>
      <c r="BD736" s="1">
        <v>2.8000000000000001E-2</v>
      </c>
      <c r="BE736" s="1">
        <v>4.0000000000000001E-3</v>
      </c>
      <c r="BF736" s="1">
        <v>2E-3</v>
      </c>
      <c r="BG736" s="1">
        <v>8.0000000000000002E-3</v>
      </c>
      <c r="BH736" s="1">
        <v>5.0000000000000001E-3</v>
      </c>
      <c r="BI736" s="1">
        <v>6.0000000000000001E-3</v>
      </c>
      <c r="BJ736" s="1">
        <v>2E-3</v>
      </c>
      <c r="BK736" s="1">
        <v>4.0000000000000001E-3</v>
      </c>
      <c r="BL736" s="1">
        <v>1.4999999999999999E-2</v>
      </c>
      <c r="BM736" s="1">
        <v>7.0000000000000001E-3</v>
      </c>
      <c r="BN736" s="1">
        <v>1.4E-2</v>
      </c>
      <c r="BO736" s="1">
        <v>2E-3</v>
      </c>
      <c r="BP736" s="1">
        <v>1E-3</v>
      </c>
      <c r="BQ736" s="1">
        <v>1.2999999999999999E-2</v>
      </c>
      <c r="BR736" s="1">
        <v>5.0000000000000001E-3</v>
      </c>
      <c r="BS736" s="1">
        <v>3.0000000000000001E-3</v>
      </c>
      <c r="BT736" s="1">
        <v>3.0000000000000001E-3</v>
      </c>
      <c r="BU736" s="1">
        <v>2E-3</v>
      </c>
      <c r="BV736" s="1">
        <v>5.0000000000000001E-3</v>
      </c>
      <c r="BW736" s="1">
        <v>7.0000000000000001E-3</v>
      </c>
      <c r="BX736" s="1">
        <v>1.2999999999999999E-2</v>
      </c>
      <c r="BY736" s="1">
        <v>3.5999999999999997E-2</v>
      </c>
      <c r="BZ736" s="1">
        <v>1.0999999999999999E-2</v>
      </c>
      <c r="CA736" s="1">
        <v>5.0000000000000001E-3</v>
      </c>
      <c r="CB736" s="1">
        <v>2E-3</v>
      </c>
      <c r="CC736" s="1">
        <v>8.0000000000000002E-3</v>
      </c>
      <c r="CD736" s="1">
        <v>1E-3</v>
      </c>
      <c r="CE736" s="1">
        <v>6.0000000000000001E-3</v>
      </c>
      <c r="CF736" s="1">
        <v>5.0000000000000001E-3</v>
      </c>
      <c r="CG736" s="1">
        <v>3.1E-2</v>
      </c>
      <c r="CH736" s="1">
        <v>1.7999999999999999E-2</v>
      </c>
      <c r="CI736" s="1">
        <v>1.2999999999999999E-2</v>
      </c>
      <c r="CJ736" s="1">
        <v>4.8000000000000001E-2</v>
      </c>
      <c r="CK736" s="1">
        <v>7.1999999999999995E-2</v>
      </c>
      <c r="CL736" s="1">
        <v>0.02</v>
      </c>
      <c r="CM736" s="1">
        <v>6.1873757899999999</v>
      </c>
      <c r="CN736" s="83">
        <v>-127.2917303</v>
      </c>
    </row>
    <row r="737" spans="1:92" s="3" customFormat="1" x14ac:dyDescent="0.25">
      <c r="A737" s="72">
        <v>770</v>
      </c>
      <c r="B737" s="81" t="s">
        <v>801</v>
      </c>
      <c r="C737" s="1" t="s">
        <v>83</v>
      </c>
      <c r="D737" s="1" t="s">
        <v>73</v>
      </c>
      <c r="E737" s="1" t="s">
        <v>99</v>
      </c>
      <c r="F737" s="1" t="s">
        <v>267</v>
      </c>
      <c r="G737" s="1" t="s">
        <v>80</v>
      </c>
      <c r="H737" s="1" t="s">
        <v>13</v>
      </c>
      <c r="I737" s="1"/>
      <c r="J737" s="9" t="s">
        <v>544</v>
      </c>
      <c r="K737" s="10">
        <v>0.346323833333333</v>
      </c>
      <c r="L737" s="1" t="s">
        <v>76</v>
      </c>
      <c r="M737" s="1" t="s">
        <v>506</v>
      </c>
      <c r="N737" s="1" t="s">
        <v>645</v>
      </c>
      <c r="O737" s="1" t="s">
        <v>13</v>
      </c>
      <c r="P737" s="82">
        <v>0.997</v>
      </c>
      <c r="Q737" s="1" t="s">
        <v>76</v>
      </c>
      <c r="R737" s="81" t="s">
        <v>100</v>
      </c>
      <c r="S737" s="1" t="s">
        <v>76</v>
      </c>
      <c r="T737" s="1" t="s">
        <v>78</v>
      </c>
      <c r="U737" s="1" t="s">
        <v>658</v>
      </c>
      <c r="V737" s="1" t="s">
        <v>654</v>
      </c>
      <c r="W737" s="1">
        <v>66</v>
      </c>
      <c r="X737" s="1" t="s">
        <v>400</v>
      </c>
      <c r="Y737" s="1" t="s">
        <v>645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0.997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-22.070358420000002</v>
      </c>
      <c r="CN737" s="83">
        <v>-116.6678371</v>
      </c>
    </row>
    <row r="738" spans="1:92" s="3" customFormat="1" x14ac:dyDescent="0.25">
      <c r="A738" s="72">
        <v>771</v>
      </c>
      <c r="B738" s="81" t="s">
        <v>830</v>
      </c>
      <c r="C738" s="1" t="s">
        <v>83</v>
      </c>
      <c r="D738" s="1" t="s">
        <v>73</v>
      </c>
      <c r="E738" s="1" t="s">
        <v>99</v>
      </c>
      <c r="F738" s="1" t="s">
        <v>267</v>
      </c>
      <c r="G738" s="1" t="s">
        <v>80</v>
      </c>
      <c r="H738" s="1" t="s">
        <v>13</v>
      </c>
      <c r="I738" s="1"/>
      <c r="J738" s="9" t="s">
        <v>544</v>
      </c>
      <c r="K738" s="10">
        <v>0.28417049999999999</v>
      </c>
      <c r="L738" s="1" t="s">
        <v>76</v>
      </c>
      <c r="M738" s="1" t="s">
        <v>506</v>
      </c>
      <c r="N738" s="1" t="s">
        <v>645</v>
      </c>
      <c r="O738" s="1" t="s">
        <v>13</v>
      </c>
      <c r="P738" s="82">
        <v>0.91300000000000003</v>
      </c>
      <c r="Q738" s="1" t="s">
        <v>76</v>
      </c>
      <c r="R738" s="81" t="s">
        <v>276</v>
      </c>
      <c r="S738" s="1" t="s">
        <v>76</v>
      </c>
      <c r="T738" s="1" t="s">
        <v>78</v>
      </c>
      <c r="U738" s="1" t="s">
        <v>658</v>
      </c>
      <c r="V738" s="1" t="s">
        <v>655</v>
      </c>
      <c r="W738" s="1">
        <v>36</v>
      </c>
      <c r="X738" s="1" t="s">
        <v>401</v>
      </c>
      <c r="Y738" s="1" t="s">
        <v>645</v>
      </c>
      <c r="Z738" s="1">
        <v>6.0000000000000001E-3</v>
      </c>
      <c r="AA738" s="1">
        <v>1E-3</v>
      </c>
      <c r="AB738" s="1">
        <v>1E-3</v>
      </c>
      <c r="AC738" s="1">
        <v>4.0000000000000001E-3</v>
      </c>
      <c r="AD738" s="1">
        <v>1E-3</v>
      </c>
      <c r="AE738" s="1">
        <v>1E-3</v>
      </c>
      <c r="AF738" s="1">
        <v>1E-3</v>
      </c>
      <c r="AG738" s="1">
        <v>0</v>
      </c>
      <c r="AH738" s="1">
        <v>0.91300000000000003</v>
      </c>
      <c r="AI738" s="1">
        <v>2E-3</v>
      </c>
      <c r="AJ738" s="1">
        <v>0</v>
      </c>
      <c r="AK738" s="1">
        <v>1E-3</v>
      </c>
      <c r="AL738" s="1">
        <v>0</v>
      </c>
      <c r="AM738" s="1">
        <v>1E-3</v>
      </c>
      <c r="AN738" s="1">
        <v>8.0000000000000002E-3</v>
      </c>
      <c r="AO738" s="1">
        <v>0</v>
      </c>
      <c r="AP738" s="1">
        <v>0</v>
      </c>
      <c r="AQ738" s="1">
        <v>0</v>
      </c>
      <c r="AR738" s="1">
        <v>0</v>
      </c>
      <c r="AS738" s="1">
        <v>1E-3</v>
      </c>
      <c r="AT738" s="1">
        <v>1E-3</v>
      </c>
      <c r="AU738" s="1">
        <v>1E-3</v>
      </c>
      <c r="AV738" s="1">
        <v>1E-3</v>
      </c>
      <c r="AW738" s="1">
        <v>1E-3</v>
      </c>
      <c r="AX738" s="1">
        <v>2E-3</v>
      </c>
      <c r="AY738" s="1">
        <v>1E-3</v>
      </c>
      <c r="AZ738" s="1">
        <v>2E-3</v>
      </c>
      <c r="BA738" s="1">
        <v>3.0000000000000001E-3</v>
      </c>
      <c r="BB738" s="1">
        <v>0</v>
      </c>
      <c r="BC738" s="1">
        <v>0</v>
      </c>
      <c r="BD738" s="1">
        <v>4.0000000000000001E-3</v>
      </c>
      <c r="BE738" s="1">
        <v>0</v>
      </c>
      <c r="BF738" s="1">
        <v>1E-3</v>
      </c>
      <c r="BG738" s="1">
        <v>0</v>
      </c>
      <c r="BH738" s="1">
        <v>0</v>
      </c>
      <c r="BI738" s="1">
        <v>0</v>
      </c>
      <c r="BJ738" s="1">
        <v>1E-3</v>
      </c>
      <c r="BK738" s="1">
        <v>0</v>
      </c>
      <c r="BL738" s="1">
        <v>1E-3</v>
      </c>
      <c r="BM738" s="1">
        <v>0</v>
      </c>
      <c r="BN738" s="1">
        <v>1E-3</v>
      </c>
      <c r="BO738" s="1">
        <v>0</v>
      </c>
      <c r="BP738" s="1">
        <v>0</v>
      </c>
      <c r="BQ738" s="1">
        <v>1E-3</v>
      </c>
      <c r="BR738" s="1">
        <v>1E-3</v>
      </c>
      <c r="BS738" s="1">
        <v>0</v>
      </c>
      <c r="BT738" s="1">
        <v>0</v>
      </c>
      <c r="BU738" s="1">
        <v>8.0000000000000002E-3</v>
      </c>
      <c r="BV738" s="1">
        <v>0</v>
      </c>
      <c r="BW738" s="1">
        <v>1E-3</v>
      </c>
      <c r="BX738" s="1">
        <v>1E-3</v>
      </c>
      <c r="BY738" s="1">
        <v>2E-3</v>
      </c>
      <c r="BZ738" s="1">
        <v>1E-3</v>
      </c>
      <c r="CA738" s="1">
        <v>1E-3</v>
      </c>
      <c r="CB738" s="1">
        <v>0</v>
      </c>
      <c r="CC738" s="1">
        <v>1E-3</v>
      </c>
      <c r="CD738" s="1">
        <v>0</v>
      </c>
      <c r="CE738" s="1">
        <v>1E-3</v>
      </c>
      <c r="CF738" s="1">
        <v>1E-3</v>
      </c>
      <c r="CG738" s="1">
        <v>2E-3</v>
      </c>
      <c r="CH738" s="1">
        <v>1E-3</v>
      </c>
      <c r="CI738" s="1">
        <v>1E-3</v>
      </c>
      <c r="CJ738" s="1">
        <v>2E-3</v>
      </c>
      <c r="CK738" s="1">
        <v>4.0000000000000001E-3</v>
      </c>
      <c r="CL738" s="1">
        <v>8.0000000000000002E-3</v>
      </c>
      <c r="CM738" s="1">
        <v>-30.272843630000001</v>
      </c>
      <c r="CN738" s="83">
        <v>-112.9162948</v>
      </c>
    </row>
    <row r="739" spans="1:92" s="3" customFormat="1" x14ac:dyDescent="0.25">
      <c r="A739" s="72">
        <v>772</v>
      </c>
      <c r="B739" s="81" t="s">
        <v>831</v>
      </c>
      <c r="C739" s="1" t="s">
        <v>83</v>
      </c>
      <c r="D739" s="1" t="s">
        <v>73</v>
      </c>
      <c r="E739" s="1" t="s">
        <v>99</v>
      </c>
      <c r="F739" s="1" t="s">
        <v>267</v>
      </c>
      <c r="G739" s="1" t="s">
        <v>80</v>
      </c>
      <c r="H739" s="1" t="s">
        <v>13</v>
      </c>
      <c r="I739" s="1"/>
      <c r="J739" s="9" t="s">
        <v>544</v>
      </c>
      <c r="K739" s="10">
        <v>0.39203316666666699</v>
      </c>
      <c r="L739" s="1" t="s">
        <v>76</v>
      </c>
      <c r="M739" s="1" t="s">
        <v>506</v>
      </c>
      <c r="N739" s="1" t="s">
        <v>645</v>
      </c>
      <c r="O739" s="1" t="s">
        <v>13</v>
      </c>
      <c r="P739" s="82">
        <v>1</v>
      </c>
      <c r="Q739" s="1" t="s">
        <v>76</v>
      </c>
      <c r="R739" s="81" t="s">
        <v>276</v>
      </c>
      <c r="S739" s="1" t="s">
        <v>76</v>
      </c>
      <c r="T739" s="1" t="s">
        <v>78</v>
      </c>
      <c r="U739" s="1" t="s">
        <v>658</v>
      </c>
      <c r="V739" s="1" t="s">
        <v>655</v>
      </c>
      <c r="W739" s="1">
        <v>30</v>
      </c>
      <c r="X739" s="1" t="s">
        <v>412</v>
      </c>
      <c r="Y739" s="1" t="s">
        <v>645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1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-12.065471369999999</v>
      </c>
      <c r="CN739" s="83">
        <v>-131.15713830000001</v>
      </c>
    </row>
    <row r="740" spans="1:92" s="3" customFormat="1" x14ac:dyDescent="0.25">
      <c r="A740" s="72">
        <v>774</v>
      </c>
      <c r="B740" s="81" t="s">
        <v>750</v>
      </c>
      <c r="C740" s="1" t="s">
        <v>83</v>
      </c>
      <c r="D740" s="1" t="s">
        <v>73</v>
      </c>
      <c r="E740" s="1" t="s">
        <v>74</v>
      </c>
      <c r="F740" s="1" t="s">
        <v>665</v>
      </c>
      <c r="G740" s="1" t="s">
        <v>98</v>
      </c>
      <c r="H740" s="1" t="s">
        <v>48</v>
      </c>
      <c r="I740" s="1"/>
      <c r="J740" s="9" t="s">
        <v>544</v>
      </c>
      <c r="K740" s="10">
        <v>0.66614199999999901</v>
      </c>
      <c r="L740" s="1" t="s">
        <v>76</v>
      </c>
      <c r="M740" s="1" t="s">
        <v>506</v>
      </c>
      <c r="N740" s="1" t="s">
        <v>645</v>
      </c>
      <c r="O740" s="1" t="s">
        <v>48</v>
      </c>
      <c r="P740" s="82">
        <v>0.998</v>
      </c>
      <c r="Q740" s="1" t="s">
        <v>76</v>
      </c>
      <c r="R740" s="81" t="s">
        <v>191</v>
      </c>
      <c r="S740" s="1">
        <v>3</v>
      </c>
      <c r="T740" s="1" t="s">
        <v>120</v>
      </c>
      <c r="U740" s="1" t="s">
        <v>659</v>
      </c>
      <c r="V740" s="1" t="s">
        <v>655</v>
      </c>
      <c r="W740" s="1">
        <v>75</v>
      </c>
      <c r="X740" s="1" t="s">
        <v>434</v>
      </c>
      <c r="Y740" s="1" t="s">
        <v>645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0.998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-63.305490229999997</v>
      </c>
      <c r="CN740" s="83">
        <v>44.433613379999997</v>
      </c>
    </row>
    <row r="741" spans="1:92" s="3" customFormat="1" x14ac:dyDescent="0.25">
      <c r="A741" s="72">
        <v>775</v>
      </c>
      <c r="B741" s="81" t="s">
        <v>722</v>
      </c>
      <c r="C741" s="1" t="s">
        <v>83</v>
      </c>
      <c r="D741" s="1" t="s">
        <v>73</v>
      </c>
      <c r="E741" s="1" t="s">
        <v>74</v>
      </c>
      <c r="F741" s="1" t="s">
        <v>665</v>
      </c>
      <c r="G741" s="1" t="s">
        <v>1706</v>
      </c>
      <c r="H741" s="1" t="s">
        <v>48</v>
      </c>
      <c r="I741" s="1"/>
      <c r="J741" s="9" t="s">
        <v>544</v>
      </c>
      <c r="K741" s="10">
        <v>0.57374766666666599</v>
      </c>
      <c r="L741" s="1" t="s">
        <v>641</v>
      </c>
      <c r="M741" s="1" t="s">
        <v>76</v>
      </c>
      <c r="N741" s="1" t="s">
        <v>649</v>
      </c>
      <c r="O741" s="1" t="s">
        <v>48</v>
      </c>
      <c r="P741" s="82">
        <v>0.25600000000000001</v>
      </c>
      <c r="Q741" s="1" t="s">
        <v>76</v>
      </c>
      <c r="R741" s="81" t="s">
        <v>169</v>
      </c>
      <c r="S741" s="1">
        <v>2</v>
      </c>
      <c r="T741" s="1" t="s">
        <v>120</v>
      </c>
      <c r="U741" s="1" t="s">
        <v>658</v>
      </c>
      <c r="V741" s="1" t="s">
        <v>655</v>
      </c>
      <c r="W741" s="1">
        <v>23</v>
      </c>
      <c r="X741" s="1" t="s">
        <v>434</v>
      </c>
      <c r="Y741" s="1" t="s">
        <v>649</v>
      </c>
      <c r="Z741" s="1">
        <v>2E-3</v>
      </c>
      <c r="AA741" s="1">
        <v>3.0000000000000001E-3</v>
      </c>
      <c r="AB741" s="1">
        <v>4.0000000000000001E-3</v>
      </c>
      <c r="AC741" s="1">
        <v>1.2999999999999999E-2</v>
      </c>
      <c r="AD741" s="1">
        <v>5.0000000000000001E-3</v>
      </c>
      <c r="AE741" s="1">
        <v>8.0000000000000002E-3</v>
      </c>
      <c r="AF741" s="1">
        <v>6.0000000000000001E-3</v>
      </c>
      <c r="AG741" s="1">
        <v>0</v>
      </c>
      <c r="AH741" s="1">
        <v>1.2E-2</v>
      </c>
      <c r="AI741" s="1">
        <v>1E-3</v>
      </c>
      <c r="AJ741" s="1">
        <v>1.0999999999999999E-2</v>
      </c>
      <c r="AK741" s="1">
        <v>4.7E-2</v>
      </c>
      <c r="AL741" s="1">
        <v>1.4999999999999999E-2</v>
      </c>
      <c r="AM741" s="1">
        <v>6.0000000000000001E-3</v>
      </c>
      <c r="AN741" s="1">
        <v>1.4999999999999999E-2</v>
      </c>
      <c r="AO741" s="1">
        <v>3.0000000000000001E-3</v>
      </c>
      <c r="AP741" s="1">
        <v>2E-3</v>
      </c>
      <c r="AQ741" s="1">
        <v>3.0000000000000001E-3</v>
      </c>
      <c r="AR741" s="1">
        <v>6.0000000000000001E-3</v>
      </c>
      <c r="AS741" s="1">
        <v>2.3E-2</v>
      </c>
      <c r="AT741" s="1">
        <v>6.0000000000000001E-3</v>
      </c>
      <c r="AU741" s="1">
        <v>5.0000000000000001E-3</v>
      </c>
      <c r="AV741" s="1">
        <v>3.0000000000000001E-3</v>
      </c>
      <c r="AW741" s="1">
        <v>0.01</v>
      </c>
      <c r="AX741" s="1">
        <v>4.0000000000000001E-3</v>
      </c>
      <c r="AY741" s="1">
        <v>8.9999999999999993E-3</v>
      </c>
      <c r="AZ741" s="1">
        <v>2.1000000000000001E-2</v>
      </c>
      <c r="BA741" s="1">
        <v>2.3E-2</v>
      </c>
      <c r="BB741" s="1">
        <v>4.0000000000000001E-3</v>
      </c>
      <c r="BC741" s="1">
        <v>2E-3</v>
      </c>
      <c r="BD741" s="1">
        <v>1.7000000000000001E-2</v>
      </c>
      <c r="BE741" s="1">
        <v>0.01</v>
      </c>
      <c r="BF741" s="1">
        <v>1E-3</v>
      </c>
      <c r="BG741" s="1">
        <v>1E-3</v>
      </c>
      <c r="BH741" s="1">
        <v>2E-3</v>
      </c>
      <c r="BI741" s="1">
        <v>3.0000000000000001E-3</v>
      </c>
      <c r="BJ741" s="1">
        <v>3.0000000000000001E-3</v>
      </c>
      <c r="BK741" s="1">
        <v>2E-3</v>
      </c>
      <c r="BL741" s="1">
        <v>8.0000000000000002E-3</v>
      </c>
      <c r="BM741" s="1">
        <v>3.0000000000000001E-3</v>
      </c>
      <c r="BN741" s="1">
        <v>1.9E-2</v>
      </c>
      <c r="BO741" s="1">
        <v>3.0000000000000001E-3</v>
      </c>
      <c r="BP741" s="1">
        <v>2E-3</v>
      </c>
      <c r="BQ741" s="1">
        <v>0.25600000000000001</v>
      </c>
      <c r="BR741" s="1">
        <v>3.0000000000000001E-3</v>
      </c>
      <c r="BS741" s="1">
        <v>3.0000000000000001E-3</v>
      </c>
      <c r="BT741" s="1">
        <v>3.0000000000000001E-3</v>
      </c>
      <c r="BU741" s="1">
        <v>1.4E-2</v>
      </c>
      <c r="BV741" s="1">
        <v>3.0000000000000001E-3</v>
      </c>
      <c r="BW741" s="1">
        <v>5.0000000000000001E-3</v>
      </c>
      <c r="BX741" s="1">
        <v>1.4E-2</v>
      </c>
      <c r="BY741" s="1">
        <v>7.0000000000000001E-3</v>
      </c>
      <c r="BZ741" s="1">
        <v>2.3E-2</v>
      </c>
      <c r="CA741" s="1">
        <v>5.0000000000000001E-3</v>
      </c>
      <c r="CB741" s="1">
        <v>4.3999999999999997E-2</v>
      </c>
      <c r="CC741" s="1">
        <v>1.4999999999999999E-2</v>
      </c>
      <c r="CD741" s="1">
        <v>1E-3</v>
      </c>
      <c r="CE741" s="1">
        <v>4.0000000000000001E-3</v>
      </c>
      <c r="CF741" s="1">
        <v>3.0000000000000001E-3</v>
      </c>
      <c r="CG741" s="1">
        <v>8.0000000000000002E-3</v>
      </c>
      <c r="CH741" s="1">
        <v>1.2E-2</v>
      </c>
      <c r="CI741" s="1">
        <v>6.0000000000000001E-3</v>
      </c>
      <c r="CJ741" s="1">
        <v>1.2999999999999999E-2</v>
      </c>
      <c r="CK741" s="1">
        <v>0.04</v>
      </c>
      <c r="CL741" s="1">
        <v>0.17</v>
      </c>
      <c r="CM741" s="1">
        <v>-62.037623400000001</v>
      </c>
      <c r="CN741" s="83">
        <v>31.54137369</v>
      </c>
    </row>
    <row r="742" spans="1:92" s="3" customFormat="1" x14ac:dyDescent="0.25">
      <c r="A742" s="72">
        <v>776</v>
      </c>
      <c r="B742" s="81" t="s">
        <v>729</v>
      </c>
      <c r="C742" s="1" t="s">
        <v>83</v>
      </c>
      <c r="D742" s="1" t="s">
        <v>73</v>
      </c>
      <c r="E742" s="1" t="s">
        <v>99</v>
      </c>
      <c r="F742" s="1" t="s">
        <v>221</v>
      </c>
      <c r="G742" s="1" t="s">
        <v>98</v>
      </c>
      <c r="H742" s="1" t="s">
        <v>569</v>
      </c>
      <c r="I742" s="1"/>
      <c r="J742" s="9" t="s">
        <v>544</v>
      </c>
      <c r="K742" s="10">
        <v>0.27272800000000003</v>
      </c>
      <c r="L742" s="1" t="s">
        <v>551</v>
      </c>
      <c r="M742" s="1" t="s">
        <v>76</v>
      </c>
      <c r="N742" s="1" t="s">
        <v>644</v>
      </c>
      <c r="O742" s="1" t="s">
        <v>5</v>
      </c>
      <c r="P742" s="82">
        <v>0.8</v>
      </c>
      <c r="Q742" s="1" t="s">
        <v>76</v>
      </c>
      <c r="R742" s="81" t="s">
        <v>169</v>
      </c>
      <c r="S742" s="1">
        <v>3</v>
      </c>
      <c r="T742" s="1" t="s">
        <v>120</v>
      </c>
      <c r="U742" s="1" t="s">
        <v>658</v>
      </c>
      <c r="V742" s="1" t="s">
        <v>655</v>
      </c>
      <c r="W742" s="1">
        <v>73</v>
      </c>
      <c r="X742" s="1" t="s">
        <v>417</v>
      </c>
      <c r="Y742" s="1" t="s">
        <v>644</v>
      </c>
      <c r="Z742" s="1">
        <v>0.8</v>
      </c>
      <c r="AA742" s="1">
        <v>1E-3</v>
      </c>
      <c r="AB742" s="1">
        <v>1E-3</v>
      </c>
      <c r="AC742" s="1">
        <v>2.7E-2</v>
      </c>
      <c r="AD742" s="1">
        <v>1E-3</v>
      </c>
      <c r="AE742" s="1">
        <v>1E-3</v>
      </c>
      <c r="AF742" s="1">
        <v>1E-3</v>
      </c>
      <c r="AG742" s="1">
        <v>0</v>
      </c>
      <c r="AH742" s="1">
        <v>4.4999999999999998E-2</v>
      </c>
      <c r="AI742" s="1">
        <v>4.0000000000000001E-3</v>
      </c>
      <c r="AJ742" s="1">
        <v>0</v>
      </c>
      <c r="AK742" s="1">
        <v>1E-3</v>
      </c>
      <c r="AL742" s="1">
        <v>0</v>
      </c>
      <c r="AM742" s="1">
        <v>0</v>
      </c>
      <c r="AN742" s="1">
        <v>8.9999999999999993E-3</v>
      </c>
      <c r="AO742" s="1">
        <v>1E-3</v>
      </c>
      <c r="AP742" s="1">
        <v>1E-3</v>
      </c>
      <c r="AQ742" s="1">
        <v>0</v>
      </c>
      <c r="AR742" s="1">
        <v>0</v>
      </c>
      <c r="AS742" s="1">
        <v>1E-3</v>
      </c>
      <c r="AT742" s="1">
        <v>1E-3</v>
      </c>
      <c r="AU742" s="1">
        <v>1E-3</v>
      </c>
      <c r="AV742" s="1">
        <v>1E-3</v>
      </c>
      <c r="AW742" s="1">
        <v>1E-3</v>
      </c>
      <c r="AX742" s="1">
        <v>1.4999999999999999E-2</v>
      </c>
      <c r="AY742" s="1">
        <v>2E-3</v>
      </c>
      <c r="AZ742" s="1">
        <v>1E-3</v>
      </c>
      <c r="BA742" s="1">
        <v>3.0000000000000001E-3</v>
      </c>
      <c r="BB742" s="1">
        <v>0</v>
      </c>
      <c r="BC742" s="1">
        <v>1E-3</v>
      </c>
      <c r="BD742" s="1">
        <v>4.0000000000000001E-3</v>
      </c>
      <c r="BE742" s="1">
        <v>1E-3</v>
      </c>
      <c r="BF742" s="1">
        <v>2.8000000000000001E-2</v>
      </c>
      <c r="BG742" s="1">
        <v>0</v>
      </c>
      <c r="BH742" s="1">
        <v>6.0000000000000001E-3</v>
      </c>
      <c r="BI742" s="1">
        <v>0</v>
      </c>
      <c r="BJ742" s="1">
        <v>0</v>
      </c>
      <c r="BK742" s="1">
        <v>0</v>
      </c>
      <c r="BL742" s="1">
        <v>1E-3</v>
      </c>
      <c r="BM742" s="1">
        <v>1E-3</v>
      </c>
      <c r="BN742" s="1">
        <v>1E-3</v>
      </c>
      <c r="BO742" s="1">
        <v>0</v>
      </c>
      <c r="BP742" s="1">
        <v>0</v>
      </c>
      <c r="BQ742" s="1">
        <v>1E-3</v>
      </c>
      <c r="BR742" s="1">
        <v>1E-3</v>
      </c>
      <c r="BS742" s="1">
        <v>0</v>
      </c>
      <c r="BT742" s="1">
        <v>0</v>
      </c>
      <c r="BU742" s="1">
        <v>1E-3</v>
      </c>
      <c r="BV742" s="1">
        <v>0</v>
      </c>
      <c r="BW742" s="1">
        <v>1E-3</v>
      </c>
      <c r="BX742" s="1">
        <v>4.0000000000000001E-3</v>
      </c>
      <c r="BY742" s="1">
        <v>2E-3</v>
      </c>
      <c r="BZ742" s="1">
        <v>1E-3</v>
      </c>
      <c r="CA742" s="1">
        <v>1E-3</v>
      </c>
      <c r="CB742" s="1">
        <v>0</v>
      </c>
      <c r="CC742" s="1">
        <v>1E-3</v>
      </c>
      <c r="CD742" s="1">
        <v>0</v>
      </c>
      <c r="CE742" s="1">
        <v>1E-3</v>
      </c>
      <c r="CF742" s="1">
        <v>1E-3</v>
      </c>
      <c r="CG742" s="1">
        <v>3.0000000000000001E-3</v>
      </c>
      <c r="CH742" s="1">
        <v>1E-3</v>
      </c>
      <c r="CI742" s="1">
        <v>1E-3</v>
      </c>
      <c r="CJ742" s="1">
        <v>2E-3</v>
      </c>
      <c r="CK742" s="1">
        <v>1.6E-2</v>
      </c>
      <c r="CL742" s="1">
        <v>1E-3</v>
      </c>
      <c r="CM742" s="1">
        <v>1.5251715889999999</v>
      </c>
      <c r="CN742" s="83">
        <v>-53.750899429999997</v>
      </c>
    </row>
    <row r="743" spans="1:92" s="3" customFormat="1" x14ac:dyDescent="0.25">
      <c r="A743" s="72">
        <v>777</v>
      </c>
      <c r="B743" s="81" t="s">
        <v>731</v>
      </c>
      <c r="C743" s="1" t="s">
        <v>83</v>
      </c>
      <c r="D743" s="1" t="s">
        <v>73</v>
      </c>
      <c r="E743" s="1" t="s">
        <v>99</v>
      </c>
      <c r="F743" s="1" t="s">
        <v>669</v>
      </c>
      <c r="G743" s="1" t="s">
        <v>76</v>
      </c>
      <c r="H743" s="1" t="s">
        <v>68</v>
      </c>
      <c r="I743" s="1"/>
      <c r="J743" s="9" t="s">
        <v>544</v>
      </c>
      <c r="K743" s="10">
        <v>0.49161116666666699</v>
      </c>
      <c r="L743" s="1" t="s">
        <v>641</v>
      </c>
      <c r="M743" s="1" t="s">
        <v>76</v>
      </c>
      <c r="N743" s="1" t="s">
        <v>644</v>
      </c>
      <c r="O743" s="1" t="s">
        <v>69</v>
      </c>
      <c r="P743" s="82">
        <v>0.36599999999999999</v>
      </c>
      <c r="Q743" s="1" t="s">
        <v>76</v>
      </c>
      <c r="R743" s="81" t="s">
        <v>169</v>
      </c>
      <c r="S743" s="1">
        <v>3</v>
      </c>
      <c r="T743" s="1" t="s">
        <v>120</v>
      </c>
      <c r="U743" s="1" t="s">
        <v>658</v>
      </c>
      <c r="V743" s="1" t="s">
        <v>655</v>
      </c>
      <c r="W743" s="1">
        <v>35</v>
      </c>
      <c r="X743" s="1" t="s">
        <v>418</v>
      </c>
      <c r="Y743" s="1" t="s">
        <v>644</v>
      </c>
      <c r="Z743" s="1">
        <v>3.0000000000000001E-3</v>
      </c>
      <c r="AA743" s="1">
        <v>1E-3</v>
      </c>
      <c r="AB743" s="1">
        <v>1E-3</v>
      </c>
      <c r="AC743" s="1">
        <v>1E-3</v>
      </c>
      <c r="AD743" s="1">
        <v>1E-3</v>
      </c>
      <c r="AE743" s="1">
        <v>1E-3</v>
      </c>
      <c r="AF743" s="1">
        <v>2E-3</v>
      </c>
      <c r="AG743" s="1">
        <v>0</v>
      </c>
      <c r="AH743" s="1">
        <v>2E-3</v>
      </c>
      <c r="AI743" s="1">
        <v>0</v>
      </c>
      <c r="AJ743" s="1">
        <v>1E-3</v>
      </c>
      <c r="AK743" s="1">
        <v>0</v>
      </c>
      <c r="AL743" s="1">
        <v>2E-3</v>
      </c>
      <c r="AM743" s="1">
        <v>1E-3</v>
      </c>
      <c r="AN743" s="1">
        <v>2E-3</v>
      </c>
      <c r="AO743" s="1">
        <v>1E-3</v>
      </c>
      <c r="AP743" s="1">
        <v>1E-3</v>
      </c>
      <c r="AQ743" s="1">
        <v>1E-3</v>
      </c>
      <c r="AR743" s="1">
        <v>4.0000000000000001E-3</v>
      </c>
      <c r="AS743" s="1">
        <v>2E-3</v>
      </c>
      <c r="AT743" s="1">
        <v>1E-3</v>
      </c>
      <c r="AU743" s="1">
        <v>2E-3</v>
      </c>
      <c r="AV743" s="1">
        <v>1E-3</v>
      </c>
      <c r="AW743" s="1">
        <v>1E-3</v>
      </c>
      <c r="AX743" s="1">
        <v>5.0000000000000001E-3</v>
      </c>
      <c r="AY743" s="1">
        <v>3.0000000000000001E-3</v>
      </c>
      <c r="AZ743" s="1">
        <v>3.0000000000000001E-3</v>
      </c>
      <c r="BA743" s="1">
        <v>3.0000000000000001E-3</v>
      </c>
      <c r="BB743" s="1">
        <v>1E-3</v>
      </c>
      <c r="BC743" s="1">
        <v>0</v>
      </c>
      <c r="BD743" s="1">
        <v>3.0000000000000001E-3</v>
      </c>
      <c r="BE743" s="1">
        <v>1E-3</v>
      </c>
      <c r="BF743" s="1">
        <v>1E-3</v>
      </c>
      <c r="BG743" s="1">
        <v>0</v>
      </c>
      <c r="BH743" s="1">
        <v>0</v>
      </c>
      <c r="BI743" s="1">
        <v>0</v>
      </c>
      <c r="BJ743" s="1">
        <v>2E-3</v>
      </c>
      <c r="BK743" s="1">
        <v>0</v>
      </c>
      <c r="BL743" s="1">
        <v>2E-3</v>
      </c>
      <c r="BM743" s="1">
        <v>1E-3</v>
      </c>
      <c r="BN743" s="1">
        <v>2E-3</v>
      </c>
      <c r="BO743" s="1">
        <v>1E-3</v>
      </c>
      <c r="BP743" s="1">
        <v>1E-3</v>
      </c>
      <c r="BQ743" s="1">
        <v>0.29699999999999999</v>
      </c>
      <c r="BR743" s="1">
        <v>1E-3</v>
      </c>
      <c r="BS743" s="1">
        <v>2E-3</v>
      </c>
      <c r="BT743" s="1">
        <v>1E-3</v>
      </c>
      <c r="BU743" s="1">
        <v>7.0000000000000001E-3</v>
      </c>
      <c r="BV743" s="1">
        <v>0</v>
      </c>
      <c r="BW743" s="1">
        <v>1E-3</v>
      </c>
      <c r="BX743" s="1">
        <v>2E-3</v>
      </c>
      <c r="BY743" s="1">
        <v>2E-3</v>
      </c>
      <c r="BZ743" s="1">
        <v>8.9999999999999993E-3</v>
      </c>
      <c r="CA743" s="1">
        <v>1E-3</v>
      </c>
      <c r="CB743" s="1">
        <v>3.0000000000000001E-3</v>
      </c>
      <c r="CC743" s="1">
        <v>1E-3</v>
      </c>
      <c r="CD743" s="1">
        <v>0</v>
      </c>
      <c r="CE743" s="1">
        <v>1E-3</v>
      </c>
      <c r="CF743" s="1">
        <v>1E-3</v>
      </c>
      <c r="CG743" s="1">
        <v>2E-3</v>
      </c>
      <c r="CH743" s="1">
        <v>1E-3</v>
      </c>
      <c r="CI743" s="1">
        <v>1E-3</v>
      </c>
      <c r="CJ743" s="1">
        <v>2E-3</v>
      </c>
      <c r="CK743" s="1">
        <v>0.23799999999999999</v>
      </c>
      <c r="CL743" s="1">
        <v>0.36599999999999999</v>
      </c>
      <c r="CM743" s="1">
        <v>-47.152251499999998</v>
      </c>
      <c r="CN743" s="83">
        <v>42.600707389999997</v>
      </c>
    </row>
    <row r="744" spans="1:92" s="3" customFormat="1" x14ac:dyDescent="0.25">
      <c r="A744" s="72">
        <v>778</v>
      </c>
      <c r="B744" s="81" t="s">
        <v>740</v>
      </c>
      <c r="C744" s="1" t="s">
        <v>83</v>
      </c>
      <c r="D744" s="1" t="s">
        <v>73</v>
      </c>
      <c r="E744" s="1" t="s">
        <v>99</v>
      </c>
      <c r="F744" s="1" t="s">
        <v>665</v>
      </c>
      <c r="G744" s="1" t="s">
        <v>98</v>
      </c>
      <c r="H744" s="1" t="s">
        <v>48</v>
      </c>
      <c r="I744" s="1"/>
      <c r="J744" s="9" t="s">
        <v>544</v>
      </c>
      <c r="K744" s="10">
        <v>0.61508099999999999</v>
      </c>
      <c r="L744" s="1" t="s">
        <v>641</v>
      </c>
      <c r="M744" s="1" t="s">
        <v>76</v>
      </c>
      <c r="N744" s="1" t="s">
        <v>644</v>
      </c>
      <c r="O744" s="1" t="s">
        <v>68</v>
      </c>
      <c r="P744" s="82">
        <v>9.0999999999999998E-2</v>
      </c>
      <c r="Q744" s="1" t="s">
        <v>76</v>
      </c>
      <c r="R744" s="81" t="s">
        <v>171</v>
      </c>
      <c r="S744" s="1">
        <v>3</v>
      </c>
      <c r="T744" s="1" t="s">
        <v>120</v>
      </c>
      <c r="U744" s="1" t="s">
        <v>658</v>
      </c>
      <c r="V744" s="1" t="s">
        <v>655</v>
      </c>
      <c r="W744" s="1">
        <v>63</v>
      </c>
      <c r="X744" s="1" t="s">
        <v>419</v>
      </c>
      <c r="Y744" s="1" t="s">
        <v>644</v>
      </c>
      <c r="Z744" s="1">
        <v>3.0000000000000001E-3</v>
      </c>
      <c r="AA744" s="1">
        <v>6.0000000000000001E-3</v>
      </c>
      <c r="AB744" s="1">
        <v>7.0000000000000001E-3</v>
      </c>
      <c r="AC744" s="1">
        <v>5.6000000000000001E-2</v>
      </c>
      <c r="AD744" s="1">
        <v>6.0000000000000001E-3</v>
      </c>
      <c r="AE744" s="1">
        <v>4.0000000000000001E-3</v>
      </c>
      <c r="AF744" s="1">
        <v>7.0000000000000001E-3</v>
      </c>
      <c r="AG744" s="1">
        <v>1E-3</v>
      </c>
      <c r="AH744" s="1">
        <v>1.2999999999999999E-2</v>
      </c>
      <c r="AI744" s="1">
        <v>2E-3</v>
      </c>
      <c r="AJ744" s="1">
        <v>3.0000000000000001E-3</v>
      </c>
      <c r="AK744" s="1">
        <v>1.7000000000000001E-2</v>
      </c>
      <c r="AL744" s="1">
        <v>3.0000000000000001E-3</v>
      </c>
      <c r="AM744" s="1">
        <v>3.0000000000000001E-3</v>
      </c>
      <c r="AN744" s="1">
        <v>5.0000000000000001E-3</v>
      </c>
      <c r="AO744" s="1">
        <v>8.9999999999999993E-3</v>
      </c>
      <c r="AP744" s="1">
        <v>4.0000000000000001E-3</v>
      </c>
      <c r="AQ744" s="1">
        <v>3.0000000000000001E-3</v>
      </c>
      <c r="AR744" s="1">
        <v>3.0000000000000001E-3</v>
      </c>
      <c r="AS744" s="1">
        <v>4.4999999999999998E-2</v>
      </c>
      <c r="AT744" s="1">
        <v>1.2999999999999999E-2</v>
      </c>
      <c r="AU744" s="1">
        <v>1.2E-2</v>
      </c>
      <c r="AV744" s="1">
        <v>4.0000000000000001E-3</v>
      </c>
      <c r="AW744" s="1">
        <v>8.0000000000000002E-3</v>
      </c>
      <c r="AX744" s="1">
        <v>5.0000000000000001E-3</v>
      </c>
      <c r="AY744" s="1">
        <v>1.0999999999999999E-2</v>
      </c>
      <c r="AZ744" s="1">
        <v>2.3E-2</v>
      </c>
      <c r="BA744" s="1">
        <v>2.8000000000000001E-2</v>
      </c>
      <c r="BB744" s="1">
        <v>6.0000000000000001E-3</v>
      </c>
      <c r="BC744" s="1">
        <v>3.0000000000000001E-3</v>
      </c>
      <c r="BD744" s="1">
        <v>3.2000000000000001E-2</v>
      </c>
      <c r="BE744" s="1">
        <v>1.6E-2</v>
      </c>
      <c r="BF744" s="1">
        <v>3.0000000000000001E-3</v>
      </c>
      <c r="BG744" s="1">
        <v>4.0000000000000001E-3</v>
      </c>
      <c r="BH744" s="1">
        <v>4.0000000000000001E-3</v>
      </c>
      <c r="BI744" s="1">
        <v>4.0000000000000001E-3</v>
      </c>
      <c r="BJ744" s="1">
        <v>3.0000000000000001E-3</v>
      </c>
      <c r="BK744" s="1">
        <v>3.0000000000000001E-3</v>
      </c>
      <c r="BL744" s="1">
        <v>2.1000000000000001E-2</v>
      </c>
      <c r="BM744" s="1">
        <v>5.0000000000000001E-3</v>
      </c>
      <c r="BN744" s="1">
        <v>3.3000000000000002E-2</v>
      </c>
      <c r="BO744" s="1">
        <v>3.0000000000000001E-3</v>
      </c>
      <c r="BP744" s="1">
        <v>2E-3</v>
      </c>
      <c r="BQ744" s="1">
        <v>6.2E-2</v>
      </c>
      <c r="BR744" s="1">
        <v>8.0000000000000002E-3</v>
      </c>
      <c r="BS744" s="1">
        <v>4.0000000000000001E-3</v>
      </c>
      <c r="BT744" s="1">
        <v>4.0000000000000001E-3</v>
      </c>
      <c r="BU744" s="1">
        <v>6.0000000000000001E-3</v>
      </c>
      <c r="BV744" s="1">
        <v>3.0000000000000001E-3</v>
      </c>
      <c r="BW744" s="1">
        <v>1.9E-2</v>
      </c>
      <c r="BX744" s="1">
        <v>1.4E-2</v>
      </c>
      <c r="BY744" s="1">
        <v>1.4999999999999999E-2</v>
      </c>
      <c r="BZ744" s="1">
        <v>5.8999999999999997E-2</v>
      </c>
      <c r="CA744" s="1">
        <v>0.01</v>
      </c>
      <c r="CB744" s="1">
        <v>3.7999999999999999E-2</v>
      </c>
      <c r="CC744" s="1">
        <v>5.8999999999999997E-2</v>
      </c>
      <c r="CD744" s="1">
        <v>1E-3</v>
      </c>
      <c r="CE744" s="1">
        <v>5.0000000000000001E-3</v>
      </c>
      <c r="CF744" s="1">
        <v>6.0000000000000001E-3</v>
      </c>
      <c r="CG744" s="1">
        <v>1.4999999999999999E-2</v>
      </c>
      <c r="CH744" s="1">
        <v>1.2E-2</v>
      </c>
      <c r="CI744" s="1">
        <v>8.9999999999999993E-3</v>
      </c>
      <c r="CJ744" s="1">
        <v>2.9000000000000001E-2</v>
      </c>
      <c r="CK744" s="1">
        <v>9.0999999999999998E-2</v>
      </c>
      <c r="CL744" s="1">
        <v>8.5999999999999993E-2</v>
      </c>
      <c r="CM744" s="1">
        <v>-50.769312380000002</v>
      </c>
      <c r="CN744" s="83">
        <v>39.155473919999999</v>
      </c>
    </row>
    <row r="745" spans="1:92" s="3" customFormat="1" hidden="1" x14ac:dyDescent="0.25">
      <c r="A745" s="72">
        <v>779</v>
      </c>
      <c r="B745" s="81" t="s">
        <v>781</v>
      </c>
      <c r="C745" s="1" t="s">
        <v>83</v>
      </c>
      <c r="D745" s="1" t="s">
        <v>301</v>
      </c>
      <c r="E745" s="1" t="s">
        <v>76</v>
      </c>
      <c r="F745" s="1" t="s">
        <v>301</v>
      </c>
      <c r="G745" s="1" t="s">
        <v>76</v>
      </c>
      <c r="H745" s="1" t="s">
        <v>537</v>
      </c>
      <c r="I745" s="1"/>
      <c r="J745" s="9" t="s">
        <v>544</v>
      </c>
      <c r="K745" s="10">
        <v>0.333942666666667</v>
      </c>
      <c r="L745" s="1" t="s">
        <v>76</v>
      </c>
      <c r="M745" s="1" t="s">
        <v>506</v>
      </c>
      <c r="N745" s="1" t="s">
        <v>645</v>
      </c>
      <c r="O745" s="1" t="s">
        <v>21</v>
      </c>
      <c r="P745" s="82">
        <v>0.996</v>
      </c>
      <c r="Q745" s="1" t="s">
        <v>76</v>
      </c>
      <c r="R745" s="81" t="s">
        <v>76</v>
      </c>
      <c r="S745" s="1" t="s">
        <v>76</v>
      </c>
      <c r="T745" s="1" t="s">
        <v>76</v>
      </c>
      <c r="U745" s="1" t="s">
        <v>76</v>
      </c>
      <c r="V745" s="1" t="s">
        <v>656</v>
      </c>
      <c r="W745" s="1" t="s">
        <v>269</v>
      </c>
      <c r="X745" s="1" t="s">
        <v>76</v>
      </c>
      <c r="Y745" s="1" t="s">
        <v>645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0.996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-62.616129000000001</v>
      </c>
      <c r="CN745" s="83">
        <v>-81.664337059999994</v>
      </c>
    </row>
    <row r="746" spans="1:92" s="3" customFormat="1" x14ac:dyDescent="0.25">
      <c r="A746" s="72">
        <v>852</v>
      </c>
      <c r="B746" s="81" t="s">
        <v>968</v>
      </c>
      <c r="C746" s="1" t="s">
        <v>83</v>
      </c>
      <c r="D746" s="1" t="s">
        <v>73</v>
      </c>
      <c r="E746" s="1" t="s">
        <v>99</v>
      </c>
      <c r="F746" s="1" t="s">
        <v>128</v>
      </c>
      <c r="G746" s="1" t="s">
        <v>442</v>
      </c>
      <c r="H746" s="1" t="s">
        <v>570</v>
      </c>
      <c r="I746" s="1"/>
      <c r="J746" s="9" t="s">
        <v>544</v>
      </c>
      <c r="K746" s="10">
        <v>0.40061566666666698</v>
      </c>
      <c r="L746" s="1" t="s">
        <v>601</v>
      </c>
      <c r="M746" s="1" t="s">
        <v>506</v>
      </c>
      <c r="N746" s="96" t="s">
        <v>647</v>
      </c>
      <c r="O746" s="1" t="s">
        <v>68</v>
      </c>
      <c r="P746" s="82">
        <v>1</v>
      </c>
      <c r="Q746" s="1" t="s">
        <v>76</v>
      </c>
      <c r="R746" s="81" t="s">
        <v>114</v>
      </c>
      <c r="S746" s="1">
        <v>3</v>
      </c>
      <c r="T746" s="1" t="s">
        <v>78</v>
      </c>
      <c r="U746" s="1" t="s">
        <v>658</v>
      </c>
      <c r="V746" s="1" t="s">
        <v>655</v>
      </c>
      <c r="W746" s="1">
        <v>75</v>
      </c>
      <c r="X746" s="1" t="s">
        <v>423</v>
      </c>
      <c r="Y746" s="1" t="s">
        <v>647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1</v>
      </c>
      <c r="CL746" s="1">
        <v>0</v>
      </c>
      <c r="CM746" s="1">
        <v>26.865533410000001</v>
      </c>
      <c r="CN746" s="83">
        <v>-34.527268489999997</v>
      </c>
    </row>
    <row r="747" spans="1:92" s="3" customFormat="1" x14ac:dyDescent="0.25">
      <c r="A747" s="72">
        <v>781</v>
      </c>
      <c r="B747" s="81" t="s">
        <v>805</v>
      </c>
      <c r="C747" s="1" t="s">
        <v>83</v>
      </c>
      <c r="D747" s="1" t="s">
        <v>73</v>
      </c>
      <c r="E747" s="1" t="s">
        <v>74</v>
      </c>
      <c r="F747" s="1" t="s">
        <v>93</v>
      </c>
      <c r="G747" s="1" t="s">
        <v>94</v>
      </c>
      <c r="H747" s="1" t="s">
        <v>525</v>
      </c>
      <c r="I747" s="1"/>
      <c r="J747" s="9" t="s">
        <v>506</v>
      </c>
      <c r="K747" s="10">
        <v>0.51058599999999998</v>
      </c>
      <c r="L747" s="1" t="s">
        <v>641</v>
      </c>
      <c r="M747" s="1" t="s">
        <v>76</v>
      </c>
      <c r="N747" s="1" t="s">
        <v>644</v>
      </c>
      <c r="O747" s="1" t="s">
        <v>34</v>
      </c>
      <c r="P747" s="82">
        <v>0.48899999999999999</v>
      </c>
      <c r="Q747" s="1" t="s">
        <v>76</v>
      </c>
      <c r="R747" s="81" t="s">
        <v>323</v>
      </c>
      <c r="S747" s="1">
        <v>1</v>
      </c>
      <c r="T747" s="1" t="s">
        <v>78</v>
      </c>
      <c r="U747" s="1" t="s">
        <v>658</v>
      </c>
      <c r="V747" s="1" t="s">
        <v>655</v>
      </c>
      <c r="W747" s="1">
        <v>17</v>
      </c>
      <c r="X747" s="1" t="s">
        <v>420</v>
      </c>
      <c r="Y747" s="1" t="s">
        <v>644</v>
      </c>
      <c r="Z747" s="1">
        <v>1E-3</v>
      </c>
      <c r="AA747" s="1">
        <v>4.0000000000000001E-3</v>
      </c>
      <c r="AB747" s="1">
        <v>4.0000000000000001E-3</v>
      </c>
      <c r="AC747" s="1">
        <v>2.3E-2</v>
      </c>
      <c r="AD747" s="1">
        <v>3.0000000000000001E-3</v>
      </c>
      <c r="AE747" s="1">
        <v>3.0000000000000001E-3</v>
      </c>
      <c r="AF747" s="1">
        <v>4.0000000000000001E-3</v>
      </c>
      <c r="AG747" s="1">
        <v>0</v>
      </c>
      <c r="AH747" s="1">
        <v>1.2999999999999999E-2</v>
      </c>
      <c r="AI747" s="1">
        <v>1E-3</v>
      </c>
      <c r="AJ747" s="1">
        <v>2E-3</v>
      </c>
      <c r="AK747" s="1">
        <v>1.2E-2</v>
      </c>
      <c r="AL747" s="1">
        <v>3.5999999999999997E-2</v>
      </c>
      <c r="AM747" s="1">
        <v>0</v>
      </c>
      <c r="AN747" s="1">
        <v>2E-3</v>
      </c>
      <c r="AO747" s="1">
        <v>1.4999999999999999E-2</v>
      </c>
      <c r="AP747" s="1">
        <v>6.0000000000000001E-3</v>
      </c>
      <c r="AQ747" s="1">
        <v>3.0000000000000001E-3</v>
      </c>
      <c r="AR747" s="1">
        <v>2E-3</v>
      </c>
      <c r="AS747" s="1">
        <v>2.1000000000000001E-2</v>
      </c>
      <c r="AT747" s="1">
        <v>1.4E-2</v>
      </c>
      <c r="AU747" s="1">
        <v>4.0000000000000001E-3</v>
      </c>
      <c r="AV747" s="1">
        <v>2E-3</v>
      </c>
      <c r="AW747" s="1">
        <v>8.9999999999999993E-3</v>
      </c>
      <c r="AX747" s="1">
        <v>8.0000000000000002E-3</v>
      </c>
      <c r="AY747" s="1">
        <v>5.0000000000000001E-3</v>
      </c>
      <c r="AZ747" s="1">
        <v>6.0000000000000001E-3</v>
      </c>
      <c r="BA747" s="1">
        <v>1.4999999999999999E-2</v>
      </c>
      <c r="BB747" s="1">
        <v>4.0000000000000001E-3</v>
      </c>
      <c r="BC747" s="1">
        <v>0.48899999999999999</v>
      </c>
      <c r="BD747" s="1">
        <v>1.6E-2</v>
      </c>
      <c r="BE747" s="1">
        <v>3.0000000000000001E-3</v>
      </c>
      <c r="BF747" s="1">
        <v>1E-3</v>
      </c>
      <c r="BG747" s="1">
        <v>4.0000000000000001E-3</v>
      </c>
      <c r="BH747" s="1">
        <v>5.0000000000000001E-3</v>
      </c>
      <c r="BI747" s="1">
        <v>3.0000000000000001E-3</v>
      </c>
      <c r="BJ747" s="1">
        <v>1E-3</v>
      </c>
      <c r="BK747" s="1">
        <v>3.0000000000000001E-3</v>
      </c>
      <c r="BL747" s="1">
        <v>2.3E-2</v>
      </c>
      <c r="BM747" s="1">
        <v>5.0000000000000001E-3</v>
      </c>
      <c r="BN747" s="1">
        <v>7.0000000000000001E-3</v>
      </c>
      <c r="BO747" s="1">
        <v>2E-3</v>
      </c>
      <c r="BP747" s="1">
        <v>1E-3</v>
      </c>
      <c r="BQ747" s="1">
        <v>0.01</v>
      </c>
      <c r="BR747" s="1">
        <v>4.0000000000000001E-3</v>
      </c>
      <c r="BS747" s="1">
        <v>2E-3</v>
      </c>
      <c r="BT747" s="1">
        <v>2E-3</v>
      </c>
      <c r="BU747" s="1">
        <v>2E-3</v>
      </c>
      <c r="BV747" s="1">
        <v>4.0000000000000001E-3</v>
      </c>
      <c r="BW747" s="1">
        <v>5.0000000000000001E-3</v>
      </c>
      <c r="BX747" s="1">
        <v>2.3E-2</v>
      </c>
      <c r="BY747" s="1">
        <v>1.7999999999999999E-2</v>
      </c>
      <c r="BZ747" s="1">
        <v>8.0000000000000002E-3</v>
      </c>
      <c r="CA747" s="1">
        <v>7.0000000000000001E-3</v>
      </c>
      <c r="CB747" s="1">
        <v>1E-3</v>
      </c>
      <c r="CC747" s="1">
        <v>4.0000000000000001E-3</v>
      </c>
      <c r="CD747" s="1">
        <v>1E-3</v>
      </c>
      <c r="CE747" s="1">
        <v>3.0000000000000001E-3</v>
      </c>
      <c r="CF747" s="1">
        <v>3.0000000000000001E-3</v>
      </c>
      <c r="CG747" s="1">
        <v>6.0000000000000001E-3</v>
      </c>
      <c r="CH747" s="1">
        <v>1.0999999999999999E-2</v>
      </c>
      <c r="CI747" s="1">
        <v>8.9999999999999993E-3</v>
      </c>
      <c r="CJ747" s="1">
        <v>1.4E-2</v>
      </c>
      <c r="CK747" s="1">
        <v>7.0999999999999994E-2</v>
      </c>
      <c r="CL747" s="1">
        <v>8.0000000000000002E-3</v>
      </c>
      <c r="CM747" s="1">
        <v>45.531192840000003</v>
      </c>
      <c r="CN747" s="83">
        <v>1.8634979650000001</v>
      </c>
    </row>
    <row r="748" spans="1:92" s="3" customFormat="1" x14ac:dyDescent="0.25">
      <c r="A748" s="72">
        <v>782</v>
      </c>
      <c r="B748" s="81" t="s">
        <v>765</v>
      </c>
      <c r="C748" s="1" t="s">
        <v>83</v>
      </c>
      <c r="D748" s="1" t="s">
        <v>73</v>
      </c>
      <c r="E748" s="1" t="s">
        <v>74</v>
      </c>
      <c r="F748" s="1" t="s">
        <v>128</v>
      </c>
      <c r="G748" s="1" t="s">
        <v>176</v>
      </c>
      <c r="H748" s="1" t="s">
        <v>535</v>
      </c>
      <c r="I748" s="1"/>
      <c r="J748" s="9" t="s">
        <v>506</v>
      </c>
      <c r="K748" s="10">
        <v>0.53672116666666603</v>
      </c>
      <c r="L748" s="1" t="s">
        <v>582</v>
      </c>
      <c r="M748" s="1" t="s">
        <v>506</v>
      </c>
      <c r="N748" s="1" t="s">
        <v>648</v>
      </c>
      <c r="O748" s="1" t="s">
        <v>55</v>
      </c>
      <c r="P748" s="82">
        <v>1</v>
      </c>
      <c r="Q748" s="1" t="s">
        <v>76</v>
      </c>
      <c r="R748" s="81" t="s">
        <v>77</v>
      </c>
      <c r="S748" s="1">
        <v>3</v>
      </c>
      <c r="T748" s="1" t="s">
        <v>78</v>
      </c>
      <c r="U748" s="1" t="s">
        <v>658</v>
      </c>
      <c r="V748" s="1" t="s">
        <v>655</v>
      </c>
      <c r="W748" s="1">
        <v>11</v>
      </c>
      <c r="X748" s="1" t="s">
        <v>170</v>
      </c>
      <c r="Y748" s="1" t="s">
        <v>648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1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38.9112255</v>
      </c>
      <c r="CN748" s="83">
        <v>36.419596599999998</v>
      </c>
    </row>
    <row r="749" spans="1:92" s="3" customFormat="1" x14ac:dyDescent="0.25">
      <c r="A749" s="72">
        <v>783</v>
      </c>
      <c r="B749" s="81" t="s">
        <v>799</v>
      </c>
      <c r="C749" s="1" t="s">
        <v>83</v>
      </c>
      <c r="D749" s="1" t="s">
        <v>73</v>
      </c>
      <c r="E749" s="1" t="s">
        <v>74</v>
      </c>
      <c r="F749" s="1" t="s">
        <v>128</v>
      </c>
      <c r="G749" s="1" t="s">
        <v>166</v>
      </c>
      <c r="H749" s="1" t="s">
        <v>535</v>
      </c>
      <c r="I749" s="1"/>
      <c r="J749" s="9" t="s">
        <v>506</v>
      </c>
      <c r="K749" s="10">
        <v>0.34696399999999999</v>
      </c>
      <c r="L749" s="1" t="s">
        <v>641</v>
      </c>
      <c r="M749" s="1" t="s">
        <v>76</v>
      </c>
      <c r="N749" s="1" t="s">
        <v>644</v>
      </c>
      <c r="O749" s="1" t="s">
        <v>68</v>
      </c>
      <c r="P749" s="82">
        <v>0.38700000000000001</v>
      </c>
      <c r="Q749" s="1" t="s">
        <v>76</v>
      </c>
      <c r="R749" s="81" t="s">
        <v>243</v>
      </c>
      <c r="S749" s="1">
        <v>1</v>
      </c>
      <c r="T749" s="1" t="s">
        <v>78</v>
      </c>
      <c r="U749" s="1" t="s">
        <v>658</v>
      </c>
      <c r="V749" s="1" t="s">
        <v>655</v>
      </c>
      <c r="W749" s="1">
        <v>57</v>
      </c>
      <c r="X749" s="1" t="s">
        <v>421</v>
      </c>
      <c r="Y749" s="1" t="s">
        <v>644</v>
      </c>
      <c r="Z749" s="1">
        <v>8.9999999999999993E-3</v>
      </c>
      <c r="AA749" s="1">
        <v>2E-3</v>
      </c>
      <c r="AB749" s="1">
        <v>2E-3</v>
      </c>
      <c r="AC749" s="1">
        <v>1E-3</v>
      </c>
      <c r="AD749" s="1">
        <v>3.0000000000000001E-3</v>
      </c>
      <c r="AE749" s="1">
        <v>2E-3</v>
      </c>
      <c r="AF749" s="1">
        <v>4.0000000000000001E-3</v>
      </c>
      <c r="AG749" s="1">
        <v>0</v>
      </c>
      <c r="AH749" s="1">
        <v>5.0000000000000001E-3</v>
      </c>
      <c r="AI749" s="1">
        <v>0</v>
      </c>
      <c r="AJ749" s="1">
        <v>8.0000000000000002E-3</v>
      </c>
      <c r="AK749" s="1">
        <v>3.0000000000000001E-3</v>
      </c>
      <c r="AL749" s="1">
        <v>0</v>
      </c>
      <c r="AM749" s="1">
        <v>2E-3</v>
      </c>
      <c r="AN749" s="1">
        <v>1.4E-2</v>
      </c>
      <c r="AO749" s="1">
        <v>1E-3</v>
      </c>
      <c r="AP749" s="1">
        <v>1E-3</v>
      </c>
      <c r="AQ749" s="1">
        <v>1E-3</v>
      </c>
      <c r="AR749" s="1">
        <v>0.13100000000000001</v>
      </c>
      <c r="AS749" s="1">
        <v>4.0000000000000001E-3</v>
      </c>
      <c r="AT749" s="1">
        <v>1E-3</v>
      </c>
      <c r="AU749" s="1">
        <v>6.0000000000000001E-3</v>
      </c>
      <c r="AV749" s="1">
        <v>2E-3</v>
      </c>
      <c r="AW749" s="1">
        <v>2E-3</v>
      </c>
      <c r="AX749" s="1">
        <v>1.2999999999999999E-2</v>
      </c>
      <c r="AY749" s="1">
        <v>3.0000000000000001E-3</v>
      </c>
      <c r="AZ749" s="1">
        <v>8.0000000000000002E-3</v>
      </c>
      <c r="BA749" s="1">
        <v>7.0000000000000001E-3</v>
      </c>
      <c r="BB749" s="1">
        <v>2E-3</v>
      </c>
      <c r="BC749" s="1">
        <v>1E-3</v>
      </c>
      <c r="BD749" s="1">
        <v>7.0000000000000001E-3</v>
      </c>
      <c r="BE749" s="1">
        <v>1E-3</v>
      </c>
      <c r="BF749" s="1">
        <v>2E-3</v>
      </c>
      <c r="BG749" s="1">
        <v>0</v>
      </c>
      <c r="BH749" s="1">
        <v>1E-3</v>
      </c>
      <c r="BI749" s="1">
        <v>1E-3</v>
      </c>
      <c r="BJ749" s="1">
        <v>2E-3</v>
      </c>
      <c r="BK749" s="1">
        <v>1E-3</v>
      </c>
      <c r="BL749" s="1">
        <v>1E-3</v>
      </c>
      <c r="BM749" s="1">
        <v>1E-3</v>
      </c>
      <c r="BN749" s="1">
        <v>1E-3</v>
      </c>
      <c r="BO749" s="1">
        <v>3.0000000000000001E-3</v>
      </c>
      <c r="BP749" s="1">
        <v>8.9999999999999993E-3</v>
      </c>
      <c r="BQ749" s="1">
        <v>2E-3</v>
      </c>
      <c r="BR749" s="1">
        <v>1E-3</v>
      </c>
      <c r="BS749" s="1">
        <v>4.2000000000000003E-2</v>
      </c>
      <c r="BT749" s="1">
        <v>1E-3</v>
      </c>
      <c r="BU749" s="1">
        <v>0.22500000000000001</v>
      </c>
      <c r="BV749" s="1">
        <v>1E-3</v>
      </c>
      <c r="BW749" s="1">
        <v>2E-3</v>
      </c>
      <c r="BX749" s="1">
        <v>6.0000000000000001E-3</v>
      </c>
      <c r="BY749" s="1">
        <v>4.0000000000000001E-3</v>
      </c>
      <c r="BZ749" s="1">
        <v>6.0000000000000001E-3</v>
      </c>
      <c r="CA749" s="1">
        <v>2E-3</v>
      </c>
      <c r="CB749" s="1">
        <v>1E-3</v>
      </c>
      <c r="CC749" s="1">
        <v>2E-3</v>
      </c>
      <c r="CD749" s="1">
        <v>0</v>
      </c>
      <c r="CE749" s="1">
        <v>1E-3</v>
      </c>
      <c r="CF749" s="1">
        <v>1E-3</v>
      </c>
      <c r="CG749" s="1">
        <v>1E-3</v>
      </c>
      <c r="CH749" s="1">
        <v>2E-3</v>
      </c>
      <c r="CI749" s="1">
        <v>2E-3</v>
      </c>
      <c r="CJ749" s="1">
        <v>2E-3</v>
      </c>
      <c r="CK749" s="1">
        <v>0.38700000000000001</v>
      </c>
      <c r="CL749" s="1">
        <v>3.7999999999999999E-2</v>
      </c>
      <c r="CM749" s="1">
        <v>-46.724202519999999</v>
      </c>
      <c r="CN749" s="83">
        <v>-10.51152594</v>
      </c>
    </row>
    <row r="750" spans="1:92" s="3" customFormat="1" x14ac:dyDescent="0.25">
      <c r="A750" s="72">
        <v>870</v>
      </c>
      <c r="B750" s="81" t="s">
        <v>1101</v>
      </c>
      <c r="C750" s="1" t="s">
        <v>83</v>
      </c>
      <c r="D750" s="1" t="s">
        <v>73</v>
      </c>
      <c r="E750" s="1" t="s">
        <v>99</v>
      </c>
      <c r="F750" s="1" t="s">
        <v>128</v>
      </c>
      <c r="G750" s="1" t="s">
        <v>371</v>
      </c>
      <c r="H750" s="1" t="s">
        <v>570</v>
      </c>
      <c r="I750" s="1"/>
      <c r="J750" s="9" t="s">
        <v>544</v>
      </c>
      <c r="K750" s="10">
        <v>0.40634183333333301</v>
      </c>
      <c r="L750" s="1" t="s">
        <v>593</v>
      </c>
      <c r="M750" s="1" t="s">
        <v>506</v>
      </c>
      <c r="N750" s="96" t="s">
        <v>647</v>
      </c>
      <c r="O750" s="1" t="s">
        <v>68</v>
      </c>
      <c r="P750" s="82">
        <v>0.96499999999999997</v>
      </c>
      <c r="Q750" s="1" t="s">
        <v>76</v>
      </c>
      <c r="R750" s="81" t="s">
        <v>87</v>
      </c>
      <c r="S750" s="1">
        <v>3</v>
      </c>
      <c r="T750" s="1" t="s">
        <v>78</v>
      </c>
      <c r="U750" s="1" t="s">
        <v>658</v>
      </c>
      <c r="V750" s="1" t="s">
        <v>655</v>
      </c>
      <c r="W750" s="1">
        <v>44</v>
      </c>
      <c r="X750" s="1" t="s">
        <v>423</v>
      </c>
      <c r="Y750" s="1" t="s">
        <v>647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3.0000000000000001E-3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2.4E-2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0.96499999999999997</v>
      </c>
      <c r="CL750" s="1">
        <v>0</v>
      </c>
      <c r="CM750" s="1">
        <v>39.135036730000003</v>
      </c>
      <c r="CN750" s="83">
        <v>-22.516466510000001</v>
      </c>
    </row>
    <row r="751" spans="1:92" s="3" customFormat="1" x14ac:dyDescent="0.25">
      <c r="A751" s="72">
        <v>785</v>
      </c>
      <c r="B751" s="81" t="s">
        <v>814</v>
      </c>
      <c r="C751" s="1" t="s">
        <v>83</v>
      </c>
      <c r="D751" s="1" t="s">
        <v>73</v>
      </c>
      <c r="E751" s="1" t="s">
        <v>74</v>
      </c>
      <c r="F751" s="1" t="s">
        <v>128</v>
      </c>
      <c r="G751" s="1" t="s">
        <v>166</v>
      </c>
      <c r="H751" s="1" t="s">
        <v>535</v>
      </c>
      <c r="I751" s="1"/>
      <c r="J751" s="9" t="s">
        <v>506</v>
      </c>
      <c r="K751" s="10">
        <v>0.4847745</v>
      </c>
      <c r="L751" s="1" t="s">
        <v>641</v>
      </c>
      <c r="M751" s="1" t="s">
        <v>76</v>
      </c>
      <c r="N751" s="1" t="s">
        <v>644</v>
      </c>
      <c r="O751" s="1" t="s">
        <v>33</v>
      </c>
      <c r="P751" s="82">
        <v>0.496</v>
      </c>
      <c r="Q751" s="1" t="s">
        <v>76</v>
      </c>
      <c r="R751" s="81" t="s">
        <v>87</v>
      </c>
      <c r="S751" s="1">
        <v>1</v>
      </c>
      <c r="T751" s="1" t="s">
        <v>78</v>
      </c>
      <c r="U751" s="1" t="s">
        <v>658</v>
      </c>
      <c r="V751" s="1" t="s">
        <v>655</v>
      </c>
      <c r="W751" s="1">
        <v>26</v>
      </c>
      <c r="X751" s="1" t="s">
        <v>167</v>
      </c>
      <c r="Y751" s="1" t="s">
        <v>644</v>
      </c>
      <c r="Z751" s="1">
        <v>1E-3</v>
      </c>
      <c r="AA751" s="1">
        <v>3.0000000000000001E-3</v>
      </c>
      <c r="AB751" s="1">
        <v>2E-3</v>
      </c>
      <c r="AC751" s="1">
        <v>1.0999999999999999E-2</v>
      </c>
      <c r="AD751" s="1">
        <v>2E-3</v>
      </c>
      <c r="AE751" s="1">
        <v>5.0000000000000001E-3</v>
      </c>
      <c r="AF751" s="1">
        <v>3.0000000000000001E-3</v>
      </c>
      <c r="AG751" s="1">
        <v>0</v>
      </c>
      <c r="AH751" s="1">
        <v>8.0000000000000002E-3</v>
      </c>
      <c r="AI751" s="1">
        <v>1E-3</v>
      </c>
      <c r="AJ751" s="1">
        <v>6.0000000000000001E-3</v>
      </c>
      <c r="AK751" s="1">
        <v>1.7999999999999999E-2</v>
      </c>
      <c r="AL751" s="1">
        <v>1E-3</v>
      </c>
      <c r="AM751" s="1">
        <v>2E-3</v>
      </c>
      <c r="AN751" s="1">
        <v>4.0000000000000001E-3</v>
      </c>
      <c r="AO751" s="1">
        <v>3.0000000000000001E-3</v>
      </c>
      <c r="AP751" s="1">
        <v>2E-3</v>
      </c>
      <c r="AQ751" s="1">
        <v>1E-3</v>
      </c>
      <c r="AR751" s="1">
        <v>3.0000000000000001E-3</v>
      </c>
      <c r="AS751" s="1">
        <v>8.0000000000000002E-3</v>
      </c>
      <c r="AT751" s="1">
        <v>4.0000000000000001E-3</v>
      </c>
      <c r="AU751" s="1">
        <v>1.0999999999999999E-2</v>
      </c>
      <c r="AV751" s="1">
        <v>2E-3</v>
      </c>
      <c r="AW751" s="1">
        <v>3.0000000000000001E-3</v>
      </c>
      <c r="AX751" s="1">
        <v>2E-3</v>
      </c>
      <c r="AY751" s="1">
        <v>4.0000000000000001E-3</v>
      </c>
      <c r="AZ751" s="1">
        <v>4.0000000000000001E-3</v>
      </c>
      <c r="BA751" s="1">
        <v>8.9999999999999993E-3</v>
      </c>
      <c r="BB751" s="1">
        <v>0.496</v>
      </c>
      <c r="BC751" s="1">
        <v>2E-3</v>
      </c>
      <c r="BD751" s="1">
        <v>1.0999999999999999E-2</v>
      </c>
      <c r="BE751" s="1">
        <v>2E-3</v>
      </c>
      <c r="BF751" s="1">
        <v>1E-3</v>
      </c>
      <c r="BG751" s="1">
        <v>2E-3</v>
      </c>
      <c r="BH751" s="1">
        <v>2E-3</v>
      </c>
      <c r="BI751" s="1">
        <v>1E-3</v>
      </c>
      <c r="BJ751" s="1">
        <v>1E-3</v>
      </c>
      <c r="BK751" s="1">
        <v>1E-3</v>
      </c>
      <c r="BL751" s="1">
        <v>4.0000000000000001E-3</v>
      </c>
      <c r="BM751" s="1">
        <v>2E-3</v>
      </c>
      <c r="BN751" s="1">
        <v>3.0000000000000001E-3</v>
      </c>
      <c r="BO751" s="1">
        <v>0.02</v>
      </c>
      <c r="BP751" s="1">
        <v>1E-3</v>
      </c>
      <c r="BQ751" s="1">
        <v>6.0000000000000001E-3</v>
      </c>
      <c r="BR751" s="1">
        <v>2E-3</v>
      </c>
      <c r="BS751" s="1">
        <v>4.0000000000000001E-3</v>
      </c>
      <c r="BT751" s="1">
        <v>2E-3</v>
      </c>
      <c r="BU751" s="1">
        <v>5.0000000000000001E-3</v>
      </c>
      <c r="BV751" s="1">
        <v>1.0999999999999999E-2</v>
      </c>
      <c r="BW751" s="1">
        <v>4.0000000000000001E-3</v>
      </c>
      <c r="BX751" s="1">
        <v>0.192</v>
      </c>
      <c r="BY751" s="1">
        <v>6.0000000000000001E-3</v>
      </c>
      <c r="BZ751" s="1">
        <v>5.0000000000000001E-3</v>
      </c>
      <c r="CA751" s="1">
        <v>3.0000000000000001E-3</v>
      </c>
      <c r="CB751" s="1">
        <v>1E-3</v>
      </c>
      <c r="CC751" s="1">
        <v>3.0000000000000001E-3</v>
      </c>
      <c r="CD751" s="1">
        <v>0</v>
      </c>
      <c r="CE751" s="1">
        <v>2E-3</v>
      </c>
      <c r="CF751" s="1">
        <v>2E-3</v>
      </c>
      <c r="CG751" s="1">
        <v>3.0000000000000001E-3</v>
      </c>
      <c r="CH751" s="1">
        <v>5.0000000000000001E-3</v>
      </c>
      <c r="CI751" s="1">
        <v>4.0000000000000001E-3</v>
      </c>
      <c r="CJ751" s="1">
        <v>5.0000000000000001E-3</v>
      </c>
      <c r="CK751" s="1">
        <v>5.7000000000000002E-2</v>
      </c>
      <c r="CL751" s="1">
        <v>7.0000000000000001E-3</v>
      </c>
      <c r="CM751" s="1">
        <v>0.31997344900000002</v>
      </c>
      <c r="CN751" s="83">
        <v>23.110220949999999</v>
      </c>
    </row>
    <row r="752" spans="1:92" s="3" customFormat="1" x14ac:dyDescent="0.25">
      <c r="A752" s="72">
        <v>786</v>
      </c>
      <c r="B752" s="81" t="s">
        <v>1698</v>
      </c>
      <c r="C752" s="1" t="s">
        <v>83</v>
      </c>
      <c r="D752" s="1" t="s">
        <v>73</v>
      </c>
      <c r="E752" s="1" t="s">
        <v>74</v>
      </c>
      <c r="F752" s="1" t="s">
        <v>267</v>
      </c>
      <c r="G752" s="1" t="s">
        <v>424</v>
      </c>
      <c r="H752" s="1" t="s">
        <v>13</v>
      </c>
      <c r="I752" s="1"/>
      <c r="J752" s="9" t="s">
        <v>544</v>
      </c>
      <c r="K752" s="10">
        <v>0.33132200000000001</v>
      </c>
      <c r="L752" s="1" t="s">
        <v>76</v>
      </c>
      <c r="M752" s="1" t="s">
        <v>506</v>
      </c>
      <c r="N752" s="1" t="s">
        <v>645</v>
      </c>
      <c r="O752" s="1" t="s">
        <v>13</v>
      </c>
      <c r="P752" s="82">
        <v>0.995</v>
      </c>
      <c r="Q752" s="1" t="s">
        <v>76</v>
      </c>
      <c r="R752" s="81" t="s">
        <v>425</v>
      </c>
      <c r="S752" s="1" t="s">
        <v>424</v>
      </c>
      <c r="T752" s="1" t="s">
        <v>78</v>
      </c>
      <c r="U752" s="1" t="s">
        <v>658</v>
      </c>
      <c r="V752" s="1" t="s">
        <v>655</v>
      </c>
      <c r="W752" s="1" t="s">
        <v>424</v>
      </c>
      <c r="X752" s="1" t="s">
        <v>434</v>
      </c>
      <c r="Y752" s="1" t="s">
        <v>645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0.995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-26.558897160000001</v>
      </c>
      <c r="CN752" s="83">
        <v>-109.31248239999999</v>
      </c>
    </row>
    <row r="753" spans="1:92" s="3" customFormat="1" hidden="1" x14ac:dyDescent="0.25">
      <c r="A753" s="72">
        <v>787</v>
      </c>
      <c r="B753" s="81" t="s">
        <v>1649</v>
      </c>
      <c r="C753" s="1" t="s">
        <v>83</v>
      </c>
      <c r="D753" s="1" t="s">
        <v>73</v>
      </c>
      <c r="E753" s="1" t="s">
        <v>99</v>
      </c>
      <c r="F753" s="1" t="s">
        <v>426</v>
      </c>
      <c r="G753" s="1" t="s">
        <v>76</v>
      </c>
      <c r="H753" s="1" t="s">
        <v>537</v>
      </c>
      <c r="I753" s="1"/>
      <c r="J753" s="9" t="s">
        <v>544</v>
      </c>
      <c r="K753" s="10">
        <v>0.28937883333333397</v>
      </c>
      <c r="L753" s="1" t="s">
        <v>641</v>
      </c>
      <c r="M753" s="1" t="s">
        <v>76</v>
      </c>
      <c r="N753" s="1" t="s">
        <v>644</v>
      </c>
      <c r="O753" s="1" t="s">
        <v>37</v>
      </c>
      <c r="P753" s="82">
        <v>0.498</v>
      </c>
      <c r="Q753" s="1" t="s">
        <v>76</v>
      </c>
      <c r="R753" s="81" t="s">
        <v>87</v>
      </c>
      <c r="S753" s="1" t="s">
        <v>76</v>
      </c>
      <c r="T753" s="1" t="s">
        <v>76</v>
      </c>
      <c r="U753" s="1" t="s">
        <v>76</v>
      </c>
      <c r="V753" s="1" t="s">
        <v>655</v>
      </c>
      <c r="W753" s="1">
        <v>54</v>
      </c>
      <c r="X753" s="1" t="s">
        <v>76</v>
      </c>
      <c r="Y753" s="1" t="s">
        <v>644</v>
      </c>
      <c r="Z753" s="1">
        <v>8.0000000000000002E-3</v>
      </c>
      <c r="AA753" s="1">
        <v>1E-3</v>
      </c>
      <c r="AB753" s="1">
        <v>2E-3</v>
      </c>
      <c r="AC753" s="1">
        <v>3.5000000000000003E-2</v>
      </c>
      <c r="AD753" s="1">
        <v>5.0000000000000001E-3</v>
      </c>
      <c r="AE753" s="1">
        <v>3.0000000000000001E-3</v>
      </c>
      <c r="AF753" s="1">
        <v>2E-3</v>
      </c>
      <c r="AG753" s="1">
        <v>0</v>
      </c>
      <c r="AH753" s="1">
        <v>1.4E-2</v>
      </c>
      <c r="AI753" s="1">
        <v>6.0000000000000001E-3</v>
      </c>
      <c r="AJ753" s="1">
        <v>3.0000000000000001E-3</v>
      </c>
      <c r="AK753" s="1">
        <v>3.0000000000000001E-3</v>
      </c>
      <c r="AL753" s="1">
        <v>0</v>
      </c>
      <c r="AM753" s="1">
        <v>2E-3</v>
      </c>
      <c r="AN753" s="1">
        <v>0.254</v>
      </c>
      <c r="AO753" s="1">
        <v>1E-3</v>
      </c>
      <c r="AP753" s="1">
        <v>1E-3</v>
      </c>
      <c r="AQ753" s="1">
        <v>1E-3</v>
      </c>
      <c r="AR753" s="1">
        <v>1E-3</v>
      </c>
      <c r="AS753" s="1">
        <v>3.0000000000000001E-3</v>
      </c>
      <c r="AT753" s="1">
        <v>2E-3</v>
      </c>
      <c r="AU753" s="1">
        <v>1E-3</v>
      </c>
      <c r="AV753" s="1">
        <v>7.0000000000000001E-3</v>
      </c>
      <c r="AW753" s="1">
        <v>1E-3</v>
      </c>
      <c r="AX753" s="1">
        <v>1E-3</v>
      </c>
      <c r="AY753" s="1">
        <v>3.0000000000000001E-3</v>
      </c>
      <c r="AZ753" s="1">
        <v>4.0000000000000001E-3</v>
      </c>
      <c r="BA753" s="1">
        <v>7.0000000000000001E-3</v>
      </c>
      <c r="BB753" s="1">
        <v>1E-3</v>
      </c>
      <c r="BC753" s="1">
        <v>1E-3</v>
      </c>
      <c r="BD753" s="1">
        <v>1.2999999999999999E-2</v>
      </c>
      <c r="BE753" s="1">
        <v>2E-3</v>
      </c>
      <c r="BF753" s="1">
        <v>0.498</v>
      </c>
      <c r="BG753" s="1">
        <v>0</v>
      </c>
      <c r="BH753" s="1">
        <v>8.0000000000000002E-3</v>
      </c>
      <c r="BI753" s="1">
        <v>1E-3</v>
      </c>
      <c r="BJ753" s="1">
        <v>1E-3</v>
      </c>
      <c r="BK753" s="1">
        <v>1E-3</v>
      </c>
      <c r="BL753" s="1">
        <v>2E-3</v>
      </c>
      <c r="BM753" s="1">
        <v>1E-3</v>
      </c>
      <c r="BN753" s="1">
        <v>2E-3</v>
      </c>
      <c r="BO753" s="1">
        <v>1E-3</v>
      </c>
      <c r="BP753" s="1">
        <v>0</v>
      </c>
      <c r="BQ753" s="1">
        <v>3.0000000000000001E-3</v>
      </c>
      <c r="BR753" s="1">
        <v>2E-3</v>
      </c>
      <c r="BS753" s="1">
        <v>1E-3</v>
      </c>
      <c r="BT753" s="1">
        <v>1E-3</v>
      </c>
      <c r="BU753" s="1">
        <v>3.3000000000000002E-2</v>
      </c>
      <c r="BV753" s="1">
        <v>1E-3</v>
      </c>
      <c r="BW753" s="1">
        <v>1E-3</v>
      </c>
      <c r="BX753" s="1">
        <v>1.2999999999999999E-2</v>
      </c>
      <c r="BY753" s="1">
        <v>5.0000000000000001E-3</v>
      </c>
      <c r="BZ753" s="1">
        <v>2E-3</v>
      </c>
      <c r="CA753" s="1">
        <v>2E-3</v>
      </c>
      <c r="CB753" s="1">
        <v>1E-3</v>
      </c>
      <c r="CC753" s="1">
        <v>2E-3</v>
      </c>
      <c r="CD753" s="1">
        <v>0</v>
      </c>
      <c r="CE753" s="1">
        <v>2E-3</v>
      </c>
      <c r="CF753" s="1">
        <v>2E-3</v>
      </c>
      <c r="CG753" s="1">
        <v>3.0000000000000001E-3</v>
      </c>
      <c r="CH753" s="1">
        <v>2E-3</v>
      </c>
      <c r="CI753" s="1">
        <v>3.0000000000000001E-3</v>
      </c>
      <c r="CJ753" s="1">
        <v>4.0000000000000001E-3</v>
      </c>
      <c r="CK753" s="1">
        <v>4.0000000000000001E-3</v>
      </c>
      <c r="CL753" s="1">
        <v>5.0000000000000001E-3</v>
      </c>
      <c r="CM753" s="1">
        <v>-23.50808615</v>
      </c>
      <c r="CN753" s="83">
        <v>-38.234897429999997</v>
      </c>
    </row>
    <row r="754" spans="1:92" s="3" customFormat="1" x14ac:dyDescent="0.25">
      <c r="A754" s="72">
        <v>788</v>
      </c>
      <c r="B754" s="81" t="s">
        <v>806</v>
      </c>
      <c r="C754" s="1" t="s">
        <v>83</v>
      </c>
      <c r="D754" s="1" t="s">
        <v>73</v>
      </c>
      <c r="E754" s="1" t="s">
        <v>99</v>
      </c>
      <c r="F754" s="1" t="s">
        <v>128</v>
      </c>
      <c r="G754" s="1" t="s">
        <v>166</v>
      </c>
      <c r="H754" s="1" t="s">
        <v>535</v>
      </c>
      <c r="I754" s="1"/>
      <c r="J754" s="9" t="s">
        <v>506</v>
      </c>
      <c r="K754" s="10">
        <v>0.32463666666666602</v>
      </c>
      <c r="L754" s="1" t="s">
        <v>641</v>
      </c>
      <c r="M754" s="1" t="s">
        <v>76</v>
      </c>
      <c r="N754" s="1" t="s">
        <v>644</v>
      </c>
      <c r="O754" s="1" t="s">
        <v>19</v>
      </c>
      <c r="P754" s="82">
        <v>0.29599999999999999</v>
      </c>
      <c r="Q754" s="1" t="s">
        <v>76</v>
      </c>
      <c r="R754" s="81" t="s">
        <v>87</v>
      </c>
      <c r="S754" s="1">
        <v>1</v>
      </c>
      <c r="T754" s="1" t="s">
        <v>78</v>
      </c>
      <c r="U754" s="1" t="s">
        <v>658</v>
      </c>
      <c r="V754" s="1" t="s">
        <v>655</v>
      </c>
      <c r="W754" s="1">
        <v>20</v>
      </c>
      <c r="X754" s="1" t="s">
        <v>167</v>
      </c>
      <c r="Y754" s="1" t="s">
        <v>644</v>
      </c>
      <c r="Z754" s="1">
        <v>2.3E-2</v>
      </c>
      <c r="AA754" s="1">
        <v>3.0000000000000001E-3</v>
      </c>
      <c r="AB754" s="1">
        <v>3.0000000000000001E-3</v>
      </c>
      <c r="AC754" s="1">
        <v>5.0000000000000001E-3</v>
      </c>
      <c r="AD754" s="1">
        <v>7.0000000000000001E-3</v>
      </c>
      <c r="AE754" s="1">
        <v>5.0000000000000001E-3</v>
      </c>
      <c r="AF754" s="1">
        <v>4.0000000000000001E-3</v>
      </c>
      <c r="AG754" s="1">
        <v>0</v>
      </c>
      <c r="AH754" s="1">
        <v>1.9E-2</v>
      </c>
      <c r="AI754" s="1">
        <v>1E-3</v>
      </c>
      <c r="AJ754" s="1">
        <v>0.17499999999999999</v>
      </c>
      <c r="AK754" s="1">
        <v>4.0000000000000001E-3</v>
      </c>
      <c r="AL754" s="1">
        <v>0</v>
      </c>
      <c r="AM754" s="1">
        <v>4.0000000000000001E-3</v>
      </c>
      <c r="AN754" s="1">
        <v>0.29599999999999999</v>
      </c>
      <c r="AO754" s="1">
        <v>2E-3</v>
      </c>
      <c r="AP754" s="1">
        <v>2E-3</v>
      </c>
      <c r="AQ754" s="1">
        <v>2E-3</v>
      </c>
      <c r="AR754" s="1">
        <v>1.0999999999999999E-2</v>
      </c>
      <c r="AS754" s="1">
        <v>6.0000000000000001E-3</v>
      </c>
      <c r="AT754" s="1">
        <v>3.0000000000000001E-3</v>
      </c>
      <c r="AU754" s="1">
        <v>4.0000000000000001E-3</v>
      </c>
      <c r="AV754" s="1">
        <v>8.0000000000000002E-3</v>
      </c>
      <c r="AW754" s="1">
        <v>2E-3</v>
      </c>
      <c r="AX754" s="1">
        <v>7.0000000000000001E-3</v>
      </c>
      <c r="AY754" s="1">
        <v>5.0000000000000001E-3</v>
      </c>
      <c r="AZ754" s="1">
        <v>1.2999999999999999E-2</v>
      </c>
      <c r="BA754" s="1">
        <v>1.2E-2</v>
      </c>
      <c r="BB754" s="1">
        <v>4.0000000000000001E-3</v>
      </c>
      <c r="BC754" s="1">
        <v>2E-3</v>
      </c>
      <c r="BD754" s="1">
        <v>0.02</v>
      </c>
      <c r="BE754" s="1">
        <v>2E-3</v>
      </c>
      <c r="BF754" s="1">
        <v>3.0000000000000001E-3</v>
      </c>
      <c r="BG754" s="1">
        <v>0</v>
      </c>
      <c r="BH754" s="1">
        <v>1E-3</v>
      </c>
      <c r="BI754" s="1">
        <v>1E-3</v>
      </c>
      <c r="BJ754" s="1">
        <v>1.2E-2</v>
      </c>
      <c r="BK754" s="1">
        <v>1E-3</v>
      </c>
      <c r="BL754" s="1">
        <v>2E-3</v>
      </c>
      <c r="BM754" s="1">
        <v>2E-3</v>
      </c>
      <c r="BN754" s="1">
        <v>3.0000000000000001E-3</v>
      </c>
      <c r="BO754" s="1">
        <v>4.0000000000000001E-3</v>
      </c>
      <c r="BP754" s="1">
        <v>3.0000000000000001E-3</v>
      </c>
      <c r="BQ754" s="1">
        <v>3.0000000000000001E-3</v>
      </c>
      <c r="BR754" s="1">
        <v>2E-3</v>
      </c>
      <c r="BS754" s="1">
        <v>6.0000000000000001E-3</v>
      </c>
      <c r="BT754" s="1">
        <v>2E-3</v>
      </c>
      <c r="BU754" s="1">
        <v>0.10299999999999999</v>
      </c>
      <c r="BV754" s="1">
        <v>4.0000000000000001E-3</v>
      </c>
      <c r="BW754" s="1">
        <v>3.0000000000000001E-3</v>
      </c>
      <c r="BX754" s="1">
        <v>2.5000000000000001E-2</v>
      </c>
      <c r="BY754" s="1">
        <v>6.0000000000000001E-3</v>
      </c>
      <c r="BZ754" s="1">
        <v>8.9999999999999993E-3</v>
      </c>
      <c r="CA754" s="1">
        <v>3.0000000000000001E-3</v>
      </c>
      <c r="CB754" s="1">
        <v>2E-3</v>
      </c>
      <c r="CC754" s="1">
        <v>3.0000000000000001E-3</v>
      </c>
      <c r="CD754" s="1">
        <v>0</v>
      </c>
      <c r="CE754" s="1">
        <v>2E-3</v>
      </c>
      <c r="CF754" s="1">
        <v>2E-3</v>
      </c>
      <c r="CG754" s="1">
        <v>4.0000000000000001E-3</v>
      </c>
      <c r="CH754" s="1">
        <v>4.0000000000000001E-3</v>
      </c>
      <c r="CI754" s="1">
        <v>3.0000000000000001E-3</v>
      </c>
      <c r="CJ754" s="1">
        <v>4.0000000000000001E-3</v>
      </c>
      <c r="CK754" s="1">
        <v>4.3999999999999997E-2</v>
      </c>
      <c r="CL754" s="1">
        <v>8.1000000000000003E-2</v>
      </c>
      <c r="CM754" s="1">
        <v>-23.255791779999999</v>
      </c>
      <c r="CN754" s="83">
        <v>-13.18666662</v>
      </c>
    </row>
    <row r="755" spans="1:92" s="3" customFormat="1" x14ac:dyDescent="0.25">
      <c r="A755" s="72">
        <v>789</v>
      </c>
      <c r="B755" s="81" t="s">
        <v>1021</v>
      </c>
      <c r="C755" s="1" t="s">
        <v>83</v>
      </c>
      <c r="D755" s="1" t="s">
        <v>73</v>
      </c>
      <c r="E755" s="1" t="s">
        <v>99</v>
      </c>
      <c r="F755" s="1" t="s">
        <v>128</v>
      </c>
      <c r="G755" s="1" t="s">
        <v>422</v>
      </c>
      <c r="H755" s="1" t="s">
        <v>570</v>
      </c>
      <c r="I755" s="1"/>
      <c r="J755" s="9" t="s">
        <v>544</v>
      </c>
      <c r="K755" s="10">
        <v>0.55066950000000103</v>
      </c>
      <c r="L755" s="1" t="s">
        <v>76</v>
      </c>
      <c r="M755" s="1" t="s">
        <v>506</v>
      </c>
      <c r="N755" s="1" t="s">
        <v>645</v>
      </c>
      <c r="O755" s="1" t="s">
        <v>55</v>
      </c>
      <c r="P755" s="82">
        <v>0.97199999999999998</v>
      </c>
      <c r="Q755" s="1" t="s">
        <v>76</v>
      </c>
      <c r="R755" s="81" t="s">
        <v>427</v>
      </c>
      <c r="S755" s="1">
        <v>3</v>
      </c>
      <c r="T755" s="1" t="s">
        <v>78</v>
      </c>
      <c r="U755" s="1" t="s">
        <v>658</v>
      </c>
      <c r="V755" s="1" t="s">
        <v>655</v>
      </c>
      <c r="W755" s="1">
        <v>13</v>
      </c>
      <c r="X755" s="1" t="s">
        <v>423</v>
      </c>
      <c r="Y755" s="1" t="s">
        <v>645</v>
      </c>
      <c r="Z755" s="1">
        <v>0</v>
      </c>
      <c r="AA755" s="1">
        <v>0</v>
      </c>
      <c r="AB755" s="1">
        <v>0</v>
      </c>
      <c r="AC755" s="1">
        <v>1E-3</v>
      </c>
      <c r="AD755" s="1">
        <v>0</v>
      </c>
      <c r="AE755" s="1">
        <v>0</v>
      </c>
      <c r="AF755" s="1">
        <v>0</v>
      </c>
      <c r="AG755" s="1">
        <v>0</v>
      </c>
      <c r="AH755" s="1">
        <v>1E-3</v>
      </c>
      <c r="AI755" s="1">
        <v>0</v>
      </c>
      <c r="AJ755" s="1">
        <v>0</v>
      </c>
      <c r="AK755" s="1">
        <v>1E-3</v>
      </c>
      <c r="AL755" s="1">
        <v>1E-3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1E-3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1E-3</v>
      </c>
      <c r="BB755" s="1">
        <v>3.0000000000000001E-3</v>
      </c>
      <c r="BC755" s="1">
        <v>0</v>
      </c>
      <c r="BD755" s="1">
        <v>1E-3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1E-3</v>
      </c>
      <c r="BM755" s="1">
        <v>0</v>
      </c>
      <c r="BN755" s="1">
        <v>0</v>
      </c>
      <c r="BO755" s="1">
        <v>0</v>
      </c>
      <c r="BP755" s="1">
        <v>0</v>
      </c>
      <c r="BQ755" s="1">
        <v>6.0000000000000001E-3</v>
      </c>
      <c r="BR755" s="1">
        <v>0</v>
      </c>
      <c r="BS755" s="1">
        <v>0</v>
      </c>
      <c r="BT755" s="1">
        <v>0</v>
      </c>
      <c r="BU755" s="1">
        <v>0</v>
      </c>
      <c r="BV755" s="1">
        <v>1E-3</v>
      </c>
      <c r="BW755" s="1">
        <v>0</v>
      </c>
      <c r="BX755" s="1">
        <v>0.97199999999999998</v>
      </c>
      <c r="BY755" s="1">
        <v>1E-3</v>
      </c>
      <c r="BZ755" s="1">
        <v>1E-3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1E-3</v>
      </c>
      <c r="CL755" s="1">
        <v>0</v>
      </c>
      <c r="CM755" s="1">
        <v>30.47628941</v>
      </c>
      <c r="CN755" s="83">
        <v>40.535941909999998</v>
      </c>
    </row>
    <row r="756" spans="1:92" s="3" customFormat="1" x14ac:dyDescent="0.25">
      <c r="A756" s="72">
        <v>790</v>
      </c>
      <c r="B756" s="81" t="s">
        <v>1011</v>
      </c>
      <c r="C756" s="1" t="s">
        <v>83</v>
      </c>
      <c r="D756" s="1" t="s">
        <v>73</v>
      </c>
      <c r="E756" s="1" t="s">
        <v>99</v>
      </c>
      <c r="F756" s="1" t="s">
        <v>128</v>
      </c>
      <c r="G756" s="1" t="s">
        <v>303</v>
      </c>
      <c r="H756" s="1" t="s">
        <v>570</v>
      </c>
      <c r="I756" s="1"/>
      <c r="J756" s="9" t="s">
        <v>544</v>
      </c>
      <c r="K756" s="10">
        <v>0.463625333333332</v>
      </c>
      <c r="L756" s="1" t="s">
        <v>76</v>
      </c>
      <c r="M756" s="1" t="s">
        <v>506</v>
      </c>
      <c r="N756" s="1" t="s">
        <v>645</v>
      </c>
      <c r="O756" s="1" t="s">
        <v>55</v>
      </c>
      <c r="P756" s="82">
        <v>1</v>
      </c>
      <c r="Q756" s="1" t="s">
        <v>76</v>
      </c>
      <c r="R756" s="81" t="s">
        <v>427</v>
      </c>
      <c r="S756" s="1">
        <v>3</v>
      </c>
      <c r="T756" s="1" t="s">
        <v>78</v>
      </c>
      <c r="U756" s="1" t="s">
        <v>658</v>
      </c>
      <c r="V756" s="1" t="s">
        <v>655</v>
      </c>
      <c r="W756" s="1">
        <v>11</v>
      </c>
      <c r="X756" s="1" t="s">
        <v>423</v>
      </c>
      <c r="Y756" s="1" t="s">
        <v>645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1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58.840383529999997</v>
      </c>
      <c r="CN756" s="83">
        <v>17.60898173</v>
      </c>
    </row>
    <row r="757" spans="1:92" s="3" customFormat="1" x14ac:dyDescent="0.25">
      <c r="A757" s="72">
        <v>791</v>
      </c>
      <c r="B757" s="81" t="s">
        <v>857</v>
      </c>
      <c r="C757" s="1" t="s">
        <v>83</v>
      </c>
      <c r="D757" s="1" t="s">
        <v>73</v>
      </c>
      <c r="E757" s="1" t="s">
        <v>99</v>
      </c>
      <c r="F757" s="1" t="s">
        <v>128</v>
      </c>
      <c r="G757" s="1" t="s">
        <v>303</v>
      </c>
      <c r="H757" s="1" t="s">
        <v>570</v>
      </c>
      <c r="I757" s="1"/>
      <c r="J757" s="9" t="s">
        <v>544</v>
      </c>
      <c r="K757" s="10">
        <v>0.58447833333333399</v>
      </c>
      <c r="L757" s="1" t="s">
        <v>641</v>
      </c>
      <c r="M757" s="1" t="s">
        <v>76</v>
      </c>
      <c r="N757" s="1" t="s">
        <v>644</v>
      </c>
      <c r="O757" s="1" t="s">
        <v>68</v>
      </c>
      <c r="P757" s="82">
        <v>0.108</v>
      </c>
      <c r="Q757" s="1" t="s">
        <v>76</v>
      </c>
      <c r="R757" s="81" t="s">
        <v>428</v>
      </c>
      <c r="S757" s="1">
        <v>3</v>
      </c>
      <c r="T757" s="1" t="s">
        <v>78</v>
      </c>
      <c r="U757" s="1" t="s">
        <v>658</v>
      </c>
      <c r="V757" s="1" t="s">
        <v>655</v>
      </c>
      <c r="W757" s="1">
        <v>62</v>
      </c>
      <c r="X757" s="1" t="s">
        <v>423</v>
      </c>
      <c r="Y757" s="1" t="s">
        <v>644</v>
      </c>
      <c r="Z757" s="1">
        <v>2E-3</v>
      </c>
      <c r="AA757" s="1">
        <v>6.0000000000000001E-3</v>
      </c>
      <c r="AB757" s="1">
        <v>5.0000000000000001E-3</v>
      </c>
      <c r="AC757" s="1">
        <v>5.2999999999999999E-2</v>
      </c>
      <c r="AD757" s="1">
        <v>5.0000000000000001E-3</v>
      </c>
      <c r="AE757" s="1">
        <v>5.0000000000000001E-3</v>
      </c>
      <c r="AF757" s="1">
        <v>6.0000000000000001E-3</v>
      </c>
      <c r="AG757" s="1">
        <v>1E-3</v>
      </c>
      <c r="AH757" s="1">
        <v>1.7000000000000001E-2</v>
      </c>
      <c r="AI757" s="1">
        <v>2E-3</v>
      </c>
      <c r="AJ757" s="1">
        <v>3.0000000000000001E-3</v>
      </c>
      <c r="AK757" s="1">
        <v>3.2000000000000001E-2</v>
      </c>
      <c r="AL757" s="1">
        <v>1E-3</v>
      </c>
      <c r="AM757" s="1">
        <v>3.0000000000000001E-3</v>
      </c>
      <c r="AN757" s="1">
        <v>3.0000000000000001E-3</v>
      </c>
      <c r="AO757" s="1">
        <v>4.8000000000000001E-2</v>
      </c>
      <c r="AP757" s="1">
        <v>5.0000000000000001E-3</v>
      </c>
      <c r="AQ757" s="1">
        <v>3.0000000000000001E-3</v>
      </c>
      <c r="AR757" s="1">
        <v>3.0000000000000001E-3</v>
      </c>
      <c r="AS757" s="1">
        <v>3.5000000000000003E-2</v>
      </c>
      <c r="AT757" s="1">
        <v>0.03</v>
      </c>
      <c r="AU757" s="1">
        <v>6.0000000000000001E-3</v>
      </c>
      <c r="AV757" s="1">
        <v>3.0000000000000001E-3</v>
      </c>
      <c r="AW757" s="1">
        <v>1.2999999999999999E-2</v>
      </c>
      <c r="AX757" s="1">
        <v>4.0000000000000001E-3</v>
      </c>
      <c r="AY757" s="1">
        <v>8.9999999999999993E-3</v>
      </c>
      <c r="AZ757" s="1">
        <v>8.9999999999999993E-3</v>
      </c>
      <c r="BA757" s="1">
        <v>2.1000000000000001E-2</v>
      </c>
      <c r="BB757" s="1">
        <v>7.1999999999999995E-2</v>
      </c>
      <c r="BC757" s="1">
        <v>3.0000000000000001E-3</v>
      </c>
      <c r="BD757" s="1">
        <v>3.3000000000000002E-2</v>
      </c>
      <c r="BE757" s="1">
        <v>4.0000000000000001E-3</v>
      </c>
      <c r="BF757" s="1">
        <v>2E-3</v>
      </c>
      <c r="BG757" s="1">
        <v>8.0000000000000002E-3</v>
      </c>
      <c r="BH757" s="1">
        <v>5.0000000000000001E-3</v>
      </c>
      <c r="BI757" s="1">
        <v>6.0000000000000001E-3</v>
      </c>
      <c r="BJ757" s="1">
        <v>2E-3</v>
      </c>
      <c r="BK757" s="1">
        <v>3.0000000000000001E-3</v>
      </c>
      <c r="BL757" s="1">
        <v>1.2E-2</v>
      </c>
      <c r="BM757" s="1">
        <v>6.0000000000000001E-3</v>
      </c>
      <c r="BN757" s="1">
        <v>1.2E-2</v>
      </c>
      <c r="BO757" s="1">
        <v>4.0000000000000001E-3</v>
      </c>
      <c r="BP757" s="1">
        <v>2E-3</v>
      </c>
      <c r="BQ757" s="1">
        <v>1.9E-2</v>
      </c>
      <c r="BR757" s="1">
        <v>6.0000000000000001E-3</v>
      </c>
      <c r="BS757" s="1">
        <v>3.0000000000000001E-3</v>
      </c>
      <c r="BT757" s="1">
        <v>3.0000000000000001E-3</v>
      </c>
      <c r="BU757" s="1">
        <v>2E-3</v>
      </c>
      <c r="BV757" s="1">
        <v>5.8999999999999997E-2</v>
      </c>
      <c r="BW757" s="1">
        <v>1.4E-2</v>
      </c>
      <c r="BX757" s="1">
        <v>0.10100000000000001</v>
      </c>
      <c r="BY757" s="1">
        <v>1.9E-2</v>
      </c>
      <c r="BZ757" s="1">
        <v>0.01</v>
      </c>
      <c r="CA757" s="1">
        <v>7.0000000000000001E-3</v>
      </c>
      <c r="CB757" s="1">
        <v>2E-3</v>
      </c>
      <c r="CC757" s="1">
        <v>8.9999999999999993E-3</v>
      </c>
      <c r="CD757" s="1">
        <v>1E-3</v>
      </c>
      <c r="CE757" s="1">
        <v>6.0000000000000001E-3</v>
      </c>
      <c r="CF757" s="1">
        <v>5.0000000000000001E-3</v>
      </c>
      <c r="CG757" s="1">
        <v>2.8000000000000001E-2</v>
      </c>
      <c r="CH757" s="1">
        <v>1.2999999999999999E-2</v>
      </c>
      <c r="CI757" s="1">
        <v>1.4999999999999999E-2</v>
      </c>
      <c r="CJ757" s="1">
        <v>4.7E-2</v>
      </c>
      <c r="CK757" s="1">
        <v>0.108</v>
      </c>
      <c r="CL757" s="1">
        <v>1.7000000000000001E-2</v>
      </c>
      <c r="CM757" s="1">
        <v>35.008685649999997</v>
      </c>
      <c r="CN757" s="83">
        <v>37.598725160000001</v>
      </c>
    </row>
    <row r="758" spans="1:92" s="3" customFormat="1" x14ac:dyDescent="0.25">
      <c r="A758" s="72">
        <v>792</v>
      </c>
      <c r="B758" s="81" t="s">
        <v>1095</v>
      </c>
      <c r="C758" s="1" t="s">
        <v>83</v>
      </c>
      <c r="D758" s="1" t="s">
        <v>73</v>
      </c>
      <c r="E758" s="1" t="s">
        <v>74</v>
      </c>
      <c r="F758" s="1" t="s">
        <v>128</v>
      </c>
      <c r="G758" s="1" t="s">
        <v>310</v>
      </c>
      <c r="H758" s="1" t="s">
        <v>570</v>
      </c>
      <c r="I758" s="1"/>
      <c r="J758" s="9" t="s">
        <v>544</v>
      </c>
      <c r="K758" s="10">
        <v>0.348247166666666</v>
      </c>
      <c r="L758" s="1" t="s">
        <v>76</v>
      </c>
      <c r="M758" s="1" t="s">
        <v>506</v>
      </c>
      <c r="N758" s="1" t="s">
        <v>645</v>
      </c>
      <c r="O758" s="1" t="s">
        <v>55</v>
      </c>
      <c r="P758" s="82">
        <v>0.998</v>
      </c>
      <c r="Q758" s="1" t="s">
        <v>76</v>
      </c>
      <c r="R758" s="81" t="s">
        <v>77</v>
      </c>
      <c r="S758" s="1">
        <v>3</v>
      </c>
      <c r="T758" s="1" t="s">
        <v>78</v>
      </c>
      <c r="U758" s="1" t="s">
        <v>658</v>
      </c>
      <c r="V758" s="1" t="s">
        <v>655</v>
      </c>
      <c r="W758" s="1">
        <v>56</v>
      </c>
      <c r="X758" s="1" t="s">
        <v>423</v>
      </c>
      <c r="Y758" s="1" t="s">
        <v>645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0.998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24.878300299999999</v>
      </c>
      <c r="CN758" s="83">
        <v>6.5243042219999996</v>
      </c>
    </row>
    <row r="759" spans="1:92" s="3" customFormat="1" x14ac:dyDescent="0.25">
      <c r="A759" s="72">
        <v>793</v>
      </c>
      <c r="B759" s="81" t="s">
        <v>1105</v>
      </c>
      <c r="C759" s="1" t="s">
        <v>83</v>
      </c>
      <c r="D759" s="1" t="s">
        <v>73</v>
      </c>
      <c r="E759" s="1" t="s">
        <v>74</v>
      </c>
      <c r="F759" s="1" t="s">
        <v>128</v>
      </c>
      <c r="G759" s="1" t="s">
        <v>303</v>
      </c>
      <c r="H759" s="1" t="s">
        <v>570</v>
      </c>
      <c r="I759" s="1"/>
      <c r="J759" s="9" t="s">
        <v>544</v>
      </c>
      <c r="K759" s="10">
        <v>0.55678399999999895</v>
      </c>
      <c r="L759" s="1" t="s">
        <v>76</v>
      </c>
      <c r="M759" s="1" t="s">
        <v>506</v>
      </c>
      <c r="N759" s="1" t="s">
        <v>645</v>
      </c>
      <c r="O759" s="1" t="s">
        <v>55</v>
      </c>
      <c r="P759" s="82">
        <v>1</v>
      </c>
      <c r="Q759" s="1" t="s">
        <v>76</v>
      </c>
      <c r="R759" s="81" t="s">
        <v>428</v>
      </c>
      <c r="S759" s="1">
        <v>3</v>
      </c>
      <c r="T759" s="1" t="s">
        <v>78</v>
      </c>
      <c r="U759" s="1" t="s">
        <v>658</v>
      </c>
      <c r="V759" s="1" t="s">
        <v>654</v>
      </c>
      <c r="W759" s="1">
        <v>13</v>
      </c>
      <c r="X759" s="1" t="s">
        <v>423</v>
      </c>
      <c r="Y759" s="1" t="s">
        <v>645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1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39.902586939999999</v>
      </c>
      <c r="CN759" s="83">
        <v>30.00324342</v>
      </c>
    </row>
    <row r="760" spans="1:92" s="3" customFormat="1" x14ac:dyDescent="0.25">
      <c r="A760" s="72">
        <v>794</v>
      </c>
      <c r="B760" s="81" t="s">
        <v>1696</v>
      </c>
      <c r="C760" s="1" t="s">
        <v>83</v>
      </c>
      <c r="D760" s="1" t="s">
        <v>73</v>
      </c>
      <c r="E760" s="1" t="s">
        <v>99</v>
      </c>
      <c r="F760" s="1" t="s">
        <v>267</v>
      </c>
      <c r="G760" s="1" t="s">
        <v>424</v>
      </c>
      <c r="H760" s="1" t="s">
        <v>13</v>
      </c>
      <c r="I760" s="1"/>
      <c r="J760" s="9" t="s">
        <v>544</v>
      </c>
      <c r="K760" s="10">
        <v>0.31134250000000002</v>
      </c>
      <c r="L760" s="1" t="s">
        <v>641</v>
      </c>
      <c r="M760" s="1" t="s">
        <v>76</v>
      </c>
      <c r="N760" s="1" t="s">
        <v>649</v>
      </c>
      <c r="O760" s="1" t="s">
        <v>13</v>
      </c>
      <c r="P760" s="82">
        <v>0.36899999999999999</v>
      </c>
      <c r="Q760" s="1" t="s">
        <v>76</v>
      </c>
      <c r="R760" s="81" t="s">
        <v>425</v>
      </c>
      <c r="S760" s="1" t="s">
        <v>424</v>
      </c>
      <c r="T760" s="1" t="s">
        <v>78</v>
      </c>
      <c r="U760" s="1" t="s">
        <v>658</v>
      </c>
      <c r="V760" s="1" t="s">
        <v>655</v>
      </c>
      <c r="W760" s="1" t="s">
        <v>424</v>
      </c>
      <c r="X760" s="1" t="s">
        <v>434</v>
      </c>
      <c r="Y760" s="1" t="s">
        <v>649</v>
      </c>
      <c r="Z760" s="1">
        <v>8.0000000000000002E-3</v>
      </c>
      <c r="AA760" s="1">
        <v>3.0000000000000001E-3</v>
      </c>
      <c r="AB760" s="1">
        <v>3.0000000000000001E-3</v>
      </c>
      <c r="AC760" s="1">
        <v>1.2E-2</v>
      </c>
      <c r="AD760" s="1">
        <v>6.0000000000000001E-3</v>
      </c>
      <c r="AE760" s="1">
        <v>3.0000000000000001E-3</v>
      </c>
      <c r="AF760" s="1">
        <v>4.0000000000000001E-3</v>
      </c>
      <c r="AG760" s="1">
        <v>0</v>
      </c>
      <c r="AH760" s="1">
        <v>0.36899999999999999</v>
      </c>
      <c r="AI760" s="1">
        <v>3.7999999999999999E-2</v>
      </c>
      <c r="AJ760" s="1">
        <v>5.0000000000000001E-3</v>
      </c>
      <c r="AK760" s="1">
        <v>7.0000000000000001E-3</v>
      </c>
      <c r="AL760" s="1">
        <v>0</v>
      </c>
      <c r="AM760" s="1">
        <v>5.0000000000000001E-3</v>
      </c>
      <c r="AN760" s="1">
        <v>0.14499999999999999</v>
      </c>
      <c r="AO760" s="1">
        <v>2E-3</v>
      </c>
      <c r="AP760" s="1">
        <v>2E-3</v>
      </c>
      <c r="AQ760" s="1">
        <v>2E-3</v>
      </c>
      <c r="AR760" s="1">
        <v>1.2999999999999999E-2</v>
      </c>
      <c r="AS760" s="1">
        <v>7.0000000000000001E-3</v>
      </c>
      <c r="AT760" s="1">
        <v>4.0000000000000001E-3</v>
      </c>
      <c r="AU760" s="1">
        <v>5.0000000000000001E-3</v>
      </c>
      <c r="AV760" s="1">
        <v>5.0000000000000001E-3</v>
      </c>
      <c r="AW760" s="1">
        <v>3.0000000000000001E-3</v>
      </c>
      <c r="AX760" s="1">
        <v>3.4000000000000002E-2</v>
      </c>
      <c r="AY760" s="1">
        <v>6.0000000000000001E-3</v>
      </c>
      <c r="AZ760" s="1">
        <v>1.0999999999999999E-2</v>
      </c>
      <c r="BA760" s="1">
        <v>1.4E-2</v>
      </c>
      <c r="BB760" s="1">
        <v>2E-3</v>
      </c>
      <c r="BC760" s="1">
        <v>2E-3</v>
      </c>
      <c r="BD760" s="1">
        <v>2.5000000000000001E-2</v>
      </c>
      <c r="BE760" s="1">
        <v>3.0000000000000001E-3</v>
      </c>
      <c r="BF760" s="1">
        <v>3.0000000000000001E-3</v>
      </c>
      <c r="BG760" s="1">
        <v>1E-3</v>
      </c>
      <c r="BH760" s="1">
        <v>2E-3</v>
      </c>
      <c r="BI760" s="1">
        <v>2E-3</v>
      </c>
      <c r="BJ760" s="1">
        <v>7.0000000000000001E-3</v>
      </c>
      <c r="BK760" s="1">
        <v>2E-3</v>
      </c>
      <c r="BL760" s="1">
        <v>4.0000000000000001E-3</v>
      </c>
      <c r="BM760" s="1">
        <v>3.0000000000000001E-3</v>
      </c>
      <c r="BN760" s="1">
        <v>5.0000000000000001E-3</v>
      </c>
      <c r="BO760" s="1">
        <v>2E-3</v>
      </c>
      <c r="BP760" s="1">
        <v>4.0000000000000001E-3</v>
      </c>
      <c r="BQ760" s="1">
        <v>5.0000000000000001E-3</v>
      </c>
      <c r="BR760" s="1">
        <v>5.0000000000000001E-3</v>
      </c>
      <c r="BS760" s="1">
        <v>5.0000000000000001E-3</v>
      </c>
      <c r="BT760" s="1">
        <v>2E-3</v>
      </c>
      <c r="BU760" s="1">
        <v>3.9E-2</v>
      </c>
      <c r="BV760" s="1">
        <v>2E-3</v>
      </c>
      <c r="BW760" s="1">
        <v>3.0000000000000001E-3</v>
      </c>
      <c r="BX760" s="1">
        <v>8.0000000000000002E-3</v>
      </c>
      <c r="BY760" s="1">
        <v>8.0000000000000002E-3</v>
      </c>
      <c r="BZ760" s="1">
        <v>1.0999999999999999E-2</v>
      </c>
      <c r="CA760" s="1">
        <v>5.0000000000000001E-3</v>
      </c>
      <c r="CB760" s="1">
        <v>4.0000000000000001E-3</v>
      </c>
      <c r="CC760" s="1">
        <v>5.0000000000000001E-3</v>
      </c>
      <c r="CD760" s="1">
        <v>0</v>
      </c>
      <c r="CE760" s="1">
        <v>3.0000000000000001E-3</v>
      </c>
      <c r="CF760" s="1">
        <v>3.0000000000000001E-3</v>
      </c>
      <c r="CG760" s="1">
        <v>1.2E-2</v>
      </c>
      <c r="CH760" s="1">
        <v>4.0000000000000001E-3</v>
      </c>
      <c r="CI760" s="1">
        <v>4.0000000000000001E-3</v>
      </c>
      <c r="CJ760" s="1">
        <v>8.9999999999999993E-3</v>
      </c>
      <c r="CK760" s="1">
        <v>3.3000000000000002E-2</v>
      </c>
      <c r="CL760" s="1">
        <v>4.7E-2</v>
      </c>
      <c r="CM760" s="1">
        <v>-28.725070720000002</v>
      </c>
      <c r="CN760" s="83">
        <v>-120.9749542</v>
      </c>
    </row>
    <row r="761" spans="1:92" s="3" customFormat="1" hidden="1" x14ac:dyDescent="0.25">
      <c r="A761" s="72">
        <v>795</v>
      </c>
      <c r="B761" s="81" t="s">
        <v>1645</v>
      </c>
      <c r="C761" s="1" t="s">
        <v>83</v>
      </c>
      <c r="D761" s="1" t="s">
        <v>73</v>
      </c>
      <c r="E761" s="1" t="s">
        <v>74</v>
      </c>
      <c r="F761" s="1" t="s">
        <v>426</v>
      </c>
      <c r="G761" s="1" t="s">
        <v>76</v>
      </c>
      <c r="H761" s="1" t="s">
        <v>537</v>
      </c>
      <c r="I761" s="1"/>
      <c r="J761" s="9" t="s">
        <v>544</v>
      </c>
      <c r="K761" s="10">
        <v>0.28540700000000002</v>
      </c>
      <c r="L761" s="1" t="s">
        <v>641</v>
      </c>
      <c r="M761" s="1" t="s">
        <v>76</v>
      </c>
      <c r="N761" s="1" t="s">
        <v>644</v>
      </c>
      <c r="O761" s="1" t="s">
        <v>39</v>
      </c>
      <c r="P761" s="82">
        <v>0.76</v>
      </c>
      <c r="Q761" s="1" t="s">
        <v>76</v>
      </c>
      <c r="R761" s="81" t="s">
        <v>87</v>
      </c>
      <c r="S761" s="1" t="s">
        <v>76</v>
      </c>
      <c r="T761" s="1" t="s">
        <v>76</v>
      </c>
      <c r="U761" s="1" t="s">
        <v>76</v>
      </c>
      <c r="V761" s="1" t="s">
        <v>655</v>
      </c>
      <c r="W761" s="1">
        <v>53</v>
      </c>
      <c r="X761" s="1" t="s">
        <v>76</v>
      </c>
      <c r="Y761" s="1" t="s">
        <v>644</v>
      </c>
      <c r="Z761" s="1">
        <v>2E-3</v>
      </c>
      <c r="AA761" s="1">
        <v>2E-3</v>
      </c>
      <c r="AB761" s="1">
        <v>2E-3</v>
      </c>
      <c r="AC761" s="1">
        <v>4.3999999999999997E-2</v>
      </c>
      <c r="AD761" s="1">
        <v>3.0000000000000001E-3</v>
      </c>
      <c r="AE761" s="1">
        <v>3.0000000000000001E-3</v>
      </c>
      <c r="AF761" s="1">
        <v>2E-3</v>
      </c>
      <c r="AG761" s="1">
        <v>0</v>
      </c>
      <c r="AH761" s="1">
        <v>1.0999999999999999E-2</v>
      </c>
      <c r="AI761" s="1">
        <v>3.0000000000000001E-3</v>
      </c>
      <c r="AJ761" s="1">
        <v>1E-3</v>
      </c>
      <c r="AK761" s="1">
        <v>4.0000000000000001E-3</v>
      </c>
      <c r="AL761" s="1">
        <v>0</v>
      </c>
      <c r="AM761" s="1">
        <v>1E-3</v>
      </c>
      <c r="AN761" s="1">
        <v>6.0000000000000001E-3</v>
      </c>
      <c r="AO761" s="1">
        <v>3.0000000000000001E-3</v>
      </c>
      <c r="AP761" s="1">
        <v>8.9999999999999993E-3</v>
      </c>
      <c r="AQ761" s="1">
        <v>1E-3</v>
      </c>
      <c r="AR761" s="1">
        <v>1E-3</v>
      </c>
      <c r="AS761" s="1">
        <v>5.0000000000000001E-3</v>
      </c>
      <c r="AT761" s="1">
        <v>3.0000000000000001E-3</v>
      </c>
      <c r="AU761" s="1">
        <v>2E-3</v>
      </c>
      <c r="AV761" s="1">
        <v>2E-3</v>
      </c>
      <c r="AW761" s="1">
        <v>2E-3</v>
      </c>
      <c r="AX761" s="1">
        <v>2E-3</v>
      </c>
      <c r="AY761" s="1">
        <v>4.0000000000000001E-3</v>
      </c>
      <c r="AZ761" s="1">
        <v>3.0000000000000001E-3</v>
      </c>
      <c r="BA761" s="1">
        <v>8.9999999999999993E-3</v>
      </c>
      <c r="BB761" s="1">
        <v>1E-3</v>
      </c>
      <c r="BC761" s="1">
        <v>1E-3</v>
      </c>
      <c r="BD761" s="1">
        <v>1.2E-2</v>
      </c>
      <c r="BE761" s="1">
        <v>2E-3</v>
      </c>
      <c r="BF761" s="1">
        <v>8.9999999999999993E-3</v>
      </c>
      <c r="BG761" s="1">
        <v>1E-3</v>
      </c>
      <c r="BH761" s="1">
        <v>0.76</v>
      </c>
      <c r="BI761" s="1">
        <v>1E-3</v>
      </c>
      <c r="BJ761" s="1">
        <v>1E-3</v>
      </c>
      <c r="BK761" s="1">
        <v>1E-3</v>
      </c>
      <c r="BL761" s="1">
        <v>3.0000000000000001E-3</v>
      </c>
      <c r="BM761" s="1">
        <v>2E-3</v>
      </c>
      <c r="BN761" s="1">
        <v>3.0000000000000001E-3</v>
      </c>
      <c r="BO761" s="1">
        <v>1E-3</v>
      </c>
      <c r="BP761" s="1">
        <v>0</v>
      </c>
      <c r="BQ761" s="1">
        <v>4.0000000000000001E-3</v>
      </c>
      <c r="BR761" s="1">
        <v>3.0000000000000001E-3</v>
      </c>
      <c r="BS761" s="1">
        <v>1E-3</v>
      </c>
      <c r="BT761" s="1">
        <v>1E-3</v>
      </c>
      <c r="BU761" s="1">
        <v>2E-3</v>
      </c>
      <c r="BV761" s="1">
        <v>1E-3</v>
      </c>
      <c r="BW761" s="1">
        <v>2E-3</v>
      </c>
      <c r="BX761" s="1">
        <v>8.9999999999999993E-3</v>
      </c>
      <c r="BY761" s="1">
        <v>6.0000000000000001E-3</v>
      </c>
      <c r="BZ761" s="1">
        <v>3.0000000000000001E-3</v>
      </c>
      <c r="CA761" s="1">
        <v>2E-3</v>
      </c>
      <c r="CB761" s="1">
        <v>1E-3</v>
      </c>
      <c r="CC761" s="1">
        <v>2E-3</v>
      </c>
      <c r="CD761" s="1">
        <v>0</v>
      </c>
      <c r="CE761" s="1">
        <v>2E-3</v>
      </c>
      <c r="CF761" s="1">
        <v>2E-3</v>
      </c>
      <c r="CG761" s="1">
        <v>3.0000000000000001E-3</v>
      </c>
      <c r="CH761" s="1">
        <v>3.0000000000000001E-3</v>
      </c>
      <c r="CI761" s="1">
        <v>4.0000000000000001E-3</v>
      </c>
      <c r="CJ761" s="1">
        <v>5.0000000000000001E-3</v>
      </c>
      <c r="CK761" s="1">
        <v>1.4E-2</v>
      </c>
      <c r="CL761" s="1">
        <v>4.0000000000000001E-3</v>
      </c>
      <c r="CM761" s="1">
        <v>-31.316830410000001</v>
      </c>
      <c r="CN761" s="83">
        <v>-67.61070857</v>
      </c>
    </row>
    <row r="762" spans="1:92" s="3" customFormat="1" x14ac:dyDescent="0.25">
      <c r="A762" s="72">
        <v>901</v>
      </c>
      <c r="B762" s="81" t="s">
        <v>767</v>
      </c>
      <c r="C762" s="1" t="s">
        <v>83</v>
      </c>
      <c r="D762" s="1" t="s">
        <v>73</v>
      </c>
      <c r="E762" s="1" t="s">
        <v>99</v>
      </c>
      <c r="F762" s="1" t="s">
        <v>128</v>
      </c>
      <c r="G762" s="1" t="s">
        <v>250</v>
      </c>
      <c r="H762" s="1" t="s">
        <v>570</v>
      </c>
      <c r="I762" s="1"/>
      <c r="J762" s="9" t="s">
        <v>544</v>
      </c>
      <c r="K762" s="10">
        <v>0.54955949999999998</v>
      </c>
      <c r="L762" s="1" t="s">
        <v>583</v>
      </c>
      <c r="M762" s="1" t="s">
        <v>506</v>
      </c>
      <c r="N762" s="96" t="s">
        <v>647</v>
      </c>
      <c r="O762" s="1" t="s">
        <v>68</v>
      </c>
      <c r="P762" s="82">
        <v>0.93899999999999995</v>
      </c>
      <c r="Q762" s="1" t="s">
        <v>76</v>
      </c>
      <c r="R762" s="81" t="s">
        <v>87</v>
      </c>
      <c r="S762" s="1">
        <v>3</v>
      </c>
      <c r="T762" s="1" t="s">
        <v>78</v>
      </c>
      <c r="U762" s="1" t="s">
        <v>658</v>
      </c>
      <c r="V762" s="1" t="s">
        <v>654</v>
      </c>
      <c r="W762" s="1">
        <v>15</v>
      </c>
      <c r="X762" s="1" t="s">
        <v>423</v>
      </c>
      <c r="Y762" s="1" t="s">
        <v>647</v>
      </c>
      <c r="Z762" s="1">
        <v>1E-3</v>
      </c>
      <c r="AA762" s="1">
        <v>1E-3</v>
      </c>
      <c r="AB762" s="1">
        <v>0</v>
      </c>
      <c r="AC762" s="1">
        <v>1E-3</v>
      </c>
      <c r="AD762" s="1">
        <v>0</v>
      </c>
      <c r="AE762" s="1">
        <v>0</v>
      </c>
      <c r="AF762" s="1">
        <v>0</v>
      </c>
      <c r="AG762" s="1">
        <v>0</v>
      </c>
      <c r="AH762" s="1">
        <v>1E-3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1E-3</v>
      </c>
      <c r="AS762" s="1">
        <v>1E-3</v>
      </c>
      <c r="AT762" s="1">
        <v>0</v>
      </c>
      <c r="AU762" s="1">
        <v>2.3E-2</v>
      </c>
      <c r="AV762" s="1">
        <v>0</v>
      </c>
      <c r="AW762" s="1">
        <v>0</v>
      </c>
      <c r="AX762" s="1">
        <v>2E-3</v>
      </c>
      <c r="AY762" s="1">
        <v>1E-3</v>
      </c>
      <c r="AZ762" s="1">
        <v>1E-3</v>
      </c>
      <c r="BA762" s="1">
        <v>1E-3</v>
      </c>
      <c r="BB762" s="1">
        <v>0</v>
      </c>
      <c r="BC762" s="1">
        <v>0</v>
      </c>
      <c r="BD762" s="1">
        <v>1E-3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1E-3</v>
      </c>
      <c r="BM762" s="1">
        <v>0</v>
      </c>
      <c r="BN762" s="1">
        <v>0</v>
      </c>
      <c r="BO762" s="1">
        <v>0</v>
      </c>
      <c r="BP762" s="1">
        <v>0</v>
      </c>
      <c r="BQ762" s="1">
        <v>1E-3</v>
      </c>
      <c r="BR762" s="1">
        <v>0</v>
      </c>
      <c r="BS762" s="1">
        <v>5.0000000000000001E-3</v>
      </c>
      <c r="BT762" s="1">
        <v>0</v>
      </c>
      <c r="BU762" s="1">
        <v>0</v>
      </c>
      <c r="BV762" s="1">
        <v>0</v>
      </c>
      <c r="BW762" s="1">
        <v>0</v>
      </c>
      <c r="BX762" s="1">
        <v>4.0000000000000001E-3</v>
      </c>
      <c r="BY762" s="1">
        <v>1E-3</v>
      </c>
      <c r="BZ762" s="1">
        <v>1E-3</v>
      </c>
      <c r="CA762" s="1">
        <v>1E-3</v>
      </c>
      <c r="CB762" s="1">
        <v>0</v>
      </c>
      <c r="CC762" s="1">
        <v>1E-3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1E-3</v>
      </c>
      <c r="CK762" s="1">
        <v>0.93899999999999995</v>
      </c>
      <c r="CL762" s="1">
        <v>2E-3</v>
      </c>
      <c r="CM762" s="1">
        <v>66.240603019999995</v>
      </c>
      <c r="CN762" s="83">
        <v>-9.1369407430000003</v>
      </c>
    </row>
    <row r="763" spans="1:92" s="3" customFormat="1" x14ac:dyDescent="0.25">
      <c r="A763" s="72">
        <v>797</v>
      </c>
      <c r="B763" s="81" t="s">
        <v>742</v>
      </c>
      <c r="C763" s="1" t="s">
        <v>83</v>
      </c>
      <c r="D763" s="1" t="s">
        <v>73</v>
      </c>
      <c r="E763" s="1" t="s">
        <v>74</v>
      </c>
      <c r="F763" s="1" t="s">
        <v>665</v>
      </c>
      <c r="G763" s="1" t="s">
        <v>98</v>
      </c>
      <c r="H763" s="1" t="s">
        <v>48</v>
      </c>
      <c r="I763" s="1"/>
      <c r="J763" s="9" t="s">
        <v>544</v>
      </c>
      <c r="K763" s="10">
        <v>0.56867783333333399</v>
      </c>
      <c r="L763" s="1" t="s">
        <v>641</v>
      </c>
      <c r="M763" s="1" t="s">
        <v>76</v>
      </c>
      <c r="N763" s="1" t="s">
        <v>644</v>
      </c>
      <c r="O763" s="1" t="s">
        <v>29</v>
      </c>
      <c r="P763" s="82">
        <v>0.23400000000000001</v>
      </c>
      <c r="Q763" s="1" t="s">
        <v>76</v>
      </c>
      <c r="R763" s="81" t="s">
        <v>285</v>
      </c>
      <c r="S763" s="1">
        <v>3</v>
      </c>
      <c r="T763" s="1" t="s">
        <v>120</v>
      </c>
      <c r="U763" s="1" t="s">
        <v>659</v>
      </c>
      <c r="V763" s="1" t="s">
        <v>655</v>
      </c>
      <c r="W763" s="1">
        <v>93</v>
      </c>
      <c r="X763" s="1" t="s">
        <v>430</v>
      </c>
      <c r="Y763" s="1" t="s">
        <v>644</v>
      </c>
      <c r="Z763" s="1">
        <v>2E-3</v>
      </c>
      <c r="AA763" s="1">
        <v>3.7999999999999999E-2</v>
      </c>
      <c r="AB763" s="1">
        <v>4.0000000000000001E-3</v>
      </c>
      <c r="AC763" s="1">
        <v>0.01</v>
      </c>
      <c r="AD763" s="1">
        <v>4.0000000000000001E-3</v>
      </c>
      <c r="AE763" s="1">
        <v>3.0000000000000001E-3</v>
      </c>
      <c r="AF763" s="1">
        <v>8.0000000000000002E-3</v>
      </c>
      <c r="AG763" s="1">
        <v>1E-3</v>
      </c>
      <c r="AH763" s="1">
        <v>1.2E-2</v>
      </c>
      <c r="AI763" s="1">
        <v>3.0000000000000001E-3</v>
      </c>
      <c r="AJ763" s="1">
        <v>2E-3</v>
      </c>
      <c r="AK763" s="1">
        <v>8.0000000000000002E-3</v>
      </c>
      <c r="AL763" s="1">
        <v>5.7000000000000002E-2</v>
      </c>
      <c r="AM763" s="1">
        <v>2E-3</v>
      </c>
      <c r="AN763" s="1">
        <v>3.0000000000000001E-3</v>
      </c>
      <c r="AO763" s="1">
        <v>5.0000000000000001E-3</v>
      </c>
      <c r="AP763" s="1">
        <v>4.0000000000000001E-3</v>
      </c>
      <c r="AQ763" s="1">
        <v>3.0000000000000001E-3</v>
      </c>
      <c r="AR763" s="1">
        <v>2E-3</v>
      </c>
      <c r="AS763" s="1">
        <v>1.2E-2</v>
      </c>
      <c r="AT763" s="1">
        <v>8.9999999999999993E-3</v>
      </c>
      <c r="AU763" s="1">
        <v>6.0000000000000001E-3</v>
      </c>
      <c r="AV763" s="1">
        <v>4.0000000000000001E-3</v>
      </c>
      <c r="AW763" s="1">
        <v>1.2999999999999999E-2</v>
      </c>
      <c r="AX763" s="1">
        <v>0.23400000000000001</v>
      </c>
      <c r="AY763" s="1">
        <v>3.5000000000000003E-2</v>
      </c>
      <c r="AZ763" s="1">
        <v>8.0000000000000002E-3</v>
      </c>
      <c r="BA763" s="1">
        <v>1.6E-2</v>
      </c>
      <c r="BB763" s="1">
        <v>3.0000000000000001E-3</v>
      </c>
      <c r="BC763" s="1">
        <v>7.0000000000000001E-3</v>
      </c>
      <c r="BD763" s="1">
        <v>1.2999999999999999E-2</v>
      </c>
      <c r="BE763" s="1">
        <v>3.0000000000000001E-3</v>
      </c>
      <c r="BF763" s="1">
        <v>2E-3</v>
      </c>
      <c r="BG763" s="1">
        <v>7.0000000000000001E-3</v>
      </c>
      <c r="BH763" s="1">
        <v>3.0000000000000001E-3</v>
      </c>
      <c r="BI763" s="1">
        <v>2E-3</v>
      </c>
      <c r="BJ763" s="1">
        <v>2E-3</v>
      </c>
      <c r="BK763" s="1">
        <v>3.0000000000000001E-3</v>
      </c>
      <c r="BL763" s="1">
        <v>8.5000000000000006E-2</v>
      </c>
      <c r="BM763" s="1">
        <v>4.2000000000000003E-2</v>
      </c>
      <c r="BN763" s="1">
        <v>7.0000000000000001E-3</v>
      </c>
      <c r="BO763" s="1">
        <v>2E-3</v>
      </c>
      <c r="BP763" s="1">
        <v>2E-3</v>
      </c>
      <c r="BQ763" s="1">
        <v>1.7999999999999999E-2</v>
      </c>
      <c r="BR763" s="1">
        <v>1.2999999999999999E-2</v>
      </c>
      <c r="BS763" s="1">
        <v>3.0000000000000001E-3</v>
      </c>
      <c r="BT763" s="1">
        <v>2E-3</v>
      </c>
      <c r="BU763" s="1">
        <v>2E-3</v>
      </c>
      <c r="BV763" s="1">
        <v>2E-3</v>
      </c>
      <c r="BW763" s="1">
        <v>7.0000000000000001E-3</v>
      </c>
      <c r="BX763" s="1">
        <v>1.4E-2</v>
      </c>
      <c r="BY763" s="1">
        <v>1.7999999999999999E-2</v>
      </c>
      <c r="BZ763" s="1">
        <v>0.02</v>
      </c>
      <c r="CA763" s="1">
        <v>6.0000000000000001E-3</v>
      </c>
      <c r="CB763" s="1">
        <v>1E-3</v>
      </c>
      <c r="CC763" s="1">
        <v>4.0000000000000001E-3</v>
      </c>
      <c r="CD763" s="1">
        <v>2E-3</v>
      </c>
      <c r="CE763" s="1">
        <v>6.0000000000000001E-3</v>
      </c>
      <c r="CF763" s="1">
        <v>5.0000000000000001E-3</v>
      </c>
      <c r="CG763" s="1">
        <v>1.0999999999999999E-2</v>
      </c>
      <c r="CH763" s="1">
        <v>8.9999999999999993E-3</v>
      </c>
      <c r="CI763" s="1">
        <v>8.0000000000000002E-3</v>
      </c>
      <c r="CJ763" s="1">
        <v>1.6E-2</v>
      </c>
      <c r="CK763" s="1">
        <v>0.13</v>
      </c>
      <c r="CL763" s="1">
        <v>1.2E-2</v>
      </c>
      <c r="CM763" s="1">
        <v>-17.867666209999999</v>
      </c>
      <c r="CN763" s="83">
        <v>64.048164389999997</v>
      </c>
    </row>
    <row r="764" spans="1:92" s="3" customFormat="1" x14ac:dyDescent="0.25">
      <c r="A764" s="72">
        <v>907</v>
      </c>
      <c r="B764" s="81" t="s">
        <v>1652</v>
      </c>
      <c r="C764" s="1" t="s">
        <v>83</v>
      </c>
      <c r="D764" s="1" t="s">
        <v>73</v>
      </c>
      <c r="E764" s="1" t="s">
        <v>99</v>
      </c>
      <c r="F764" s="1" t="s">
        <v>128</v>
      </c>
      <c r="G764" s="1" t="s">
        <v>303</v>
      </c>
      <c r="H764" s="1" t="s">
        <v>570</v>
      </c>
      <c r="I764" s="1"/>
      <c r="J764" s="9" t="s">
        <v>544</v>
      </c>
      <c r="K764" s="10">
        <v>0.35289316666666698</v>
      </c>
      <c r="L764" s="1" t="s">
        <v>593</v>
      </c>
      <c r="M764" s="1" t="s">
        <v>506</v>
      </c>
      <c r="N764" s="96" t="s">
        <v>647</v>
      </c>
      <c r="O764" s="1" t="s">
        <v>68</v>
      </c>
      <c r="P764" s="82">
        <v>1</v>
      </c>
      <c r="Q764" s="1" t="s">
        <v>76</v>
      </c>
      <c r="R764" s="81" t="s">
        <v>77</v>
      </c>
      <c r="S764" s="1">
        <v>3</v>
      </c>
      <c r="T764" s="1" t="s">
        <v>78</v>
      </c>
      <c r="U764" s="1" t="s">
        <v>658</v>
      </c>
      <c r="V764" s="1" t="s">
        <v>655</v>
      </c>
      <c r="W764" s="1">
        <v>37</v>
      </c>
      <c r="X764" s="1" t="s">
        <v>423</v>
      </c>
      <c r="Y764" s="1" t="s">
        <v>647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1</v>
      </c>
      <c r="CL764" s="1">
        <v>0</v>
      </c>
      <c r="CM764" s="1">
        <v>26.746977399999999</v>
      </c>
      <c r="CN764" s="83">
        <v>-38.525154020000002</v>
      </c>
    </row>
    <row r="765" spans="1:92" s="3" customFormat="1" x14ac:dyDescent="0.25">
      <c r="A765" s="72">
        <v>799</v>
      </c>
      <c r="B765" s="81" t="s">
        <v>755</v>
      </c>
      <c r="C765" s="1" t="s">
        <v>83</v>
      </c>
      <c r="D765" s="1" t="s">
        <v>73</v>
      </c>
      <c r="E765" s="1" t="s">
        <v>74</v>
      </c>
      <c r="F765" s="1" t="s">
        <v>669</v>
      </c>
      <c r="G765" s="1" t="s">
        <v>98</v>
      </c>
      <c r="H765" s="1" t="s">
        <v>68</v>
      </c>
      <c r="I765" s="1"/>
      <c r="J765" s="9" t="s">
        <v>544</v>
      </c>
      <c r="K765" s="10">
        <v>0.41266966666666599</v>
      </c>
      <c r="L765" s="1" t="s">
        <v>641</v>
      </c>
      <c r="M765" s="1" t="s">
        <v>76</v>
      </c>
      <c r="N765" s="1" t="s">
        <v>649</v>
      </c>
      <c r="O765" s="1" t="s">
        <v>68</v>
      </c>
      <c r="P765" s="82">
        <v>0.85599999999999998</v>
      </c>
      <c r="Q765" s="1" t="s">
        <v>76</v>
      </c>
      <c r="R765" s="81" t="s">
        <v>194</v>
      </c>
      <c r="S765" s="1">
        <v>3</v>
      </c>
      <c r="T765" s="1" t="s">
        <v>120</v>
      </c>
      <c r="U765" s="1" t="s">
        <v>658</v>
      </c>
      <c r="V765" s="1" t="s">
        <v>655</v>
      </c>
      <c r="W765" s="1">
        <v>51</v>
      </c>
      <c r="X765" s="1" t="s">
        <v>432</v>
      </c>
      <c r="Y765" s="1" t="s">
        <v>648</v>
      </c>
      <c r="Z765" s="1">
        <v>2E-3</v>
      </c>
      <c r="AA765" s="1">
        <v>1E-3</v>
      </c>
      <c r="AB765" s="1">
        <v>0</v>
      </c>
      <c r="AC765" s="1">
        <v>1E-3</v>
      </c>
      <c r="AD765" s="1">
        <v>1E-3</v>
      </c>
      <c r="AE765" s="1">
        <v>0</v>
      </c>
      <c r="AF765" s="1">
        <v>1E-3</v>
      </c>
      <c r="AG765" s="1">
        <v>0</v>
      </c>
      <c r="AH765" s="1">
        <v>1E-3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2E-3</v>
      </c>
      <c r="AS765" s="1">
        <v>1E-3</v>
      </c>
      <c r="AT765" s="1">
        <v>0</v>
      </c>
      <c r="AU765" s="1">
        <v>3.0000000000000001E-3</v>
      </c>
      <c r="AV765" s="1">
        <v>1E-3</v>
      </c>
      <c r="AW765" s="1">
        <v>1E-3</v>
      </c>
      <c r="AX765" s="1">
        <v>2E-3</v>
      </c>
      <c r="AY765" s="1">
        <v>1E-3</v>
      </c>
      <c r="AZ765" s="1">
        <v>2E-3</v>
      </c>
      <c r="BA765" s="1">
        <v>3.0000000000000001E-3</v>
      </c>
      <c r="BB765" s="1">
        <v>1E-3</v>
      </c>
      <c r="BC765" s="1">
        <v>0</v>
      </c>
      <c r="BD765" s="1">
        <v>2E-3</v>
      </c>
      <c r="BE765" s="1">
        <v>0</v>
      </c>
      <c r="BF765" s="1">
        <v>1E-3</v>
      </c>
      <c r="BG765" s="1">
        <v>0</v>
      </c>
      <c r="BH765" s="1">
        <v>0</v>
      </c>
      <c r="BI765" s="1">
        <v>0</v>
      </c>
      <c r="BJ765" s="1">
        <v>1E-3</v>
      </c>
      <c r="BK765" s="1">
        <v>0</v>
      </c>
      <c r="BL765" s="1">
        <v>1E-3</v>
      </c>
      <c r="BM765" s="1">
        <v>0</v>
      </c>
      <c r="BN765" s="1">
        <v>0</v>
      </c>
      <c r="BO765" s="1">
        <v>0</v>
      </c>
      <c r="BP765" s="1">
        <v>1E-3</v>
      </c>
      <c r="BQ765" s="1">
        <v>1E-3</v>
      </c>
      <c r="BR765" s="1">
        <v>0</v>
      </c>
      <c r="BS765" s="1">
        <v>2E-3</v>
      </c>
      <c r="BT765" s="1">
        <v>0</v>
      </c>
      <c r="BU765" s="1">
        <v>8.0000000000000002E-3</v>
      </c>
      <c r="BV765" s="1">
        <v>0</v>
      </c>
      <c r="BW765" s="1">
        <v>1E-3</v>
      </c>
      <c r="BX765" s="1">
        <v>1E-3</v>
      </c>
      <c r="BY765" s="1">
        <v>1E-3</v>
      </c>
      <c r="BZ765" s="1">
        <v>2E-3</v>
      </c>
      <c r="CA765" s="1">
        <v>1E-3</v>
      </c>
      <c r="CB765" s="1">
        <v>0</v>
      </c>
      <c r="CC765" s="1">
        <v>1E-3</v>
      </c>
      <c r="CD765" s="1">
        <v>0</v>
      </c>
      <c r="CE765" s="1">
        <v>0</v>
      </c>
      <c r="CF765" s="1">
        <v>0</v>
      </c>
      <c r="CG765" s="1">
        <v>0</v>
      </c>
      <c r="CH765" s="1">
        <v>1E-3</v>
      </c>
      <c r="CI765" s="1">
        <v>0</v>
      </c>
      <c r="CJ765" s="1">
        <v>1E-3</v>
      </c>
      <c r="CK765" s="1">
        <v>0.85599999999999998</v>
      </c>
      <c r="CL765" s="1">
        <v>0.09</v>
      </c>
      <c r="CM765" s="1">
        <v>9.3306405080000001</v>
      </c>
      <c r="CN765" s="83">
        <v>-75.426385589999995</v>
      </c>
    </row>
    <row r="766" spans="1:92" s="3" customFormat="1" x14ac:dyDescent="0.25">
      <c r="A766" s="72">
        <v>800</v>
      </c>
      <c r="B766" s="81" t="s">
        <v>756</v>
      </c>
      <c r="C766" s="1" t="s">
        <v>83</v>
      </c>
      <c r="D766" s="1" t="s">
        <v>73</v>
      </c>
      <c r="E766" s="1" t="s">
        <v>99</v>
      </c>
      <c r="F766" s="1" t="s">
        <v>665</v>
      </c>
      <c r="G766" s="1" t="s">
        <v>98</v>
      </c>
      <c r="H766" s="1" t="s">
        <v>48</v>
      </c>
      <c r="I766" s="1"/>
      <c r="J766" s="9" t="s">
        <v>544</v>
      </c>
      <c r="K766" s="10">
        <v>0.42486000000000002</v>
      </c>
      <c r="L766" s="1" t="s">
        <v>641</v>
      </c>
      <c r="M766" s="1" t="s">
        <v>76</v>
      </c>
      <c r="N766" s="1" t="s">
        <v>644</v>
      </c>
      <c r="O766" s="1" t="s">
        <v>24</v>
      </c>
      <c r="P766" s="82">
        <v>0.46200000000000002</v>
      </c>
      <c r="Q766" s="1" t="s">
        <v>76</v>
      </c>
      <c r="R766" s="81" t="s">
        <v>169</v>
      </c>
      <c r="S766" s="1">
        <v>1</v>
      </c>
      <c r="T766" s="1" t="s">
        <v>120</v>
      </c>
      <c r="U766" s="1" t="s">
        <v>658</v>
      </c>
      <c r="V766" s="1" t="s">
        <v>655</v>
      </c>
      <c r="W766" s="1">
        <v>41</v>
      </c>
      <c r="X766" s="1" t="s">
        <v>433</v>
      </c>
      <c r="Y766" s="1" t="s">
        <v>644</v>
      </c>
      <c r="Z766" s="1">
        <v>1E-3</v>
      </c>
      <c r="AA766" s="1">
        <v>5.0000000000000001E-3</v>
      </c>
      <c r="AB766" s="1">
        <v>6.0000000000000001E-3</v>
      </c>
      <c r="AC766" s="1">
        <v>3.5999999999999997E-2</v>
      </c>
      <c r="AD766" s="1">
        <v>4.0000000000000001E-3</v>
      </c>
      <c r="AE766" s="1">
        <v>3.0000000000000001E-3</v>
      </c>
      <c r="AF766" s="1">
        <v>8.0000000000000002E-3</v>
      </c>
      <c r="AG766" s="1">
        <v>1E-3</v>
      </c>
      <c r="AH766" s="1">
        <v>1.2999999999999999E-2</v>
      </c>
      <c r="AI766" s="1">
        <v>1E-3</v>
      </c>
      <c r="AJ766" s="1">
        <v>2E-3</v>
      </c>
      <c r="AK766" s="1">
        <v>0.02</v>
      </c>
      <c r="AL766" s="1">
        <v>1E-3</v>
      </c>
      <c r="AM766" s="1">
        <v>2E-3</v>
      </c>
      <c r="AN766" s="1">
        <v>2E-3</v>
      </c>
      <c r="AO766" s="1">
        <v>8.0000000000000002E-3</v>
      </c>
      <c r="AP766" s="1">
        <v>3.0000000000000001E-3</v>
      </c>
      <c r="AQ766" s="1">
        <v>3.0000000000000001E-3</v>
      </c>
      <c r="AR766" s="1">
        <v>2E-3</v>
      </c>
      <c r="AS766" s="1">
        <v>0.46200000000000002</v>
      </c>
      <c r="AT766" s="1">
        <v>1.2E-2</v>
      </c>
      <c r="AU766" s="1">
        <v>4.0000000000000001E-3</v>
      </c>
      <c r="AV766" s="1">
        <v>2E-3</v>
      </c>
      <c r="AW766" s="1">
        <v>8.0000000000000002E-3</v>
      </c>
      <c r="AX766" s="1">
        <v>3.0000000000000001E-3</v>
      </c>
      <c r="AY766" s="1">
        <v>6.0000000000000001E-3</v>
      </c>
      <c r="AZ766" s="1">
        <v>1.2999999999999999E-2</v>
      </c>
      <c r="BA766" s="1">
        <v>2.1000000000000001E-2</v>
      </c>
      <c r="BB766" s="1">
        <v>3.0000000000000001E-3</v>
      </c>
      <c r="BC766" s="1">
        <v>2E-3</v>
      </c>
      <c r="BD766" s="1">
        <v>2.4E-2</v>
      </c>
      <c r="BE766" s="1">
        <v>8.0000000000000002E-3</v>
      </c>
      <c r="BF766" s="1">
        <v>1E-3</v>
      </c>
      <c r="BG766" s="1">
        <v>4.0000000000000001E-3</v>
      </c>
      <c r="BH766" s="1">
        <v>3.0000000000000001E-3</v>
      </c>
      <c r="BI766" s="1">
        <v>3.0000000000000001E-3</v>
      </c>
      <c r="BJ766" s="1">
        <v>1E-3</v>
      </c>
      <c r="BK766" s="1">
        <v>2E-3</v>
      </c>
      <c r="BL766" s="1">
        <v>1.0999999999999999E-2</v>
      </c>
      <c r="BM766" s="1">
        <v>4.0000000000000001E-3</v>
      </c>
      <c r="BN766" s="1">
        <v>1.7999999999999999E-2</v>
      </c>
      <c r="BO766" s="1">
        <v>2E-3</v>
      </c>
      <c r="BP766" s="1">
        <v>1E-3</v>
      </c>
      <c r="BQ766" s="1">
        <v>1.4E-2</v>
      </c>
      <c r="BR766" s="1">
        <v>4.0000000000000001E-3</v>
      </c>
      <c r="BS766" s="1">
        <v>2E-3</v>
      </c>
      <c r="BT766" s="1">
        <v>3.0000000000000001E-3</v>
      </c>
      <c r="BU766" s="1">
        <v>3.0000000000000001E-3</v>
      </c>
      <c r="BV766" s="1">
        <v>2E-3</v>
      </c>
      <c r="BW766" s="1">
        <v>8.0000000000000002E-3</v>
      </c>
      <c r="BX766" s="1">
        <v>8.9999999999999993E-3</v>
      </c>
      <c r="BY766" s="1">
        <v>1.0999999999999999E-2</v>
      </c>
      <c r="BZ766" s="1">
        <v>8.9999999999999993E-3</v>
      </c>
      <c r="CA766" s="1">
        <v>4.0000000000000001E-3</v>
      </c>
      <c r="CB766" s="1">
        <v>3.0000000000000001E-3</v>
      </c>
      <c r="CC766" s="1">
        <v>8.0000000000000002E-3</v>
      </c>
      <c r="CD766" s="1">
        <v>0</v>
      </c>
      <c r="CE766" s="1">
        <v>3.0000000000000001E-3</v>
      </c>
      <c r="CF766" s="1">
        <v>3.0000000000000001E-3</v>
      </c>
      <c r="CG766" s="1">
        <v>5.0000000000000001E-3</v>
      </c>
      <c r="CH766" s="1">
        <v>6.7000000000000004E-2</v>
      </c>
      <c r="CI766" s="1">
        <v>1.2999999999999999E-2</v>
      </c>
      <c r="CJ766" s="1">
        <v>0.02</v>
      </c>
      <c r="CK766" s="1">
        <v>5.5E-2</v>
      </c>
      <c r="CL766" s="1">
        <v>1.7000000000000001E-2</v>
      </c>
      <c r="CM766" s="1">
        <v>53.806711239999998</v>
      </c>
      <c r="CN766" s="83">
        <v>-86.213160920000007</v>
      </c>
    </row>
    <row r="767" spans="1:92" s="3" customFormat="1" x14ac:dyDescent="0.25">
      <c r="A767" s="72">
        <v>801</v>
      </c>
      <c r="B767" s="81" t="s">
        <v>777</v>
      </c>
      <c r="C767" s="1" t="s">
        <v>83</v>
      </c>
      <c r="D767" s="1" t="s">
        <v>73</v>
      </c>
      <c r="E767" s="1" t="s">
        <v>99</v>
      </c>
      <c r="F767" s="1" t="s">
        <v>665</v>
      </c>
      <c r="G767" s="1" t="s">
        <v>717</v>
      </c>
      <c r="H767" s="1" t="s">
        <v>48</v>
      </c>
      <c r="I767" s="1"/>
      <c r="J767" s="9" t="s">
        <v>544</v>
      </c>
      <c r="K767" s="10">
        <v>0.52382249999999897</v>
      </c>
      <c r="L767" s="1" t="s">
        <v>76</v>
      </c>
      <c r="M767" s="1" t="s">
        <v>506</v>
      </c>
      <c r="N767" s="1" t="s">
        <v>645</v>
      </c>
      <c r="O767" s="1" t="s">
        <v>48</v>
      </c>
      <c r="P767" s="82">
        <v>1</v>
      </c>
      <c r="Q767" s="1" t="s">
        <v>76</v>
      </c>
      <c r="R767" s="81" t="s">
        <v>171</v>
      </c>
      <c r="S767" s="1">
        <v>3</v>
      </c>
      <c r="T767" s="1" t="s">
        <v>120</v>
      </c>
      <c r="U767" s="1" t="s">
        <v>658</v>
      </c>
      <c r="V767" s="1" t="s">
        <v>655</v>
      </c>
      <c r="W767" s="1">
        <v>38</v>
      </c>
      <c r="X767" s="1" t="s">
        <v>434</v>
      </c>
      <c r="Y767" s="1" t="s">
        <v>645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1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-57.500604039999999</v>
      </c>
      <c r="CN767" s="83">
        <v>53.269238729999998</v>
      </c>
    </row>
    <row r="768" spans="1:92" s="3" customFormat="1" hidden="1" x14ac:dyDescent="0.25">
      <c r="A768" s="72">
        <v>802</v>
      </c>
      <c r="B768" s="1" t="s">
        <v>1371</v>
      </c>
      <c r="C768" s="1" t="s">
        <v>83</v>
      </c>
      <c r="D768" s="1" t="s">
        <v>301</v>
      </c>
      <c r="E768" s="1" t="s">
        <v>76</v>
      </c>
      <c r="F768" s="1" t="s">
        <v>301</v>
      </c>
      <c r="G768" s="1" t="s">
        <v>76</v>
      </c>
      <c r="H768" s="1" t="s">
        <v>537</v>
      </c>
      <c r="I768" s="1"/>
      <c r="J768" s="9" t="s">
        <v>544</v>
      </c>
      <c r="K768" s="10">
        <v>0.29560649999999999</v>
      </c>
      <c r="L768" s="1" t="s">
        <v>76</v>
      </c>
      <c r="M768" s="1" t="s">
        <v>506</v>
      </c>
      <c r="N768" s="1" t="s">
        <v>645</v>
      </c>
      <c r="O768" s="1" t="s">
        <v>21</v>
      </c>
      <c r="P768" s="82">
        <v>0.94599999999999995</v>
      </c>
      <c r="Q768" s="1" t="s">
        <v>76</v>
      </c>
      <c r="R768" s="81" t="s">
        <v>76</v>
      </c>
      <c r="S768" s="1" t="s">
        <v>76</v>
      </c>
      <c r="T768" s="1" t="s">
        <v>76</v>
      </c>
      <c r="U768" s="1" t="s">
        <v>76</v>
      </c>
      <c r="V768" s="1" t="s">
        <v>656</v>
      </c>
      <c r="W768" s="1" t="s">
        <v>269</v>
      </c>
      <c r="X768" s="1" t="s">
        <v>76</v>
      </c>
      <c r="Y768" s="1" t="s">
        <v>645</v>
      </c>
      <c r="Z768" s="1">
        <v>0</v>
      </c>
      <c r="AA768" s="1">
        <v>1E-3</v>
      </c>
      <c r="AB768" s="1">
        <v>0</v>
      </c>
      <c r="AC768" s="1">
        <v>4.0000000000000001E-3</v>
      </c>
      <c r="AD768" s="1">
        <v>0</v>
      </c>
      <c r="AE768" s="1">
        <v>0</v>
      </c>
      <c r="AF768" s="1">
        <v>0</v>
      </c>
      <c r="AG768" s="1">
        <v>0</v>
      </c>
      <c r="AH768" s="1">
        <v>2E-3</v>
      </c>
      <c r="AI768" s="1">
        <v>0</v>
      </c>
      <c r="AJ768" s="1">
        <v>0</v>
      </c>
      <c r="AK768" s="1">
        <v>1E-3</v>
      </c>
      <c r="AL768" s="1">
        <v>0</v>
      </c>
      <c r="AM768" s="1">
        <v>0</v>
      </c>
      <c r="AN768" s="1">
        <v>0</v>
      </c>
      <c r="AO768" s="1">
        <v>1E-3</v>
      </c>
      <c r="AP768" s="1">
        <v>0.94599999999999995</v>
      </c>
      <c r="AQ768" s="1">
        <v>0</v>
      </c>
      <c r="AR768" s="1">
        <v>0</v>
      </c>
      <c r="AS768" s="1">
        <v>2E-3</v>
      </c>
      <c r="AT768" s="1">
        <v>1E-3</v>
      </c>
      <c r="AU768" s="1">
        <v>0</v>
      </c>
      <c r="AV768" s="1">
        <v>0</v>
      </c>
      <c r="AW768" s="1">
        <v>1E-3</v>
      </c>
      <c r="AX768" s="1">
        <v>0</v>
      </c>
      <c r="AY768" s="1">
        <v>1E-3</v>
      </c>
      <c r="AZ768" s="1">
        <v>1E-3</v>
      </c>
      <c r="BA768" s="1">
        <v>2E-3</v>
      </c>
      <c r="BB768" s="1">
        <v>0</v>
      </c>
      <c r="BC768" s="1">
        <v>0</v>
      </c>
      <c r="BD768" s="1">
        <v>3.0000000000000001E-3</v>
      </c>
      <c r="BE768" s="1">
        <v>0</v>
      </c>
      <c r="BF768" s="1">
        <v>0</v>
      </c>
      <c r="BG768" s="1">
        <v>1E-3</v>
      </c>
      <c r="BH768" s="1">
        <v>0.01</v>
      </c>
      <c r="BI768" s="1">
        <v>0</v>
      </c>
      <c r="BJ768" s="1">
        <v>0</v>
      </c>
      <c r="BK768" s="1">
        <v>0</v>
      </c>
      <c r="BL768" s="1">
        <v>1E-3</v>
      </c>
      <c r="BM768" s="1">
        <v>1E-3</v>
      </c>
      <c r="BN768" s="1">
        <v>1E-3</v>
      </c>
      <c r="BO768" s="1">
        <v>0</v>
      </c>
      <c r="BP768" s="1">
        <v>0</v>
      </c>
      <c r="BQ768" s="1">
        <v>1E-3</v>
      </c>
      <c r="BR768" s="1">
        <v>1E-3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1E-3</v>
      </c>
      <c r="BY768" s="1">
        <v>2E-3</v>
      </c>
      <c r="BZ768" s="1">
        <v>1E-3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1E-3</v>
      </c>
      <c r="CI768" s="1">
        <v>1E-3</v>
      </c>
      <c r="CJ768" s="1">
        <v>1E-3</v>
      </c>
      <c r="CK768" s="1">
        <v>3.0000000000000001E-3</v>
      </c>
      <c r="CL768" s="1">
        <v>1E-3</v>
      </c>
      <c r="CM768" s="1">
        <v>-54.390299560000003</v>
      </c>
      <c r="CN768" s="83">
        <v>-77.518002129999999</v>
      </c>
    </row>
    <row r="769" spans="1:92" s="3" customFormat="1" x14ac:dyDescent="0.25">
      <c r="A769" s="72">
        <v>803</v>
      </c>
      <c r="B769" s="81" t="s">
        <v>754</v>
      </c>
      <c r="C769" s="1" t="s">
        <v>83</v>
      </c>
      <c r="D769" s="1" t="s">
        <v>73</v>
      </c>
      <c r="E769" s="1" t="s">
        <v>74</v>
      </c>
      <c r="F769" s="1" t="s">
        <v>128</v>
      </c>
      <c r="G769" s="1" t="s">
        <v>307</v>
      </c>
      <c r="H769" s="1" t="s">
        <v>570</v>
      </c>
      <c r="I769" s="1"/>
      <c r="J769" s="9" t="s">
        <v>544</v>
      </c>
      <c r="K769" s="10">
        <v>0.62971499999999903</v>
      </c>
      <c r="L769" s="1" t="s">
        <v>641</v>
      </c>
      <c r="M769" s="1" t="s">
        <v>76</v>
      </c>
      <c r="N769" s="1" t="s">
        <v>649</v>
      </c>
      <c r="O769" s="1" t="s">
        <v>55</v>
      </c>
      <c r="P769" s="82">
        <v>0.60499999999999998</v>
      </c>
      <c r="Q769" s="1" t="s">
        <v>76</v>
      </c>
      <c r="R769" s="81" t="s">
        <v>435</v>
      </c>
      <c r="S769" s="1">
        <v>3</v>
      </c>
      <c r="T769" s="1" t="s">
        <v>120</v>
      </c>
      <c r="U769" s="1" t="s">
        <v>660</v>
      </c>
      <c r="V769" s="1" t="s">
        <v>655</v>
      </c>
      <c r="W769" s="1">
        <v>21</v>
      </c>
      <c r="X769" s="1" t="s">
        <v>423</v>
      </c>
      <c r="Y769" s="1" t="s">
        <v>649</v>
      </c>
      <c r="Z769" s="1">
        <v>1E-3</v>
      </c>
      <c r="AA769" s="1">
        <v>3.0000000000000001E-3</v>
      </c>
      <c r="AB769" s="1">
        <v>3.0000000000000001E-3</v>
      </c>
      <c r="AC769" s="1">
        <v>3.9E-2</v>
      </c>
      <c r="AD769" s="1">
        <v>2E-3</v>
      </c>
      <c r="AE769" s="1">
        <v>4.0000000000000001E-3</v>
      </c>
      <c r="AF769" s="1">
        <v>4.0000000000000001E-3</v>
      </c>
      <c r="AG769" s="1">
        <v>0</v>
      </c>
      <c r="AH769" s="1">
        <v>8.9999999999999993E-3</v>
      </c>
      <c r="AI769" s="1">
        <v>1E-3</v>
      </c>
      <c r="AJ769" s="1">
        <v>1E-3</v>
      </c>
      <c r="AK769" s="1">
        <v>2.5000000000000001E-2</v>
      </c>
      <c r="AL769" s="1">
        <v>1E-3</v>
      </c>
      <c r="AM769" s="1">
        <v>2E-3</v>
      </c>
      <c r="AN769" s="1">
        <v>2E-3</v>
      </c>
      <c r="AO769" s="1">
        <v>1.7999999999999999E-2</v>
      </c>
      <c r="AP769" s="1">
        <v>2E-3</v>
      </c>
      <c r="AQ769" s="1">
        <v>2E-3</v>
      </c>
      <c r="AR769" s="1">
        <v>1E-3</v>
      </c>
      <c r="AS769" s="1">
        <v>1.7000000000000001E-2</v>
      </c>
      <c r="AT769" s="1">
        <v>1.7000000000000001E-2</v>
      </c>
      <c r="AU769" s="1">
        <v>3.0000000000000001E-3</v>
      </c>
      <c r="AV769" s="1">
        <v>1E-3</v>
      </c>
      <c r="AW769" s="1">
        <v>5.0000000000000001E-3</v>
      </c>
      <c r="AX769" s="1">
        <v>2E-3</v>
      </c>
      <c r="AY769" s="1">
        <v>3.0000000000000001E-3</v>
      </c>
      <c r="AZ769" s="1">
        <v>5.0000000000000001E-3</v>
      </c>
      <c r="BA769" s="1">
        <v>1.7999999999999999E-2</v>
      </c>
      <c r="BB769" s="1">
        <v>5.0000000000000001E-3</v>
      </c>
      <c r="BC769" s="1">
        <v>2E-3</v>
      </c>
      <c r="BD769" s="1">
        <v>1.4999999999999999E-2</v>
      </c>
      <c r="BE769" s="1">
        <v>2E-3</v>
      </c>
      <c r="BF769" s="1">
        <v>1E-3</v>
      </c>
      <c r="BG769" s="1">
        <v>4.0000000000000001E-3</v>
      </c>
      <c r="BH769" s="1">
        <v>3.0000000000000001E-3</v>
      </c>
      <c r="BI769" s="1">
        <v>2E-3</v>
      </c>
      <c r="BJ769" s="1">
        <v>1E-3</v>
      </c>
      <c r="BK769" s="1">
        <v>2E-3</v>
      </c>
      <c r="BL769" s="1">
        <v>6.0000000000000001E-3</v>
      </c>
      <c r="BM769" s="1">
        <v>3.0000000000000001E-3</v>
      </c>
      <c r="BN769" s="1">
        <v>8.0000000000000002E-3</v>
      </c>
      <c r="BO769" s="1">
        <v>2E-3</v>
      </c>
      <c r="BP769" s="1">
        <v>1E-3</v>
      </c>
      <c r="BQ769" s="1">
        <v>8.9999999999999993E-3</v>
      </c>
      <c r="BR769" s="1">
        <v>3.0000000000000001E-3</v>
      </c>
      <c r="BS769" s="1">
        <v>2E-3</v>
      </c>
      <c r="BT769" s="1">
        <v>2E-3</v>
      </c>
      <c r="BU769" s="1">
        <v>1E-3</v>
      </c>
      <c r="BV769" s="1">
        <v>0.01</v>
      </c>
      <c r="BW769" s="1">
        <v>4.0000000000000001E-3</v>
      </c>
      <c r="BX769" s="1">
        <v>0.60499999999999998</v>
      </c>
      <c r="BY769" s="1">
        <v>0.01</v>
      </c>
      <c r="BZ769" s="1">
        <v>6.0000000000000001E-3</v>
      </c>
      <c r="CA769" s="1">
        <v>6.0000000000000001E-3</v>
      </c>
      <c r="CB769" s="1">
        <v>1E-3</v>
      </c>
      <c r="CC769" s="1">
        <v>6.0000000000000001E-3</v>
      </c>
      <c r="CD769" s="1">
        <v>0</v>
      </c>
      <c r="CE769" s="1">
        <v>3.0000000000000001E-3</v>
      </c>
      <c r="CF769" s="1">
        <v>3.0000000000000001E-3</v>
      </c>
      <c r="CG769" s="1">
        <v>8.0000000000000002E-3</v>
      </c>
      <c r="CH769" s="1">
        <v>7.0000000000000001E-3</v>
      </c>
      <c r="CI769" s="1">
        <v>7.0000000000000001E-3</v>
      </c>
      <c r="CJ769" s="1">
        <v>2.1000000000000001E-2</v>
      </c>
      <c r="CK769" s="1">
        <v>2.8000000000000001E-2</v>
      </c>
      <c r="CL769" s="1">
        <v>8.0000000000000002E-3</v>
      </c>
      <c r="CM769" s="1">
        <v>58.74960677</v>
      </c>
      <c r="CN769" s="83">
        <v>25.813426790000001</v>
      </c>
    </row>
    <row r="770" spans="1:92" s="3" customFormat="1" x14ac:dyDescent="0.25">
      <c r="A770" s="72">
        <v>804</v>
      </c>
      <c r="B770" s="81" t="s">
        <v>933</v>
      </c>
      <c r="C770" s="1" t="s">
        <v>83</v>
      </c>
      <c r="D770" s="1" t="s">
        <v>73</v>
      </c>
      <c r="E770" s="1" t="s">
        <v>99</v>
      </c>
      <c r="F770" s="1" t="s">
        <v>128</v>
      </c>
      <c r="G770" s="1" t="s">
        <v>321</v>
      </c>
      <c r="H770" s="1" t="s">
        <v>535</v>
      </c>
      <c r="I770" s="1"/>
      <c r="J770" s="9" t="s">
        <v>506</v>
      </c>
      <c r="K770" s="10">
        <v>0.52559366666666596</v>
      </c>
      <c r="L770" s="1" t="s">
        <v>582</v>
      </c>
      <c r="M770" s="1" t="s">
        <v>506</v>
      </c>
      <c r="N770" s="1" t="s">
        <v>648</v>
      </c>
      <c r="O770" s="1" t="s">
        <v>55</v>
      </c>
      <c r="P770" s="82">
        <v>1</v>
      </c>
      <c r="Q770" s="1" t="s">
        <v>76</v>
      </c>
      <c r="R770" s="81" t="s">
        <v>87</v>
      </c>
      <c r="S770" s="1">
        <v>3</v>
      </c>
      <c r="T770" s="1" t="s">
        <v>78</v>
      </c>
      <c r="U770" s="1" t="s">
        <v>659</v>
      </c>
      <c r="V770" s="1" t="s">
        <v>655</v>
      </c>
      <c r="W770" s="1">
        <v>44</v>
      </c>
      <c r="X770" s="1" t="s">
        <v>170</v>
      </c>
      <c r="Y770" s="1" t="s">
        <v>648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1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43.292377930000001</v>
      </c>
      <c r="CN770" s="83">
        <v>31.451901660000001</v>
      </c>
    </row>
    <row r="771" spans="1:92" s="3" customFormat="1" x14ac:dyDescent="0.25">
      <c r="A771" s="72">
        <v>805</v>
      </c>
      <c r="B771" s="81" t="s">
        <v>1099</v>
      </c>
      <c r="C771" s="1" t="s">
        <v>83</v>
      </c>
      <c r="D771" s="1" t="s">
        <v>73</v>
      </c>
      <c r="E771" s="1" t="s">
        <v>99</v>
      </c>
      <c r="F771" s="1" t="s">
        <v>128</v>
      </c>
      <c r="G771" s="1" t="s">
        <v>307</v>
      </c>
      <c r="H771" s="1" t="s">
        <v>570</v>
      </c>
      <c r="I771" s="1"/>
      <c r="J771" s="9" t="s">
        <v>544</v>
      </c>
      <c r="K771" s="10">
        <v>0.58521483333333202</v>
      </c>
      <c r="L771" s="1" t="s">
        <v>76</v>
      </c>
      <c r="M771" s="1" t="s">
        <v>506</v>
      </c>
      <c r="N771" s="1" t="s">
        <v>645</v>
      </c>
      <c r="O771" s="1" t="s">
        <v>55</v>
      </c>
      <c r="P771" s="82">
        <v>0.995</v>
      </c>
      <c r="Q771" s="1" t="s">
        <v>76</v>
      </c>
      <c r="R771" s="81" t="s">
        <v>427</v>
      </c>
      <c r="S771" s="1">
        <v>3</v>
      </c>
      <c r="T771" s="1" t="s">
        <v>78</v>
      </c>
      <c r="U771" s="1" t="s">
        <v>658</v>
      </c>
      <c r="V771" s="1" t="s">
        <v>655</v>
      </c>
      <c r="W771" s="1">
        <v>16</v>
      </c>
      <c r="X771" s="1" t="s">
        <v>170</v>
      </c>
      <c r="Y771" s="1" t="s">
        <v>645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1E-3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0.995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55.246022310000001</v>
      </c>
      <c r="CN771" s="83">
        <v>26.942090570000001</v>
      </c>
    </row>
    <row r="772" spans="1:92" s="3" customFormat="1" x14ac:dyDescent="0.25">
      <c r="A772" s="72">
        <v>806</v>
      </c>
      <c r="B772" s="81" t="s">
        <v>1097</v>
      </c>
      <c r="C772" s="1" t="s">
        <v>83</v>
      </c>
      <c r="D772" s="1" t="s">
        <v>73</v>
      </c>
      <c r="E772" s="1" t="s">
        <v>74</v>
      </c>
      <c r="F772" s="1" t="s">
        <v>128</v>
      </c>
      <c r="G772" s="1" t="s">
        <v>303</v>
      </c>
      <c r="H772" s="1" t="s">
        <v>570</v>
      </c>
      <c r="I772" s="1"/>
      <c r="J772" s="9" t="s">
        <v>544</v>
      </c>
      <c r="K772" s="10">
        <v>0.39429266666666701</v>
      </c>
      <c r="L772" s="1" t="s">
        <v>641</v>
      </c>
      <c r="M772" s="1" t="s">
        <v>76</v>
      </c>
      <c r="N772" s="1" t="s">
        <v>644</v>
      </c>
      <c r="O772" s="1" t="s">
        <v>34</v>
      </c>
      <c r="P772" s="82">
        <v>0.40600000000000003</v>
      </c>
      <c r="Q772" s="1" t="s">
        <v>76</v>
      </c>
      <c r="R772" s="81" t="s">
        <v>427</v>
      </c>
      <c r="S772" s="1">
        <v>3</v>
      </c>
      <c r="T772" s="1" t="s">
        <v>78</v>
      </c>
      <c r="U772" s="1" t="s">
        <v>658</v>
      </c>
      <c r="V772" s="1" t="s">
        <v>655</v>
      </c>
      <c r="W772" s="1">
        <v>63</v>
      </c>
      <c r="X772" s="1" t="s">
        <v>423</v>
      </c>
      <c r="Y772" s="1" t="s">
        <v>644</v>
      </c>
      <c r="Z772" s="1">
        <v>0</v>
      </c>
      <c r="AA772" s="1">
        <v>2E-3</v>
      </c>
      <c r="AB772" s="1">
        <v>1E-3</v>
      </c>
      <c r="AC772" s="1">
        <v>2E-3</v>
      </c>
      <c r="AD772" s="1">
        <v>1E-3</v>
      </c>
      <c r="AE772" s="1">
        <v>1E-3</v>
      </c>
      <c r="AF772" s="1">
        <v>1E-3</v>
      </c>
      <c r="AG772" s="1">
        <v>0</v>
      </c>
      <c r="AH772" s="1">
        <v>3.0000000000000001E-3</v>
      </c>
      <c r="AI772" s="1">
        <v>1E-3</v>
      </c>
      <c r="AJ772" s="1">
        <v>1E-3</v>
      </c>
      <c r="AK772" s="1">
        <v>1E-3</v>
      </c>
      <c r="AL772" s="1">
        <v>0.13600000000000001</v>
      </c>
      <c r="AM772" s="1">
        <v>0</v>
      </c>
      <c r="AN772" s="1">
        <v>1E-3</v>
      </c>
      <c r="AO772" s="1">
        <v>1E-3</v>
      </c>
      <c r="AP772" s="1">
        <v>1E-3</v>
      </c>
      <c r="AQ772" s="1">
        <v>1E-3</v>
      </c>
      <c r="AR772" s="1">
        <v>1E-3</v>
      </c>
      <c r="AS772" s="1">
        <v>2E-3</v>
      </c>
      <c r="AT772" s="1">
        <v>2E-3</v>
      </c>
      <c r="AU772" s="1">
        <v>1E-3</v>
      </c>
      <c r="AV772" s="1">
        <v>1E-3</v>
      </c>
      <c r="AW772" s="1">
        <v>1E-3</v>
      </c>
      <c r="AX772" s="1">
        <v>0.17299999999999999</v>
      </c>
      <c r="AY772" s="1">
        <v>1E-3</v>
      </c>
      <c r="AZ772" s="1">
        <v>1E-3</v>
      </c>
      <c r="BA772" s="1">
        <v>2E-3</v>
      </c>
      <c r="BB772" s="1">
        <v>1E-3</v>
      </c>
      <c r="BC772" s="1">
        <v>0.40600000000000003</v>
      </c>
      <c r="BD772" s="1">
        <v>2E-3</v>
      </c>
      <c r="BE772" s="1">
        <v>1E-3</v>
      </c>
      <c r="BF772" s="1">
        <v>0</v>
      </c>
      <c r="BG772" s="1">
        <v>1E-3</v>
      </c>
      <c r="BH772" s="1">
        <v>1E-3</v>
      </c>
      <c r="BI772" s="1">
        <v>0</v>
      </c>
      <c r="BJ772" s="1">
        <v>0</v>
      </c>
      <c r="BK772" s="1">
        <v>0</v>
      </c>
      <c r="BL772" s="1">
        <v>1.0999999999999999E-2</v>
      </c>
      <c r="BM772" s="1">
        <v>8.0000000000000002E-3</v>
      </c>
      <c r="BN772" s="1">
        <v>1E-3</v>
      </c>
      <c r="BO772" s="1">
        <v>0</v>
      </c>
      <c r="BP772" s="1">
        <v>0</v>
      </c>
      <c r="BQ772" s="1">
        <v>3.0000000000000001E-3</v>
      </c>
      <c r="BR772" s="1">
        <v>1E-3</v>
      </c>
      <c r="BS772" s="1">
        <v>1E-3</v>
      </c>
      <c r="BT772" s="1">
        <v>0</v>
      </c>
      <c r="BU772" s="1">
        <v>1E-3</v>
      </c>
      <c r="BV772" s="1">
        <v>0</v>
      </c>
      <c r="BW772" s="1">
        <v>1E-3</v>
      </c>
      <c r="BX772" s="1">
        <v>4.0000000000000001E-3</v>
      </c>
      <c r="BY772" s="1">
        <v>4.0000000000000001E-3</v>
      </c>
      <c r="BZ772" s="1">
        <v>5.0000000000000001E-3</v>
      </c>
      <c r="CA772" s="1">
        <v>1E-3</v>
      </c>
      <c r="CB772" s="1">
        <v>0</v>
      </c>
      <c r="CC772" s="1">
        <v>1E-3</v>
      </c>
      <c r="CD772" s="1">
        <v>0</v>
      </c>
      <c r="CE772" s="1">
        <v>1E-3</v>
      </c>
      <c r="CF772" s="1">
        <v>1E-3</v>
      </c>
      <c r="CG772" s="1">
        <v>1E-3</v>
      </c>
      <c r="CH772" s="1">
        <v>2E-3</v>
      </c>
      <c r="CI772" s="1">
        <v>1E-3</v>
      </c>
      <c r="CJ772" s="1">
        <v>2E-3</v>
      </c>
      <c r="CK772" s="1">
        <v>0.19600000000000001</v>
      </c>
      <c r="CL772" s="1">
        <v>2E-3</v>
      </c>
      <c r="CM772" s="1">
        <v>37.027556109999999</v>
      </c>
      <c r="CN772" s="83">
        <v>-24.750798110000002</v>
      </c>
    </row>
    <row r="773" spans="1:92" s="3" customFormat="1" x14ac:dyDescent="0.25">
      <c r="A773" s="72">
        <v>807</v>
      </c>
      <c r="B773" s="81" t="s">
        <v>1012</v>
      </c>
      <c r="C773" s="1" t="s">
        <v>83</v>
      </c>
      <c r="D773" s="1" t="s">
        <v>73</v>
      </c>
      <c r="E773" s="1" t="s">
        <v>74</v>
      </c>
      <c r="F773" s="1" t="s">
        <v>93</v>
      </c>
      <c r="G773" s="1" t="s">
        <v>94</v>
      </c>
      <c r="H773" s="1" t="s">
        <v>525</v>
      </c>
      <c r="I773" s="1"/>
      <c r="J773" s="9" t="s">
        <v>506</v>
      </c>
      <c r="K773" s="10">
        <v>0.3653265</v>
      </c>
      <c r="L773" s="1" t="s">
        <v>607</v>
      </c>
      <c r="M773" s="1" t="s">
        <v>506</v>
      </c>
      <c r="N773" s="2" t="s">
        <v>1711</v>
      </c>
      <c r="O773" s="1" t="s">
        <v>34</v>
      </c>
      <c r="P773" s="82">
        <v>0.92100000000000004</v>
      </c>
      <c r="Q773" s="1" t="s">
        <v>76</v>
      </c>
      <c r="R773" s="81" t="s">
        <v>114</v>
      </c>
      <c r="S773" s="1">
        <v>3</v>
      </c>
      <c r="T773" s="1" t="s">
        <v>78</v>
      </c>
      <c r="U773" s="1" t="s">
        <v>659</v>
      </c>
      <c r="V773" s="1" t="s">
        <v>655</v>
      </c>
      <c r="W773" s="1">
        <v>43</v>
      </c>
      <c r="X773" s="1" t="s">
        <v>423</v>
      </c>
      <c r="Y773" s="2" t="s">
        <v>1711</v>
      </c>
      <c r="Z773" s="1">
        <v>0</v>
      </c>
      <c r="AA773" s="1">
        <v>0</v>
      </c>
      <c r="AB773" s="1">
        <v>0</v>
      </c>
      <c r="AC773" s="1">
        <v>1E-3</v>
      </c>
      <c r="AD773" s="1">
        <v>0</v>
      </c>
      <c r="AE773" s="1">
        <v>0</v>
      </c>
      <c r="AF773" s="1">
        <v>0</v>
      </c>
      <c r="AG773" s="1">
        <v>0</v>
      </c>
      <c r="AH773" s="1">
        <v>1E-3</v>
      </c>
      <c r="AI773" s="1">
        <v>0</v>
      </c>
      <c r="AJ773" s="1">
        <v>0</v>
      </c>
      <c r="AK773" s="1">
        <v>0</v>
      </c>
      <c r="AL773" s="1">
        <v>1.2E-2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1E-3</v>
      </c>
      <c r="AT773" s="1">
        <v>0</v>
      </c>
      <c r="AU773" s="1">
        <v>0</v>
      </c>
      <c r="AV773" s="1">
        <v>0</v>
      </c>
      <c r="AW773" s="1">
        <v>0</v>
      </c>
      <c r="AX773" s="1">
        <v>1E-3</v>
      </c>
      <c r="AY773" s="1">
        <v>0</v>
      </c>
      <c r="AZ773" s="1">
        <v>0</v>
      </c>
      <c r="BA773" s="1">
        <v>0</v>
      </c>
      <c r="BB773" s="1">
        <v>0</v>
      </c>
      <c r="BC773" s="1">
        <v>0.92100000000000004</v>
      </c>
      <c r="BD773" s="1">
        <v>1E-3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1E-3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4.4999999999999998E-2</v>
      </c>
      <c r="BY773" s="1">
        <v>1E-3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6.0000000000000001E-3</v>
      </c>
      <c r="CL773" s="1">
        <v>0</v>
      </c>
      <c r="CM773" s="1">
        <v>45.821213999999998</v>
      </c>
      <c r="CN773" s="83">
        <v>-5.0909691490000002</v>
      </c>
    </row>
    <row r="774" spans="1:92" s="3" customFormat="1" x14ac:dyDescent="0.25">
      <c r="A774" s="72">
        <v>808</v>
      </c>
      <c r="B774" s="81" t="s">
        <v>849</v>
      </c>
      <c r="C774" s="1" t="s">
        <v>83</v>
      </c>
      <c r="D774" s="1" t="s">
        <v>73</v>
      </c>
      <c r="E774" s="1" t="s">
        <v>99</v>
      </c>
      <c r="F774" s="1" t="s">
        <v>128</v>
      </c>
      <c r="G774" s="1" t="s">
        <v>307</v>
      </c>
      <c r="H774" s="1" t="s">
        <v>570</v>
      </c>
      <c r="I774" s="1"/>
      <c r="J774" s="9" t="s">
        <v>544</v>
      </c>
      <c r="K774" s="10">
        <v>0.49856533333333303</v>
      </c>
      <c r="L774" s="1" t="s">
        <v>76</v>
      </c>
      <c r="M774" s="1" t="s">
        <v>506</v>
      </c>
      <c r="N774" s="1" t="s">
        <v>645</v>
      </c>
      <c r="O774" s="1" t="s">
        <v>55</v>
      </c>
      <c r="P774" s="82">
        <v>0.999</v>
      </c>
      <c r="Q774" s="1" t="s">
        <v>76</v>
      </c>
      <c r="R774" s="81" t="s">
        <v>114</v>
      </c>
      <c r="S774" s="1">
        <v>3</v>
      </c>
      <c r="T774" s="1" t="s">
        <v>78</v>
      </c>
      <c r="U774" s="1" t="s">
        <v>658</v>
      </c>
      <c r="V774" s="1" t="s">
        <v>655</v>
      </c>
      <c r="W774" s="1">
        <v>9</v>
      </c>
      <c r="X774" s="1" t="s">
        <v>423</v>
      </c>
      <c r="Y774" s="1" t="s">
        <v>645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0.999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48.596536810000003</v>
      </c>
      <c r="CN774" s="83">
        <v>28.560561889999999</v>
      </c>
    </row>
    <row r="775" spans="1:92" s="3" customFormat="1" x14ac:dyDescent="0.25">
      <c r="A775" s="72">
        <v>809</v>
      </c>
      <c r="B775" s="81" t="s">
        <v>1697</v>
      </c>
      <c r="C775" s="1" t="s">
        <v>83</v>
      </c>
      <c r="D775" s="1" t="s">
        <v>73</v>
      </c>
      <c r="E775" s="1" t="s">
        <v>74</v>
      </c>
      <c r="F775" s="1" t="s">
        <v>267</v>
      </c>
      <c r="G775" s="1" t="s">
        <v>424</v>
      </c>
      <c r="H775" s="1" t="s">
        <v>13</v>
      </c>
      <c r="I775" s="1"/>
      <c r="J775" s="9" t="s">
        <v>544</v>
      </c>
      <c r="K775" s="10">
        <v>0.34709516666666701</v>
      </c>
      <c r="L775" s="1" t="s">
        <v>76</v>
      </c>
      <c r="M775" s="1" t="s">
        <v>506</v>
      </c>
      <c r="N775" s="1" t="s">
        <v>645</v>
      </c>
      <c r="O775" s="1" t="s">
        <v>13</v>
      </c>
      <c r="P775" s="82">
        <v>0.99199999999999999</v>
      </c>
      <c r="Q775" s="1" t="s">
        <v>76</v>
      </c>
      <c r="R775" s="81" t="s">
        <v>425</v>
      </c>
      <c r="S775" s="1" t="s">
        <v>424</v>
      </c>
      <c r="T775" s="1" t="s">
        <v>78</v>
      </c>
      <c r="U775" s="1" t="s">
        <v>658</v>
      </c>
      <c r="V775" s="1" t="s">
        <v>655</v>
      </c>
      <c r="W775" s="1" t="s">
        <v>424</v>
      </c>
      <c r="X775" s="1" t="s">
        <v>434</v>
      </c>
      <c r="Y775" s="1" t="s">
        <v>645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0.99199999999999999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1E-3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-30.152695520000002</v>
      </c>
      <c r="CN775" s="83">
        <v>-114.48944830000001</v>
      </c>
    </row>
    <row r="776" spans="1:92" s="3" customFormat="1" hidden="1" x14ac:dyDescent="0.25">
      <c r="A776" s="72">
        <v>810</v>
      </c>
      <c r="B776" s="81" t="s">
        <v>1648</v>
      </c>
      <c r="C776" s="1" t="s">
        <v>83</v>
      </c>
      <c r="D776" s="1" t="s">
        <v>73</v>
      </c>
      <c r="E776" s="1" t="s">
        <v>99</v>
      </c>
      <c r="F776" s="1" t="s">
        <v>426</v>
      </c>
      <c r="G776" s="1" t="s">
        <v>76</v>
      </c>
      <c r="H776" s="1" t="s">
        <v>537</v>
      </c>
      <c r="I776" s="1"/>
      <c r="J776" s="9" t="s">
        <v>544</v>
      </c>
      <c r="K776" s="10">
        <v>0.30229816666666698</v>
      </c>
      <c r="L776" s="1" t="s">
        <v>641</v>
      </c>
      <c r="M776" s="1" t="s">
        <v>76</v>
      </c>
      <c r="N776" s="1" t="s">
        <v>644</v>
      </c>
      <c r="O776" s="1" t="s">
        <v>39</v>
      </c>
      <c r="P776" s="82">
        <v>0.83099999999999996</v>
      </c>
      <c r="Q776" s="1" t="s">
        <v>76</v>
      </c>
      <c r="R776" s="81" t="s">
        <v>87</v>
      </c>
      <c r="S776" s="1" t="s">
        <v>76</v>
      </c>
      <c r="T776" s="1" t="s">
        <v>76</v>
      </c>
      <c r="U776" s="1" t="s">
        <v>76</v>
      </c>
      <c r="V776" s="1" t="s">
        <v>655</v>
      </c>
      <c r="W776" s="1">
        <v>73</v>
      </c>
      <c r="X776" s="1" t="s">
        <v>76</v>
      </c>
      <c r="Y776" s="1" t="s">
        <v>644</v>
      </c>
      <c r="Z776" s="1">
        <v>1E-3</v>
      </c>
      <c r="AA776" s="1">
        <v>1E-3</v>
      </c>
      <c r="AB776" s="1">
        <v>1E-3</v>
      </c>
      <c r="AC776" s="1">
        <v>2.8000000000000001E-2</v>
      </c>
      <c r="AD776" s="1">
        <v>2E-3</v>
      </c>
      <c r="AE776" s="1">
        <v>2E-3</v>
      </c>
      <c r="AF776" s="1">
        <v>1E-3</v>
      </c>
      <c r="AG776" s="1">
        <v>0</v>
      </c>
      <c r="AH776" s="1">
        <v>7.0000000000000001E-3</v>
      </c>
      <c r="AI776" s="1">
        <v>1E-3</v>
      </c>
      <c r="AJ776" s="1">
        <v>1E-3</v>
      </c>
      <c r="AK776" s="1">
        <v>3.0000000000000001E-3</v>
      </c>
      <c r="AL776" s="1">
        <v>0</v>
      </c>
      <c r="AM776" s="1">
        <v>1E-3</v>
      </c>
      <c r="AN776" s="1">
        <v>2E-3</v>
      </c>
      <c r="AO776" s="1">
        <v>2E-3</v>
      </c>
      <c r="AP776" s="1">
        <v>0.01</v>
      </c>
      <c r="AQ776" s="1">
        <v>1E-3</v>
      </c>
      <c r="AR776" s="1">
        <v>1E-3</v>
      </c>
      <c r="AS776" s="1">
        <v>4.0000000000000001E-3</v>
      </c>
      <c r="AT776" s="1">
        <v>3.0000000000000001E-3</v>
      </c>
      <c r="AU776" s="1">
        <v>1E-3</v>
      </c>
      <c r="AV776" s="1">
        <v>1E-3</v>
      </c>
      <c r="AW776" s="1">
        <v>2E-3</v>
      </c>
      <c r="AX776" s="1">
        <v>1E-3</v>
      </c>
      <c r="AY776" s="1">
        <v>3.0000000000000001E-3</v>
      </c>
      <c r="AZ776" s="1">
        <v>2E-3</v>
      </c>
      <c r="BA776" s="1">
        <v>6.0000000000000001E-3</v>
      </c>
      <c r="BB776" s="1">
        <v>1E-3</v>
      </c>
      <c r="BC776" s="1">
        <v>1E-3</v>
      </c>
      <c r="BD776" s="1">
        <v>8.0000000000000002E-3</v>
      </c>
      <c r="BE776" s="1">
        <v>1E-3</v>
      </c>
      <c r="BF776" s="1">
        <v>2E-3</v>
      </c>
      <c r="BG776" s="1">
        <v>1E-3</v>
      </c>
      <c r="BH776" s="1">
        <v>0.83099999999999996</v>
      </c>
      <c r="BI776" s="1">
        <v>1E-3</v>
      </c>
      <c r="BJ776" s="1">
        <v>0</v>
      </c>
      <c r="BK776" s="1">
        <v>1E-3</v>
      </c>
      <c r="BL776" s="1">
        <v>2E-3</v>
      </c>
      <c r="BM776" s="1">
        <v>1E-3</v>
      </c>
      <c r="BN776" s="1">
        <v>2E-3</v>
      </c>
      <c r="BO776" s="1">
        <v>1E-3</v>
      </c>
      <c r="BP776" s="1">
        <v>0</v>
      </c>
      <c r="BQ776" s="1">
        <v>3.0000000000000001E-3</v>
      </c>
      <c r="BR776" s="1">
        <v>2E-3</v>
      </c>
      <c r="BS776" s="1">
        <v>1E-3</v>
      </c>
      <c r="BT776" s="1">
        <v>1E-3</v>
      </c>
      <c r="BU776" s="1">
        <v>2E-3</v>
      </c>
      <c r="BV776" s="1">
        <v>1E-3</v>
      </c>
      <c r="BW776" s="1">
        <v>1E-3</v>
      </c>
      <c r="BX776" s="1">
        <v>5.0000000000000001E-3</v>
      </c>
      <c r="BY776" s="1">
        <v>4.0000000000000001E-3</v>
      </c>
      <c r="BZ776" s="1">
        <v>2E-3</v>
      </c>
      <c r="CA776" s="1">
        <v>1E-3</v>
      </c>
      <c r="CB776" s="1">
        <v>0</v>
      </c>
      <c r="CC776" s="1">
        <v>1E-3</v>
      </c>
      <c r="CD776" s="1">
        <v>0</v>
      </c>
      <c r="CE776" s="1">
        <v>1E-3</v>
      </c>
      <c r="CF776" s="1">
        <v>2E-3</v>
      </c>
      <c r="CG776" s="1">
        <v>2E-3</v>
      </c>
      <c r="CH776" s="1">
        <v>3.0000000000000001E-3</v>
      </c>
      <c r="CI776" s="1">
        <v>3.0000000000000001E-3</v>
      </c>
      <c r="CJ776" s="1">
        <v>4.0000000000000001E-3</v>
      </c>
      <c r="CK776" s="1">
        <v>1.4E-2</v>
      </c>
      <c r="CL776" s="1">
        <v>3.0000000000000001E-3</v>
      </c>
      <c r="CM776" s="1">
        <v>-32.598280709999997</v>
      </c>
      <c r="CN776" s="83">
        <v>-67.147747960000004</v>
      </c>
    </row>
    <row r="777" spans="1:92" s="3" customFormat="1" x14ac:dyDescent="0.25">
      <c r="A777" s="72">
        <v>228</v>
      </c>
      <c r="B777" s="81" t="s">
        <v>1230</v>
      </c>
      <c r="C777" s="1" t="s">
        <v>83</v>
      </c>
      <c r="D777" s="1" t="s">
        <v>73</v>
      </c>
      <c r="E777" s="1" t="s">
        <v>74</v>
      </c>
      <c r="F777" s="1" t="s">
        <v>669</v>
      </c>
      <c r="G777" s="1" t="s">
        <v>76</v>
      </c>
      <c r="H777" s="1" t="s">
        <v>68</v>
      </c>
      <c r="I777" s="1"/>
      <c r="J777" s="9" t="s">
        <v>544</v>
      </c>
      <c r="K777" s="10">
        <v>0.42573800000000001</v>
      </c>
      <c r="L777" s="1" t="s">
        <v>616</v>
      </c>
      <c r="M777" s="1" t="s">
        <v>506</v>
      </c>
      <c r="N777" s="1" t="s">
        <v>648</v>
      </c>
      <c r="O777" s="1" t="s">
        <v>43</v>
      </c>
      <c r="P777" s="82">
        <v>0.998</v>
      </c>
      <c r="Q777" s="1" t="s">
        <v>76</v>
      </c>
      <c r="R777" s="81" t="s">
        <v>157</v>
      </c>
      <c r="S777" s="1">
        <v>3</v>
      </c>
      <c r="T777" s="1" t="s">
        <v>120</v>
      </c>
      <c r="U777" s="1" t="s">
        <v>658</v>
      </c>
      <c r="V777" s="1" t="s">
        <v>655</v>
      </c>
      <c r="W777" s="1">
        <v>61</v>
      </c>
      <c r="X777" s="1" t="s">
        <v>170</v>
      </c>
      <c r="Y777" s="1" t="s">
        <v>648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0.998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1E-3</v>
      </c>
      <c r="CM777" s="1">
        <v>-68.608507090000003</v>
      </c>
      <c r="CN777" s="83">
        <v>-13.997013539999999</v>
      </c>
    </row>
    <row r="778" spans="1:92" s="3" customFormat="1" x14ac:dyDescent="0.25">
      <c r="A778" s="72">
        <v>812</v>
      </c>
      <c r="B778" s="81" t="s">
        <v>719</v>
      </c>
      <c r="C778" s="1" t="s">
        <v>83</v>
      </c>
      <c r="D778" s="1" t="s">
        <v>73</v>
      </c>
      <c r="E778" s="1" t="s">
        <v>74</v>
      </c>
      <c r="F778" s="1" t="s">
        <v>665</v>
      </c>
      <c r="G778" s="1" t="s">
        <v>98</v>
      </c>
      <c r="H778" s="1" t="s">
        <v>48</v>
      </c>
      <c r="I778" s="1"/>
      <c r="J778" s="9" t="s">
        <v>544</v>
      </c>
      <c r="K778" s="10">
        <v>0.60995833333333305</v>
      </c>
      <c r="L778" s="1" t="s">
        <v>76</v>
      </c>
      <c r="M778" s="1" t="s">
        <v>506</v>
      </c>
      <c r="N778" s="1" t="s">
        <v>645</v>
      </c>
      <c r="O778" s="1" t="s">
        <v>48</v>
      </c>
      <c r="P778" s="82">
        <v>1</v>
      </c>
      <c r="Q778" s="1" t="s">
        <v>76</v>
      </c>
      <c r="R778" s="81" t="s">
        <v>169</v>
      </c>
      <c r="S778" s="1">
        <v>2</v>
      </c>
      <c r="T778" s="1" t="s">
        <v>120</v>
      </c>
      <c r="U778" s="1" t="s">
        <v>658</v>
      </c>
      <c r="V778" s="1" t="s">
        <v>655</v>
      </c>
      <c r="W778" s="1">
        <v>36</v>
      </c>
      <c r="X778" s="1" t="s">
        <v>434</v>
      </c>
      <c r="Y778" s="1" t="s">
        <v>645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1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-60.629863290000003</v>
      </c>
      <c r="CN778" s="83">
        <v>53.725176210000001</v>
      </c>
    </row>
    <row r="779" spans="1:92" s="3" customFormat="1" hidden="1" x14ac:dyDescent="0.25">
      <c r="A779" s="72">
        <v>815</v>
      </c>
      <c r="B779" s="81" t="s">
        <v>1480</v>
      </c>
      <c r="C779" s="1" t="s">
        <v>83</v>
      </c>
      <c r="D779" s="1" t="s">
        <v>301</v>
      </c>
      <c r="E779" s="1" t="s">
        <v>76</v>
      </c>
      <c r="F779" s="1" t="s">
        <v>301</v>
      </c>
      <c r="G779" s="1" t="s">
        <v>76</v>
      </c>
      <c r="H779" s="1" t="s">
        <v>537</v>
      </c>
      <c r="I779" s="1"/>
      <c r="J779" s="9" t="s">
        <v>544</v>
      </c>
      <c r="K779" s="10">
        <v>0.31849066666666698</v>
      </c>
      <c r="L779" s="1" t="s">
        <v>76</v>
      </c>
      <c r="M779" s="1" t="s">
        <v>506</v>
      </c>
      <c r="N779" s="1" t="s">
        <v>645</v>
      </c>
      <c r="O779" s="1" t="s">
        <v>21</v>
      </c>
      <c r="P779" s="82">
        <v>0.99199999999999999</v>
      </c>
      <c r="Q779" s="1" t="s">
        <v>76</v>
      </c>
      <c r="R779" s="81" t="s">
        <v>76</v>
      </c>
      <c r="S779" s="1" t="s">
        <v>76</v>
      </c>
      <c r="T779" s="1" t="s">
        <v>76</v>
      </c>
      <c r="U779" s="1" t="s">
        <v>76</v>
      </c>
      <c r="V779" s="1" t="s">
        <v>656</v>
      </c>
      <c r="W779" s="1" t="s">
        <v>269</v>
      </c>
      <c r="X779" s="1" t="s">
        <v>76</v>
      </c>
      <c r="Y779" s="1" t="s">
        <v>645</v>
      </c>
      <c r="Z779" s="1">
        <v>0</v>
      </c>
      <c r="AA779" s="1">
        <v>0</v>
      </c>
      <c r="AB779" s="1">
        <v>0</v>
      </c>
      <c r="AC779" s="1">
        <v>1E-3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0.99199999999999999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1E-3</v>
      </c>
      <c r="CL779" s="1">
        <v>0</v>
      </c>
      <c r="CM779" s="1">
        <v>-60.685715539999997</v>
      </c>
      <c r="CN779" s="83">
        <v>-79.913903500000004</v>
      </c>
    </row>
    <row r="780" spans="1:92" s="3" customFormat="1" x14ac:dyDescent="0.25">
      <c r="A780" s="72">
        <v>816</v>
      </c>
      <c r="B780" s="81" t="s">
        <v>1098</v>
      </c>
      <c r="C780" s="1" t="s">
        <v>83</v>
      </c>
      <c r="D780" s="1" t="s">
        <v>73</v>
      </c>
      <c r="E780" s="1" t="s">
        <v>99</v>
      </c>
      <c r="F780" s="1" t="s">
        <v>128</v>
      </c>
      <c r="G780" s="1" t="s">
        <v>303</v>
      </c>
      <c r="H780" s="1" t="s">
        <v>570</v>
      </c>
      <c r="I780" s="1"/>
      <c r="J780" s="9" t="s">
        <v>544</v>
      </c>
      <c r="K780" s="10">
        <v>0.53710866666666701</v>
      </c>
      <c r="L780" s="1" t="s">
        <v>641</v>
      </c>
      <c r="M780" s="1" t="s">
        <v>76</v>
      </c>
      <c r="N780" s="1" t="s">
        <v>644</v>
      </c>
      <c r="O780" s="1" t="s">
        <v>56</v>
      </c>
      <c r="P780" s="82">
        <v>0.17699999999999999</v>
      </c>
      <c r="Q780" s="1" t="s">
        <v>76</v>
      </c>
      <c r="R780" s="81" t="s">
        <v>436</v>
      </c>
      <c r="S780" s="1">
        <v>3</v>
      </c>
      <c r="T780" s="1" t="s">
        <v>78</v>
      </c>
      <c r="U780" s="1" t="s">
        <v>658</v>
      </c>
      <c r="V780" s="1" t="s">
        <v>655</v>
      </c>
      <c r="W780" s="1">
        <v>12</v>
      </c>
      <c r="X780" s="1" t="s">
        <v>423</v>
      </c>
      <c r="Y780" s="1" t="s">
        <v>644</v>
      </c>
      <c r="Z780" s="1">
        <v>3.0000000000000001E-3</v>
      </c>
      <c r="AA780" s="1">
        <v>6.0000000000000001E-3</v>
      </c>
      <c r="AB780" s="1">
        <v>6.0000000000000001E-3</v>
      </c>
      <c r="AC780" s="1">
        <v>2.3E-2</v>
      </c>
      <c r="AD780" s="1">
        <v>2.1000000000000001E-2</v>
      </c>
      <c r="AE780" s="1">
        <v>4.0000000000000001E-3</v>
      </c>
      <c r="AF780" s="1">
        <v>6.0000000000000001E-3</v>
      </c>
      <c r="AG780" s="1">
        <v>1E-3</v>
      </c>
      <c r="AH780" s="1">
        <v>1.9E-2</v>
      </c>
      <c r="AI780" s="1">
        <v>3.0000000000000001E-3</v>
      </c>
      <c r="AJ780" s="1">
        <v>4.0000000000000001E-3</v>
      </c>
      <c r="AK780" s="1">
        <v>3.2000000000000001E-2</v>
      </c>
      <c r="AL780" s="1">
        <v>1E-3</v>
      </c>
      <c r="AM780" s="1">
        <v>3.0000000000000001E-3</v>
      </c>
      <c r="AN780" s="1">
        <v>7.0000000000000001E-3</v>
      </c>
      <c r="AO780" s="1">
        <v>6.0000000000000001E-3</v>
      </c>
      <c r="AP780" s="1">
        <v>4.0000000000000001E-3</v>
      </c>
      <c r="AQ780" s="1">
        <v>8.0000000000000002E-3</v>
      </c>
      <c r="AR780" s="1">
        <v>4.0000000000000001E-3</v>
      </c>
      <c r="AS780" s="1">
        <v>2.1000000000000001E-2</v>
      </c>
      <c r="AT780" s="1">
        <v>0.01</v>
      </c>
      <c r="AU780" s="1">
        <v>5.0000000000000001E-3</v>
      </c>
      <c r="AV780" s="1">
        <v>3.0000000000000001E-3</v>
      </c>
      <c r="AW780" s="1">
        <v>1.4E-2</v>
      </c>
      <c r="AX780" s="1">
        <v>7.0000000000000001E-3</v>
      </c>
      <c r="AY780" s="1">
        <v>1.4999999999999999E-2</v>
      </c>
      <c r="AZ780" s="1">
        <v>1.4999999999999999E-2</v>
      </c>
      <c r="BA780" s="1">
        <v>4.3999999999999997E-2</v>
      </c>
      <c r="BB780" s="1">
        <v>6.0000000000000001E-3</v>
      </c>
      <c r="BC780" s="1">
        <v>3.0000000000000001E-3</v>
      </c>
      <c r="BD780" s="1">
        <v>2.9000000000000001E-2</v>
      </c>
      <c r="BE780" s="1">
        <v>4.0000000000000001E-3</v>
      </c>
      <c r="BF780" s="1">
        <v>2E-3</v>
      </c>
      <c r="BG780" s="1">
        <v>4.0000000000000001E-3</v>
      </c>
      <c r="BH780" s="1">
        <v>3.0000000000000001E-3</v>
      </c>
      <c r="BI780" s="1">
        <v>4.0000000000000001E-3</v>
      </c>
      <c r="BJ780" s="1">
        <v>3.0000000000000001E-3</v>
      </c>
      <c r="BK780" s="1">
        <v>3.0000000000000001E-3</v>
      </c>
      <c r="BL780" s="1">
        <v>1.2E-2</v>
      </c>
      <c r="BM780" s="1">
        <v>5.0000000000000001E-3</v>
      </c>
      <c r="BN780" s="1">
        <v>1.4E-2</v>
      </c>
      <c r="BO780" s="1">
        <v>3.0000000000000001E-3</v>
      </c>
      <c r="BP780" s="1">
        <v>2E-3</v>
      </c>
      <c r="BQ780" s="1">
        <v>1.6E-2</v>
      </c>
      <c r="BR780" s="1">
        <v>8.0000000000000002E-3</v>
      </c>
      <c r="BS780" s="1">
        <v>4.0000000000000001E-3</v>
      </c>
      <c r="BT780" s="1">
        <v>3.0000000000000001E-3</v>
      </c>
      <c r="BU780" s="1">
        <v>1.7000000000000001E-2</v>
      </c>
      <c r="BV780" s="1">
        <v>3.0000000000000001E-3</v>
      </c>
      <c r="BW780" s="1">
        <v>6.0000000000000001E-3</v>
      </c>
      <c r="BX780" s="1">
        <v>2.3E-2</v>
      </c>
      <c r="BY780" s="1">
        <v>0.17699999999999999</v>
      </c>
      <c r="BZ780" s="1">
        <v>0.08</v>
      </c>
      <c r="CA780" s="1">
        <v>6.7000000000000004E-2</v>
      </c>
      <c r="CB780" s="1">
        <v>5.0000000000000001E-3</v>
      </c>
      <c r="CC780" s="1">
        <v>1.6E-2</v>
      </c>
      <c r="CD780" s="1">
        <v>1E-3</v>
      </c>
      <c r="CE780" s="1">
        <v>5.0000000000000001E-3</v>
      </c>
      <c r="CF780" s="1">
        <v>5.0000000000000001E-3</v>
      </c>
      <c r="CG780" s="1">
        <v>3.1E-2</v>
      </c>
      <c r="CH780" s="1">
        <v>8.9999999999999993E-3</v>
      </c>
      <c r="CI780" s="1">
        <v>8.0000000000000002E-3</v>
      </c>
      <c r="CJ780" s="1">
        <v>0.03</v>
      </c>
      <c r="CK780" s="1">
        <v>4.1000000000000002E-2</v>
      </c>
      <c r="CL780" s="1">
        <v>5.5E-2</v>
      </c>
      <c r="CM780" s="1">
        <v>-61.613792740000001</v>
      </c>
      <c r="CN780" s="83">
        <v>2.1273324439999999</v>
      </c>
    </row>
    <row r="781" spans="1:92" s="3" customFormat="1" x14ac:dyDescent="0.25">
      <c r="A781" s="72">
        <v>817</v>
      </c>
      <c r="B781" s="81" t="s">
        <v>1107</v>
      </c>
      <c r="C781" s="1" t="s">
        <v>83</v>
      </c>
      <c r="D781" s="1" t="s">
        <v>73</v>
      </c>
      <c r="E781" s="1" t="s">
        <v>99</v>
      </c>
      <c r="F781" s="1" t="s">
        <v>128</v>
      </c>
      <c r="G781" s="1" t="s">
        <v>182</v>
      </c>
      <c r="H781" s="1" t="s">
        <v>570</v>
      </c>
      <c r="I781" s="1"/>
      <c r="J781" s="9" t="s">
        <v>544</v>
      </c>
      <c r="K781" s="10">
        <v>0.36086833333333301</v>
      </c>
      <c r="L781" s="1" t="s">
        <v>76</v>
      </c>
      <c r="M781" s="1" t="s">
        <v>506</v>
      </c>
      <c r="N781" s="1" t="s">
        <v>645</v>
      </c>
      <c r="O781" s="1" t="s">
        <v>55</v>
      </c>
      <c r="P781" s="82">
        <v>0.998</v>
      </c>
      <c r="Q781" s="1" t="s">
        <v>76</v>
      </c>
      <c r="R781" s="81" t="s">
        <v>129</v>
      </c>
      <c r="S781" s="1">
        <v>3</v>
      </c>
      <c r="T781" s="1" t="s">
        <v>78</v>
      </c>
      <c r="U781" s="1" t="s">
        <v>659</v>
      </c>
      <c r="V781" s="1" t="s">
        <v>655</v>
      </c>
      <c r="W781" s="1">
        <v>20</v>
      </c>
      <c r="X781" s="1" t="s">
        <v>437</v>
      </c>
      <c r="Y781" s="1" t="s">
        <v>645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0.998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38.139896829999998</v>
      </c>
      <c r="CN781" s="83">
        <v>-10.08676354</v>
      </c>
    </row>
    <row r="782" spans="1:92" s="3" customFormat="1" x14ac:dyDescent="0.25">
      <c r="A782" s="72">
        <v>818</v>
      </c>
      <c r="B782" s="81" t="s">
        <v>770</v>
      </c>
      <c r="C782" s="1" t="s">
        <v>83</v>
      </c>
      <c r="D782" s="1" t="s">
        <v>73</v>
      </c>
      <c r="E782" s="1" t="s">
        <v>74</v>
      </c>
      <c r="F782" s="1" t="s">
        <v>128</v>
      </c>
      <c r="G782" s="1" t="s">
        <v>422</v>
      </c>
      <c r="H782" s="1" t="s">
        <v>570</v>
      </c>
      <c r="I782" s="1"/>
      <c r="J782" s="9" t="s">
        <v>544</v>
      </c>
      <c r="K782" s="10">
        <v>0.32122283333333301</v>
      </c>
      <c r="L782" s="1" t="s">
        <v>641</v>
      </c>
      <c r="M782" s="1" t="s">
        <v>76</v>
      </c>
      <c r="N782" s="1" t="s">
        <v>649</v>
      </c>
      <c r="O782" s="1" t="s">
        <v>55</v>
      </c>
      <c r="P782" s="82">
        <v>0.61799999999999999</v>
      </c>
      <c r="Q782" s="1" t="s">
        <v>76</v>
      </c>
      <c r="R782" s="81" t="s">
        <v>427</v>
      </c>
      <c r="S782" s="1">
        <v>3</v>
      </c>
      <c r="T782" s="1" t="s">
        <v>78</v>
      </c>
      <c r="U782" s="1" t="s">
        <v>658</v>
      </c>
      <c r="V782" s="1" t="s">
        <v>655</v>
      </c>
      <c r="W782" s="1">
        <v>46</v>
      </c>
      <c r="X782" s="1" t="s">
        <v>170</v>
      </c>
      <c r="Y782" s="1" t="s">
        <v>649</v>
      </c>
      <c r="Z782" s="1">
        <v>6.0000000000000001E-3</v>
      </c>
      <c r="AA782" s="1">
        <v>6.0000000000000001E-3</v>
      </c>
      <c r="AB782" s="1">
        <v>1E-3</v>
      </c>
      <c r="AC782" s="1">
        <v>1.4999999999999999E-2</v>
      </c>
      <c r="AD782" s="1">
        <v>2E-3</v>
      </c>
      <c r="AE782" s="1">
        <v>2E-3</v>
      </c>
      <c r="AF782" s="1">
        <v>1E-3</v>
      </c>
      <c r="AG782" s="1">
        <v>0</v>
      </c>
      <c r="AH782" s="1">
        <v>4.0000000000000001E-3</v>
      </c>
      <c r="AI782" s="1">
        <v>2E-3</v>
      </c>
      <c r="AJ782" s="1">
        <v>1E-3</v>
      </c>
      <c r="AK782" s="1">
        <v>1E-3</v>
      </c>
      <c r="AL782" s="1">
        <v>0</v>
      </c>
      <c r="AM782" s="1">
        <v>1E-3</v>
      </c>
      <c r="AN782" s="1">
        <v>0.02</v>
      </c>
      <c r="AO782" s="1">
        <v>1E-3</v>
      </c>
      <c r="AP782" s="1">
        <v>1E-3</v>
      </c>
      <c r="AQ782" s="1">
        <v>1E-3</v>
      </c>
      <c r="AR782" s="1">
        <v>1E-3</v>
      </c>
      <c r="AS782" s="1">
        <v>2E-3</v>
      </c>
      <c r="AT782" s="1">
        <v>2E-3</v>
      </c>
      <c r="AU782" s="1">
        <v>2E-3</v>
      </c>
      <c r="AV782" s="1">
        <v>1E-3</v>
      </c>
      <c r="AW782" s="1">
        <v>1E-3</v>
      </c>
      <c r="AX782" s="1">
        <v>1E-3</v>
      </c>
      <c r="AY782" s="1">
        <v>2E-3</v>
      </c>
      <c r="AZ782" s="1">
        <v>2E-3</v>
      </c>
      <c r="BA782" s="1">
        <v>3.0000000000000001E-3</v>
      </c>
      <c r="BB782" s="1">
        <v>1E-3</v>
      </c>
      <c r="BC782" s="1">
        <v>1E-3</v>
      </c>
      <c r="BD782" s="1">
        <v>4.0000000000000001E-3</v>
      </c>
      <c r="BE782" s="1">
        <v>1E-3</v>
      </c>
      <c r="BF782" s="1">
        <v>0.20799999999999999</v>
      </c>
      <c r="BG782" s="1">
        <v>0</v>
      </c>
      <c r="BH782" s="1">
        <v>5.0000000000000001E-3</v>
      </c>
      <c r="BI782" s="1">
        <v>1E-3</v>
      </c>
      <c r="BJ782" s="1">
        <v>0</v>
      </c>
      <c r="BK782" s="1">
        <v>1E-3</v>
      </c>
      <c r="BL782" s="1">
        <v>2E-3</v>
      </c>
      <c r="BM782" s="1">
        <v>1E-3</v>
      </c>
      <c r="BN782" s="1">
        <v>1E-3</v>
      </c>
      <c r="BO782" s="1">
        <v>1E-3</v>
      </c>
      <c r="BP782" s="1">
        <v>0</v>
      </c>
      <c r="BQ782" s="1">
        <v>1E-3</v>
      </c>
      <c r="BR782" s="1">
        <v>1E-3</v>
      </c>
      <c r="BS782" s="1">
        <v>2E-3</v>
      </c>
      <c r="BT782" s="1">
        <v>1E-3</v>
      </c>
      <c r="BU782" s="1">
        <v>1E-3</v>
      </c>
      <c r="BV782" s="1">
        <v>1E-3</v>
      </c>
      <c r="BW782" s="1">
        <v>1E-3</v>
      </c>
      <c r="BX782" s="1">
        <v>0.61799999999999999</v>
      </c>
      <c r="BY782" s="1">
        <v>3.0000000000000001E-3</v>
      </c>
      <c r="BZ782" s="1">
        <v>2E-3</v>
      </c>
      <c r="CA782" s="1">
        <v>2E-3</v>
      </c>
      <c r="CB782" s="1">
        <v>0</v>
      </c>
      <c r="CC782" s="1">
        <v>1E-3</v>
      </c>
      <c r="CD782" s="1">
        <v>0</v>
      </c>
      <c r="CE782" s="1">
        <v>1E-3</v>
      </c>
      <c r="CF782" s="1">
        <v>2E-3</v>
      </c>
      <c r="CG782" s="1">
        <v>2E-3</v>
      </c>
      <c r="CH782" s="1">
        <v>2E-3</v>
      </c>
      <c r="CI782" s="1">
        <v>1E-3</v>
      </c>
      <c r="CJ782" s="1">
        <v>2E-3</v>
      </c>
      <c r="CK782" s="1">
        <v>4.5999999999999999E-2</v>
      </c>
      <c r="CL782" s="1">
        <v>3.0000000000000001E-3</v>
      </c>
      <c r="CM782" s="1">
        <v>17.237352900000001</v>
      </c>
      <c r="CN782" s="83">
        <v>-40.343268160000001</v>
      </c>
    </row>
    <row r="783" spans="1:92" s="3" customFormat="1" x14ac:dyDescent="0.25">
      <c r="A783" s="72">
        <v>819</v>
      </c>
      <c r="B783" s="81" t="s">
        <v>783</v>
      </c>
      <c r="C783" s="1" t="s">
        <v>83</v>
      </c>
      <c r="D783" s="1" t="s">
        <v>73</v>
      </c>
      <c r="E783" s="1" t="s">
        <v>99</v>
      </c>
      <c r="F783" s="1" t="s">
        <v>128</v>
      </c>
      <c r="G783" s="1" t="s">
        <v>303</v>
      </c>
      <c r="H783" s="1" t="s">
        <v>570</v>
      </c>
      <c r="I783" s="1"/>
      <c r="J783" s="9" t="s">
        <v>544</v>
      </c>
      <c r="K783" s="10">
        <v>0.37276483333333399</v>
      </c>
      <c r="L783" s="1" t="s">
        <v>641</v>
      </c>
      <c r="M783" s="1" t="s">
        <v>76</v>
      </c>
      <c r="N783" s="1" t="s">
        <v>649</v>
      </c>
      <c r="O783" s="1" t="s">
        <v>55</v>
      </c>
      <c r="P783" s="82">
        <v>0.79900000000000004</v>
      </c>
      <c r="Q783" s="1" t="s">
        <v>76</v>
      </c>
      <c r="R783" s="81" t="s">
        <v>427</v>
      </c>
      <c r="S783" s="1">
        <v>3</v>
      </c>
      <c r="T783" s="1" t="s">
        <v>78</v>
      </c>
      <c r="U783" s="1" t="s">
        <v>658</v>
      </c>
      <c r="V783" s="1" t="s">
        <v>655</v>
      </c>
      <c r="W783" s="1">
        <v>11</v>
      </c>
      <c r="X783" s="1" t="s">
        <v>423</v>
      </c>
      <c r="Y783" s="1" t="s">
        <v>649</v>
      </c>
      <c r="Z783" s="1">
        <v>1E-3</v>
      </c>
      <c r="AA783" s="1">
        <v>2E-3</v>
      </c>
      <c r="AB783" s="1">
        <v>2E-3</v>
      </c>
      <c r="AC783" s="1">
        <v>7.0000000000000001E-3</v>
      </c>
      <c r="AD783" s="1">
        <v>2E-3</v>
      </c>
      <c r="AE783" s="1">
        <v>3.0000000000000001E-3</v>
      </c>
      <c r="AF783" s="1">
        <v>2E-3</v>
      </c>
      <c r="AG783" s="1">
        <v>0</v>
      </c>
      <c r="AH783" s="1">
        <v>5.0000000000000001E-3</v>
      </c>
      <c r="AI783" s="1">
        <v>0</v>
      </c>
      <c r="AJ783" s="1">
        <v>0.01</v>
      </c>
      <c r="AK783" s="1">
        <v>5.0000000000000001E-3</v>
      </c>
      <c r="AL783" s="1">
        <v>0</v>
      </c>
      <c r="AM783" s="1">
        <v>1E-3</v>
      </c>
      <c r="AN783" s="1">
        <v>3.0000000000000001E-3</v>
      </c>
      <c r="AO783" s="1">
        <v>2E-3</v>
      </c>
      <c r="AP783" s="1">
        <v>1E-3</v>
      </c>
      <c r="AQ783" s="1">
        <v>1E-3</v>
      </c>
      <c r="AR783" s="1">
        <v>1E-3</v>
      </c>
      <c r="AS783" s="1">
        <v>6.0000000000000001E-3</v>
      </c>
      <c r="AT783" s="1">
        <v>3.0000000000000001E-3</v>
      </c>
      <c r="AU783" s="1">
        <v>2E-3</v>
      </c>
      <c r="AV783" s="1">
        <v>1E-3</v>
      </c>
      <c r="AW783" s="1">
        <v>2E-3</v>
      </c>
      <c r="AX783" s="1">
        <v>1E-3</v>
      </c>
      <c r="AY783" s="1">
        <v>2E-3</v>
      </c>
      <c r="AZ783" s="1">
        <v>3.0000000000000001E-3</v>
      </c>
      <c r="BA783" s="1">
        <v>5.0000000000000001E-3</v>
      </c>
      <c r="BB783" s="1">
        <v>0.01</v>
      </c>
      <c r="BC783" s="1">
        <v>1E-3</v>
      </c>
      <c r="BD783" s="1">
        <v>8.0000000000000002E-3</v>
      </c>
      <c r="BE783" s="1">
        <v>1E-3</v>
      </c>
      <c r="BF783" s="1">
        <v>0</v>
      </c>
      <c r="BG783" s="1">
        <v>1E-3</v>
      </c>
      <c r="BH783" s="1">
        <v>1E-3</v>
      </c>
      <c r="BI783" s="1">
        <v>1E-3</v>
      </c>
      <c r="BJ783" s="1">
        <v>0</v>
      </c>
      <c r="BK783" s="1">
        <v>1E-3</v>
      </c>
      <c r="BL783" s="1">
        <v>2E-3</v>
      </c>
      <c r="BM783" s="1">
        <v>1E-3</v>
      </c>
      <c r="BN783" s="1">
        <v>3.0000000000000001E-3</v>
      </c>
      <c r="BO783" s="1">
        <v>7.0000000000000001E-3</v>
      </c>
      <c r="BP783" s="1">
        <v>0</v>
      </c>
      <c r="BQ783" s="1">
        <v>4.0000000000000001E-3</v>
      </c>
      <c r="BR783" s="1">
        <v>2E-3</v>
      </c>
      <c r="BS783" s="1">
        <v>1E-3</v>
      </c>
      <c r="BT783" s="1">
        <v>1E-3</v>
      </c>
      <c r="BU783" s="1">
        <v>5.0000000000000001E-3</v>
      </c>
      <c r="BV783" s="1">
        <v>1.7999999999999999E-2</v>
      </c>
      <c r="BW783" s="1">
        <v>2E-3</v>
      </c>
      <c r="BX783" s="1">
        <v>0.79900000000000004</v>
      </c>
      <c r="BY783" s="1">
        <v>5.0000000000000001E-3</v>
      </c>
      <c r="BZ783" s="1">
        <v>3.0000000000000001E-3</v>
      </c>
      <c r="CA783" s="1">
        <v>2E-3</v>
      </c>
      <c r="CB783" s="1">
        <v>1E-3</v>
      </c>
      <c r="CC783" s="1">
        <v>2E-3</v>
      </c>
      <c r="CD783" s="1">
        <v>0</v>
      </c>
      <c r="CE783" s="1">
        <v>1E-3</v>
      </c>
      <c r="CF783" s="1">
        <v>1E-3</v>
      </c>
      <c r="CG783" s="1">
        <v>8.0000000000000002E-3</v>
      </c>
      <c r="CH783" s="1">
        <v>3.0000000000000001E-3</v>
      </c>
      <c r="CI783" s="1">
        <v>2E-3</v>
      </c>
      <c r="CJ783" s="1">
        <v>5.0000000000000001E-3</v>
      </c>
      <c r="CK783" s="1">
        <v>2.4E-2</v>
      </c>
      <c r="CL783" s="1">
        <v>3.0000000000000001E-3</v>
      </c>
      <c r="CM783" s="1">
        <v>2.6640827599999999</v>
      </c>
      <c r="CN783" s="83">
        <v>12.95034281</v>
      </c>
    </row>
    <row r="784" spans="1:92" s="3" customFormat="1" x14ac:dyDescent="0.25">
      <c r="A784" s="72">
        <v>820</v>
      </c>
      <c r="B784" s="81" t="s">
        <v>786</v>
      </c>
      <c r="C784" s="1" t="s">
        <v>83</v>
      </c>
      <c r="D784" s="1" t="s">
        <v>73</v>
      </c>
      <c r="E784" s="1" t="s">
        <v>74</v>
      </c>
      <c r="F784" s="1" t="s">
        <v>128</v>
      </c>
      <c r="G784" s="1" t="s">
        <v>303</v>
      </c>
      <c r="H784" s="1" t="s">
        <v>570</v>
      </c>
      <c r="I784" s="1"/>
      <c r="J784" s="9" t="s">
        <v>544</v>
      </c>
      <c r="K784" s="10">
        <v>0.28861616666666701</v>
      </c>
      <c r="L784" s="1" t="s">
        <v>641</v>
      </c>
      <c r="M784" s="1" t="s">
        <v>76</v>
      </c>
      <c r="N784" s="1" t="s">
        <v>644</v>
      </c>
      <c r="O784" s="1" t="s">
        <v>5</v>
      </c>
      <c r="P784" s="82">
        <v>0.308</v>
      </c>
      <c r="Q784" s="1" t="s">
        <v>76</v>
      </c>
      <c r="R784" s="81" t="s">
        <v>81</v>
      </c>
      <c r="S784" s="1">
        <v>3</v>
      </c>
      <c r="T784" s="1" t="s">
        <v>78</v>
      </c>
      <c r="U784" s="1" t="s">
        <v>658</v>
      </c>
      <c r="V784" s="1" t="s">
        <v>655</v>
      </c>
      <c r="W784" s="1">
        <v>15</v>
      </c>
      <c r="X784" s="1" t="s">
        <v>423</v>
      </c>
      <c r="Y784" s="1" t="s">
        <v>644</v>
      </c>
      <c r="Z784" s="1">
        <v>0.308</v>
      </c>
      <c r="AA784" s="1">
        <v>1E-3</v>
      </c>
      <c r="AB784" s="1">
        <v>1E-3</v>
      </c>
      <c r="AC784" s="1">
        <v>0.01</v>
      </c>
      <c r="AD784" s="1">
        <v>2E-3</v>
      </c>
      <c r="AE784" s="1">
        <v>1E-3</v>
      </c>
      <c r="AF784" s="1">
        <v>1E-3</v>
      </c>
      <c r="AG784" s="1">
        <v>0</v>
      </c>
      <c r="AH784" s="1">
        <v>1.2E-2</v>
      </c>
      <c r="AI784" s="1">
        <v>1E-3</v>
      </c>
      <c r="AJ784" s="1">
        <v>1E-3</v>
      </c>
      <c r="AK784" s="1">
        <v>0</v>
      </c>
      <c r="AL784" s="1">
        <v>0</v>
      </c>
      <c r="AM784" s="1">
        <v>1E-3</v>
      </c>
      <c r="AN784" s="1">
        <v>1.2999999999999999E-2</v>
      </c>
      <c r="AO784" s="1">
        <v>0</v>
      </c>
      <c r="AP784" s="1">
        <v>1E-3</v>
      </c>
      <c r="AQ784" s="1">
        <v>0</v>
      </c>
      <c r="AR784" s="1">
        <v>2E-3</v>
      </c>
      <c r="AS784" s="1">
        <v>1E-3</v>
      </c>
      <c r="AT784" s="1">
        <v>1E-3</v>
      </c>
      <c r="AU784" s="1">
        <v>1E-3</v>
      </c>
      <c r="AV784" s="1">
        <v>1E-3</v>
      </c>
      <c r="AW784" s="1">
        <v>1E-3</v>
      </c>
      <c r="AX784" s="1">
        <v>2E-3</v>
      </c>
      <c r="AY784" s="1">
        <v>2E-3</v>
      </c>
      <c r="AZ784" s="1">
        <v>1E-3</v>
      </c>
      <c r="BA784" s="1">
        <v>3.0000000000000001E-3</v>
      </c>
      <c r="BB784" s="1">
        <v>1E-3</v>
      </c>
      <c r="BC784" s="1">
        <v>0</v>
      </c>
      <c r="BD784" s="1">
        <v>3.0000000000000001E-3</v>
      </c>
      <c r="BE784" s="1">
        <v>1E-3</v>
      </c>
      <c r="BF784" s="1">
        <v>2.7E-2</v>
      </c>
      <c r="BG784" s="1">
        <v>0</v>
      </c>
      <c r="BH784" s="1">
        <v>1E-3</v>
      </c>
      <c r="BI784" s="1">
        <v>0</v>
      </c>
      <c r="BJ784" s="1">
        <v>0</v>
      </c>
      <c r="BK784" s="1">
        <v>0</v>
      </c>
      <c r="BL784" s="1">
        <v>1E-3</v>
      </c>
      <c r="BM784" s="1">
        <v>1E-3</v>
      </c>
      <c r="BN784" s="1">
        <v>1E-3</v>
      </c>
      <c r="BO784" s="1">
        <v>0</v>
      </c>
      <c r="BP784" s="1">
        <v>0</v>
      </c>
      <c r="BQ784" s="1">
        <v>1E-3</v>
      </c>
      <c r="BR784" s="1">
        <v>1E-3</v>
      </c>
      <c r="BS784" s="1">
        <v>2E-3</v>
      </c>
      <c r="BT784" s="1">
        <v>0</v>
      </c>
      <c r="BU784" s="1">
        <v>1E-3</v>
      </c>
      <c r="BV784" s="1">
        <v>0</v>
      </c>
      <c r="BW784" s="1">
        <v>1E-3</v>
      </c>
      <c r="BX784" s="1">
        <v>0.26900000000000002</v>
      </c>
      <c r="BY784" s="1">
        <v>2E-3</v>
      </c>
      <c r="BZ784" s="1">
        <v>2E-3</v>
      </c>
      <c r="CA784" s="1">
        <v>1E-3</v>
      </c>
      <c r="CB784" s="1">
        <v>0</v>
      </c>
      <c r="CC784" s="1">
        <v>1E-3</v>
      </c>
      <c r="CD784" s="1">
        <v>0</v>
      </c>
      <c r="CE784" s="1">
        <v>1E-3</v>
      </c>
      <c r="CF784" s="1">
        <v>1E-3</v>
      </c>
      <c r="CG784" s="1">
        <v>2E-3</v>
      </c>
      <c r="CH784" s="1">
        <v>1E-3</v>
      </c>
      <c r="CI784" s="1">
        <v>1E-3</v>
      </c>
      <c r="CJ784" s="1">
        <v>1E-3</v>
      </c>
      <c r="CK784" s="1">
        <v>0.308</v>
      </c>
      <c r="CL784" s="1">
        <v>2E-3</v>
      </c>
      <c r="CM784" s="1">
        <v>-7.388926551</v>
      </c>
      <c r="CN784" s="83">
        <v>-40.69821125</v>
      </c>
    </row>
    <row r="785" spans="1:92" s="3" customFormat="1" x14ac:dyDescent="0.25">
      <c r="A785" s="87">
        <v>821</v>
      </c>
      <c r="B785" s="88" t="s">
        <v>850</v>
      </c>
      <c r="C785" s="89" t="s">
        <v>83</v>
      </c>
      <c r="D785" s="89" t="s">
        <v>73</v>
      </c>
      <c r="E785" s="89" t="s">
        <v>99</v>
      </c>
      <c r="F785" s="89" t="s">
        <v>128</v>
      </c>
      <c r="G785" s="89" t="s">
        <v>303</v>
      </c>
      <c r="H785" s="89" t="s">
        <v>570</v>
      </c>
      <c r="I785" s="89"/>
      <c r="J785" s="90" t="s">
        <v>544</v>
      </c>
      <c r="K785" s="91">
        <v>0.49218733333333298</v>
      </c>
      <c r="L785" s="89" t="s">
        <v>76</v>
      </c>
      <c r="M785" s="89" t="s">
        <v>506</v>
      </c>
      <c r="N785" s="89" t="s">
        <v>645</v>
      </c>
      <c r="O785" s="89" t="s">
        <v>55</v>
      </c>
      <c r="P785" s="92">
        <v>1</v>
      </c>
      <c r="Q785" s="89" t="s">
        <v>76</v>
      </c>
      <c r="R785" s="88" t="s">
        <v>427</v>
      </c>
      <c r="S785" s="89">
        <v>3</v>
      </c>
      <c r="T785" s="89" t="s">
        <v>78</v>
      </c>
      <c r="U785" s="89" t="s">
        <v>658</v>
      </c>
      <c r="V785" s="89" t="s">
        <v>655</v>
      </c>
      <c r="W785" s="89">
        <v>12</v>
      </c>
      <c r="X785" s="89" t="s">
        <v>423</v>
      </c>
      <c r="Y785" s="89" t="s">
        <v>645</v>
      </c>
      <c r="Z785" s="89">
        <v>0</v>
      </c>
      <c r="AA785" s="89">
        <v>0</v>
      </c>
      <c r="AB785" s="89">
        <v>0</v>
      </c>
      <c r="AC785" s="89">
        <v>0</v>
      </c>
      <c r="AD785" s="89">
        <v>0</v>
      </c>
      <c r="AE785" s="89">
        <v>0</v>
      </c>
      <c r="AF785" s="89">
        <v>0</v>
      </c>
      <c r="AG785" s="89">
        <v>0</v>
      </c>
      <c r="AH785" s="89">
        <v>0</v>
      </c>
      <c r="AI785" s="89">
        <v>0</v>
      </c>
      <c r="AJ785" s="89">
        <v>0</v>
      </c>
      <c r="AK785" s="89">
        <v>0</v>
      </c>
      <c r="AL785" s="89">
        <v>0</v>
      </c>
      <c r="AM785" s="89">
        <v>0</v>
      </c>
      <c r="AN785" s="89">
        <v>0</v>
      </c>
      <c r="AO785" s="89">
        <v>0</v>
      </c>
      <c r="AP785" s="89">
        <v>0</v>
      </c>
      <c r="AQ785" s="89">
        <v>0</v>
      </c>
      <c r="AR785" s="89">
        <v>0</v>
      </c>
      <c r="AS785" s="89">
        <v>0</v>
      </c>
      <c r="AT785" s="89">
        <v>0</v>
      </c>
      <c r="AU785" s="89">
        <v>0</v>
      </c>
      <c r="AV785" s="89">
        <v>0</v>
      </c>
      <c r="AW785" s="89">
        <v>0</v>
      </c>
      <c r="AX785" s="89">
        <v>0</v>
      </c>
      <c r="AY785" s="89">
        <v>0</v>
      </c>
      <c r="AZ785" s="89">
        <v>0</v>
      </c>
      <c r="BA785" s="89">
        <v>0</v>
      </c>
      <c r="BB785" s="89">
        <v>0</v>
      </c>
      <c r="BC785" s="89">
        <v>0</v>
      </c>
      <c r="BD785" s="89">
        <v>0</v>
      </c>
      <c r="BE785" s="89">
        <v>0</v>
      </c>
      <c r="BF785" s="89">
        <v>0</v>
      </c>
      <c r="BG785" s="89">
        <v>0</v>
      </c>
      <c r="BH785" s="89">
        <v>0</v>
      </c>
      <c r="BI785" s="89">
        <v>0</v>
      </c>
      <c r="BJ785" s="89">
        <v>0</v>
      </c>
      <c r="BK785" s="89">
        <v>0</v>
      </c>
      <c r="BL785" s="89">
        <v>0</v>
      </c>
      <c r="BM785" s="89">
        <v>0</v>
      </c>
      <c r="BN785" s="89">
        <v>0</v>
      </c>
      <c r="BO785" s="89">
        <v>0</v>
      </c>
      <c r="BP785" s="89">
        <v>0</v>
      </c>
      <c r="BQ785" s="89">
        <v>0</v>
      </c>
      <c r="BR785" s="89">
        <v>0</v>
      </c>
      <c r="BS785" s="89">
        <v>0</v>
      </c>
      <c r="BT785" s="89">
        <v>0</v>
      </c>
      <c r="BU785" s="89">
        <v>0</v>
      </c>
      <c r="BV785" s="89">
        <v>0</v>
      </c>
      <c r="BW785" s="89">
        <v>0</v>
      </c>
      <c r="BX785" s="89">
        <v>1</v>
      </c>
      <c r="BY785" s="89">
        <v>0</v>
      </c>
      <c r="BZ785" s="89">
        <v>0</v>
      </c>
      <c r="CA785" s="89">
        <v>0</v>
      </c>
      <c r="CB785" s="89">
        <v>0</v>
      </c>
      <c r="CC785" s="89">
        <v>0</v>
      </c>
      <c r="CD785" s="89">
        <v>0</v>
      </c>
      <c r="CE785" s="89">
        <v>0</v>
      </c>
      <c r="CF785" s="89">
        <v>0</v>
      </c>
      <c r="CG785" s="89">
        <v>0</v>
      </c>
      <c r="CH785" s="89">
        <v>0</v>
      </c>
      <c r="CI785" s="89">
        <v>0</v>
      </c>
      <c r="CJ785" s="89">
        <v>0</v>
      </c>
      <c r="CK785" s="89">
        <v>0</v>
      </c>
      <c r="CL785" s="89">
        <v>0</v>
      </c>
      <c r="CM785" s="89">
        <v>60.420502419999998</v>
      </c>
      <c r="CN785" s="93">
        <v>16.63793944</v>
      </c>
    </row>
    <row r="786" spans="1:92" s="3" customFormat="1" x14ac:dyDescent="0.25">
      <c r="A786" s="72">
        <v>822</v>
      </c>
      <c r="B786" s="81" t="s">
        <v>1471</v>
      </c>
      <c r="C786" s="1" t="s">
        <v>83</v>
      </c>
      <c r="D786" s="1" t="s">
        <v>73</v>
      </c>
      <c r="E786" s="1" t="s">
        <v>99</v>
      </c>
      <c r="F786" s="1" t="s">
        <v>267</v>
      </c>
      <c r="G786" s="1" t="s">
        <v>406</v>
      </c>
      <c r="H786" s="1" t="s">
        <v>13</v>
      </c>
      <c r="I786" s="1"/>
      <c r="J786" s="9" t="s">
        <v>544</v>
      </c>
      <c r="K786" s="10">
        <v>0.50250950000000005</v>
      </c>
      <c r="L786" s="1" t="s">
        <v>76</v>
      </c>
      <c r="M786" s="1" t="s">
        <v>506</v>
      </c>
      <c r="N786" s="1" t="s">
        <v>645</v>
      </c>
      <c r="O786" s="1" t="s">
        <v>13</v>
      </c>
      <c r="P786" s="82">
        <v>0.999</v>
      </c>
      <c r="Q786" s="1" t="s">
        <v>76</v>
      </c>
      <c r="R786" s="81" t="s">
        <v>100</v>
      </c>
      <c r="S786" s="1" t="s">
        <v>76</v>
      </c>
      <c r="T786" s="1" t="s">
        <v>78</v>
      </c>
      <c r="U786" s="1" t="s">
        <v>658</v>
      </c>
      <c r="V786" s="1" t="s">
        <v>655</v>
      </c>
      <c r="W786" s="1">
        <v>67</v>
      </c>
      <c r="X786" s="1" t="s">
        <v>438</v>
      </c>
      <c r="Y786" s="1" t="s">
        <v>645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0.999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-14.13166356</v>
      </c>
      <c r="CN786" s="83">
        <v>-118.41473980000001</v>
      </c>
    </row>
    <row r="787" spans="1:92" s="3" customFormat="1" hidden="1" x14ac:dyDescent="0.25">
      <c r="A787" s="72">
        <v>823</v>
      </c>
      <c r="B787" s="81" t="s">
        <v>1631</v>
      </c>
      <c r="C787" s="1" t="s">
        <v>83</v>
      </c>
      <c r="D787" s="1" t="s">
        <v>73</v>
      </c>
      <c r="E787" s="1" t="s">
        <v>74</v>
      </c>
      <c r="F787" s="1" t="s">
        <v>426</v>
      </c>
      <c r="G787" s="1" t="s">
        <v>76</v>
      </c>
      <c r="H787" s="1" t="s">
        <v>537</v>
      </c>
      <c r="I787" s="1"/>
      <c r="J787" s="9" t="s">
        <v>544</v>
      </c>
      <c r="K787" s="10">
        <v>0.29042633333333401</v>
      </c>
      <c r="L787" s="1" t="s">
        <v>641</v>
      </c>
      <c r="M787" s="1" t="s">
        <v>76</v>
      </c>
      <c r="N787" s="1" t="s">
        <v>644</v>
      </c>
      <c r="O787" s="1" t="s">
        <v>39</v>
      </c>
      <c r="P787" s="82">
        <v>0.80700000000000005</v>
      </c>
      <c r="Q787" s="1" t="s">
        <v>76</v>
      </c>
      <c r="R787" s="81" t="s">
        <v>187</v>
      </c>
      <c r="S787" s="1" t="s">
        <v>76</v>
      </c>
      <c r="T787" s="1" t="s">
        <v>76</v>
      </c>
      <c r="U787" s="1" t="s">
        <v>76</v>
      </c>
      <c r="V787" s="1" t="s">
        <v>655</v>
      </c>
      <c r="W787" s="1">
        <v>38</v>
      </c>
      <c r="X787" s="1" t="s">
        <v>76</v>
      </c>
      <c r="Y787" s="1" t="s">
        <v>644</v>
      </c>
      <c r="Z787" s="1">
        <v>1E-3</v>
      </c>
      <c r="AA787" s="1">
        <v>2E-3</v>
      </c>
      <c r="AB787" s="1">
        <v>2E-3</v>
      </c>
      <c r="AC787" s="1">
        <v>0.03</v>
      </c>
      <c r="AD787" s="1">
        <v>2E-3</v>
      </c>
      <c r="AE787" s="1">
        <v>2E-3</v>
      </c>
      <c r="AF787" s="1">
        <v>1E-3</v>
      </c>
      <c r="AG787" s="1">
        <v>0</v>
      </c>
      <c r="AH787" s="1">
        <v>7.0000000000000001E-3</v>
      </c>
      <c r="AI787" s="1">
        <v>1E-3</v>
      </c>
      <c r="AJ787" s="1">
        <v>1E-3</v>
      </c>
      <c r="AK787" s="1">
        <v>3.0000000000000001E-3</v>
      </c>
      <c r="AL787" s="1">
        <v>0</v>
      </c>
      <c r="AM787" s="1">
        <v>1E-3</v>
      </c>
      <c r="AN787" s="1">
        <v>2E-3</v>
      </c>
      <c r="AO787" s="1">
        <v>3.0000000000000001E-3</v>
      </c>
      <c r="AP787" s="1">
        <v>1.9E-2</v>
      </c>
      <c r="AQ787" s="1">
        <v>1E-3</v>
      </c>
      <c r="AR787" s="1">
        <v>1E-3</v>
      </c>
      <c r="AS787" s="1">
        <v>5.0000000000000001E-3</v>
      </c>
      <c r="AT787" s="1">
        <v>3.0000000000000001E-3</v>
      </c>
      <c r="AU787" s="1">
        <v>1E-3</v>
      </c>
      <c r="AV787" s="1">
        <v>1E-3</v>
      </c>
      <c r="AW787" s="1">
        <v>2E-3</v>
      </c>
      <c r="AX787" s="1">
        <v>1E-3</v>
      </c>
      <c r="AY787" s="1">
        <v>3.0000000000000001E-3</v>
      </c>
      <c r="AZ787" s="1">
        <v>2E-3</v>
      </c>
      <c r="BA787" s="1">
        <v>6.0000000000000001E-3</v>
      </c>
      <c r="BB787" s="1">
        <v>1E-3</v>
      </c>
      <c r="BC787" s="1">
        <v>1E-3</v>
      </c>
      <c r="BD787" s="1">
        <v>8.9999999999999993E-3</v>
      </c>
      <c r="BE787" s="1">
        <v>2E-3</v>
      </c>
      <c r="BF787" s="1">
        <v>2E-3</v>
      </c>
      <c r="BG787" s="1">
        <v>1E-3</v>
      </c>
      <c r="BH787" s="1">
        <v>0.80700000000000005</v>
      </c>
      <c r="BI787" s="1">
        <v>1E-3</v>
      </c>
      <c r="BJ787" s="1">
        <v>0</v>
      </c>
      <c r="BK787" s="1">
        <v>1E-3</v>
      </c>
      <c r="BL787" s="1">
        <v>3.0000000000000001E-3</v>
      </c>
      <c r="BM787" s="1">
        <v>2E-3</v>
      </c>
      <c r="BN787" s="1">
        <v>3.0000000000000001E-3</v>
      </c>
      <c r="BO787" s="1">
        <v>1E-3</v>
      </c>
      <c r="BP787" s="1">
        <v>0</v>
      </c>
      <c r="BQ787" s="1">
        <v>3.0000000000000001E-3</v>
      </c>
      <c r="BR787" s="1">
        <v>2E-3</v>
      </c>
      <c r="BS787" s="1">
        <v>1E-3</v>
      </c>
      <c r="BT787" s="1">
        <v>1E-3</v>
      </c>
      <c r="BU787" s="1">
        <v>1E-3</v>
      </c>
      <c r="BV787" s="1">
        <v>1E-3</v>
      </c>
      <c r="BW787" s="1">
        <v>2E-3</v>
      </c>
      <c r="BX787" s="1">
        <v>5.0000000000000001E-3</v>
      </c>
      <c r="BY787" s="1">
        <v>5.0000000000000001E-3</v>
      </c>
      <c r="BZ787" s="1">
        <v>2E-3</v>
      </c>
      <c r="CA787" s="1">
        <v>1E-3</v>
      </c>
      <c r="CB787" s="1">
        <v>0</v>
      </c>
      <c r="CC787" s="1">
        <v>1E-3</v>
      </c>
      <c r="CD787" s="1">
        <v>0</v>
      </c>
      <c r="CE787" s="1">
        <v>1E-3</v>
      </c>
      <c r="CF787" s="1">
        <v>2E-3</v>
      </c>
      <c r="CG787" s="1">
        <v>2E-3</v>
      </c>
      <c r="CH787" s="1">
        <v>3.0000000000000001E-3</v>
      </c>
      <c r="CI787" s="1">
        <v>3.0000000000000001E-3</v>
      </c>
      <c r="CJ787" s="1">
        <v>4.0000000000000001E-3</v>
      </c>
      <c r="CK787" s="1">
        <v>1.6E-2</v>
      </c>
      <c r="CL787" s="1">
        <v>3.0000000000000001E-3</v>
      </c>
      <c r="CM787" s="1">
        <v>-32.547533510000001</v>
      </c>
      <c r="CN787" s="83">
        <v>-68.507467790000007</v>
      </c>
    </row>
    <row r="788" spans="1:92" s="3" customFormat="1" x14ac:dyDescent="0.25">
      <c r="A788" s="72">
        <v>826</v>
      </c>
      <c r="B788" s="81" t="s">
        <v>780</v>
      </c>
      <c r="C788" s="1" t="s">
        <v>83</v>
      </c>
      <c r="D788" s="1" t="s">
        <v>73</v>
      </c>
      <c r="E788" s="1" t="s">
        <v>99</v>
      </c>
      <c r="F788" s="1" t="s">
        <v>93</v>
      </c>
      <c r="G788" s="1" t="s">
        <v>94</v>
      </c>
      <c r="H788" s="1" t="s">
        <v>525</v>
      </c>
      <c r="I788" s="1"/>
      <c r="J788" s="9" t="s">
        <v>506</v>
      </c>
      <c r="K788" s="10">
        <v>0.431454333333333</v>
      </c>
      <c r="L788" s="1" t="s">
        <v>586</v>
      </c>
      <c r="M788" s="1" t="s">
        <v>506</v>
      </c>
      <c r="N788" s="2" t="s">
        <v>1711</v>
      </c>
      <c r="O788" s="1" t="s">
        <v>34</v>
      </c>
      <c r="P788" s="82">
        <v>0.997</v>
      </c>
      <c r="Q788" s="1" t="s">
        <v>76</v>
      </c>
      <c r="R788" s="81" t="s">
        <v>427</v>
      </c>
      <c r="S788" s="1">
        <v>3</v>
      </c>
      <c r="T788" s="1" t="s">
        <v>78</v>
      </c>
      <c r="U788" s="1" t="s">
        <v>658</v>
      </c>
      <c r="V788" s="1" t="s">
        <v>655</v>
      </c>
      <c r="W788" s="1">
        <v>49</v>
      </c>
      <c r="X788" s="1" t="s">
        <v>423</v>
      </c>
      <c r="Y788" s="2" t="s">
        <v>1711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2E-3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0.997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48.96471854</v>
      </c>
      <c r="CN788" s="83">
        <v>-9.1340992960000005</v>
      </c>
    </row>
    <row r="789" spans="1:92" s="3" customFormat="1" x14ac:dyDescent="0.25">
      <c r="A789" s="72">
        <v>827</v>
      </c>
      <c r="B789" s="81" t="s">
        <v>766</v>
      </c>
      <c r="C789" s="1" t="s">
        <v>83</v>
      </c>
      <c r="D789" s="1" t="s">
        <v>73</v>
      </c>
      <c r="E789" s="1" t="s">
        <v>99</v>
      </c>
      <c r="F789" s="1" t="s">
        <v>128</v>
      </c>
      <c r="G789" s="1" t="s">
        <v>312</v>
      </c>
      <c r="H789" s="1" t="s">
        <v>570</v>
      </c>
      <c r="I789" s="1"/>
      <c r="J789" s="9" t="s">
        <v>544</v>
      </c>
      <c r="K789" s="10">
        <v>0.31636116666666703</v>
      </c>
      <c r="L789" s="1" t="s">
        <v>76</v>
      </c>
      <c r="M789" s="1" t="s">
        <v>506</v>
      </c>
      <c r="N789" s="1" t="s">
        <v>645</v>
      </c>
      <c r="O789" s="1" t="s">
        <v>55</v>
      </c>
      <c r="P789" s="82">
        <v>0.996</v>
      </c>
      <c r="Q789" s="1" t="s">
        <v>76</v>
      </c>
      <c r="R789" s="81" t="s">
        <v>427</v>
      </c>
      <c r="S789" s="1">
        <v>3</v>
      </c>
      <c r="T789" s="1" t="s">
        <v>78</v>
      </c>
      <c r="U789" s="1" t="s">
        <v>658</v>
      </c>
      <c r="V789" s="1" t="s">
        <v>655</v>
      </c>
      <c r="W789" s="1">
        <v>12</v>
      </c>
      <c r="X789" s="1" t="s">
        <v>423</v>
      </c>
      <c r="Y789" s="1" t="s">
        <v>645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0.996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-22.343422050000001</v>
      </c>
      <c r="CN789" s="83">
        <v>-10.49090159</v>
      </c>
    </row>
    <row r="790" spans="1:92" s="3" customFormat="1" x14ac:dyDescent="0.25">
      <c r="A790" s="72">
        <v>828</v>
      </c>
      <c r="B790" s="81" t="s">
        <v>1201</v>
      </c>
      <c r="C790" s="1" t="s">
        <v>83</v>
      </c>
      <c r="D790" s="1" t="s">
        <v>73</v>
      </c>
      <c r="E790" s="1" t="s">
        <v>99</v>
      </c>
      <c r="F790" s="1" t="s">
        <v>97</v>
      </c>
      <c r="G790" s="1" t="s">
        <v>76</v>
      </c>
      <c r="H790" s="1" t="s">
        <v>97</v>
      </c>
      <c r="I790" s="1"/>
      <c r="J790" s="9" t="s">
        <v>506</v>
      </c>
      <c r="K790" s="10">
        <v>0.57281499999999996</v>
      </c>
      <c r="L790" s="1" t="s">
        <v>615</v>
      </c>
      <c r="M790" s="1" t="s">
        <v>506</v>
      </c>
      <c r="N790" s="1" t="s">
        <v>648</v>
      </c>
      <c r="O790" s="1" t="s">
        <v>55</v>
      </c>
      <c r="P790" s="82">
        <v>1</v>
      </c>
      <c r="Q790" s="1" t="s">
        <v>76</v>
      </c>
      <c r="R790" s="81" t="s">
        <v>77</v>
      </c>
      <c r="S790" s="1" t="s">
        <v>76</v>
      </c>
      <c r="T790" s="1" t="s">
        <v>78</v>
      </c>
      <c r="U790" s="1" t="s">
        <v>658</v>
      </c>
      <c r="V790" s="1" t="s">
        <v>655</v>
      </c>
      <c r="W790" s="1">
        <v>68</v>
      </c>
      <c r="X790" s="1" t="s">
        <v>1722</v>
      </c>
      <c r="Y790" s="1" t="s">
        <v>648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1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37.894208339999999</v>
      </c>
      <c r="CN790" s="83">
        <v>35.243915289999997</v>
      </c>
    </row>
    <row r="791" spans="1:92" s="3" customFormat="1" x14ac:dyDescent="0.25">
      <c r="A791" s="72">
        <v>202</v>
      </c>
      <c r="B791" s="81" t="s">
        <v>1446</v>
      </c>
      <c r="C791" s="1" t="s">
        <v>83</v>
      </c>
      <c r="D791" s="1" t="s">
        <v>79</v>
      </c>
      <c r="E791" s="1" t="s">
        <v>74</v>
      </c>
      <c r="F791" s="1" t="s">
        <v>230</v>
      </c>
      <c r="G791" s="1" t="s">
        <v>76</v>
      </c>
      <c r="H791" s="1" t="s">
        <v>51</v>
      </c>
      <c r="I791" s="1"/>
      <c r="J791" s="9" t="s">
        <v>544</v>
      </c>
      <c r="K791" s="10">
        <v>0.28803316666666701</v>
      </c>
      <c r="L791" s="1" t="s">
        <v>629</v>
      </c>
      <c r="M791" s="1" t="s">
        <v>506</v>
      </c>
      <c r="N791" s="1" t="s">
        <v>647</v>
      </c>
      <c r="O791" s="1" t="s">
        <v>37</v>
      </c>
      <c r="P791" s="82">
        <v>0.97099999999999997</v>
      </c>
      <c r="Q791" s="1" t="s">
        <v>76</v>
      </c>
      <c r="R791" s="81" t="s">
        <v>193</v>
      </c>
      <c r="S791" s="1" t="s">
        <v>103</v>
      </c>
      <c r="T791" s="1" t="s">
        <v>120</v>
      </c>
      <c r="U791" s="1" t="s">
        <v>658</v>
      </c>
      <c r="V791" s="1" t="s">
        <v>655</v>
      </c>
      <c r="W791" s="1">
        <v>35</v>
      </c>
      <c r="X791" s="1" t="s">
        <v>76</v>
      </c>
      <c r="Y791" s="1" t="s">
        <v>647</v>
      </c>
      <c r="Z791" s="1">
        <v>0</v>
      </c>
      <c r="AA791" s="1">
        <v>0</v>
      </c>
      <c r="AB791" s="1">
        <v>0</v>
      </c>
      <c r="AC791" s="1">
        <v>3.0000000000000001E-3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1.2999999999999999E-2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0.97099999999999997</v>
      </c>
      <c r="BG791" s="1">
        <v>0</v>
      </c>
      <c r="BH791" s="1">
        <v>2E-3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1E-3</v>
      </c>
      <c r="BV791" s="1">
        <v>0</v>
      </c>
      <c r="BW791" s="1">
        <v>0</v>
      </c>
      <c r="BX791" s="1">
        <v>1E-3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1E-3</v>
      </c>
      <c r="CL791" s="1">
        <v>1E-3</v>
      </c>
      <c r="CM791" s="1">
        <v>-29.581655269999999</v>
      </c>
      <c r="CN791" s="83">
        <v>-50.309356659999999</v>
      </c>
    </row>
    <row r="792" spans="1:92" s="3" customFormat="1" x14ac:dyDescent="0.25">
      <c r="A792" s="72">
        <v>830</v>
      </c>
      <c r="B792" s="81" t="s">
        <v>878</v>
      </c>
      <c r="C792" s="1" t="s">
        <v>83</v>
      </c>
      <c r="D792" s="1" t="s">
        <v>73</v>
      </c>
      <c r="E792" s="1" t="s">
        <v>99</v>
      </c>
      <c r="F792" s="1" t="s">
        <v>128</v>
      </c>
      <c r="G792" s="1" t="s">
        <v>303</v>
      </c>
      <c r="H792" s="1" t="s">
        <v>570</v>
      </c>
      <c r="I792" s="1"/>
      <c r="J792" s="9" t="s">
        <v>544</v>
      </c>
      <c r="K792" s="10">
        <v>0.39031383333333303</v>
      </c>
      <c r="L792" s="1" t="s">
        <v>76</v>
      </c>
      <c r="M792" s="1" t="s">
        <v>506</v>
      </c>
      <c r="N792" s="1" t="s">
        <v>645</v>
      </c>
      <c r="O792" s="1" t="s">
        <v>55</v>
      </c>
      <c r="P792" s="82">
        <v>0.999</v>
      </c>
      <c r="Q792" s="1" t="s">
        <v>76</v>
      </c>
      <c r="R792" s="81" t="s">
        <v>87</v>
      </c>
      <c r="S792" s="1">
        <v>2</v>
      </c>
      <c r="T792" s="1" t="s">
        <v>78</v>
      </c>
      <c r="U792" s="1" t="s">
        <v>658</v>
      </c>
      <c r="V792" s="1" t="s">
        <v>655</v>
      </c>
      <c r="W792" s="1">
        <v>14</v>
      </c>
      <c r="X792" s="1" t="s">
        <v>167</v>
      </c>
      <c r="Y792" s="1" t="s">
        <v>645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0.999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0.59340080399999995</v>
      </c>
      <c r="CN792" s="83">
        <v>11.480524429999999</v>
      </c>
    </row>
    <row r="793" spans="1:92" s="3" customFormat="1" x14ac:dyDescent="0.25">
      <c r="A793" s="72">
        <v>831</v>
      </c>
      <c r="B793" s="81" t="s">
        <v>753</v>
      </c>
      <c r="C793" s="1" t="s">
        <v>83</v>
      </c>
      <c r="D793" s="1" t="s">
        <v>73</v>
      </c>
      <c r="E793" s="1" t="s">
        <v>74</v>
      </c>
      <c r="F793" s="1" t="s">
        <v>128</v>
      </c>
      <c r="G793" s="1" t="s">
        <v>1786</v>
      </c>
      <c r="H793" s="1" t="s">
        <v>570</v>
      </c>
      <c r="I793" s="1"/>
      <c r="J793" s="9" t="s">
        <v>544</v>
      </c>
      <c r="K793" s="10">
        <v>0.49565416666666601</v>
      </c>
      <c r="L793" s="1" t="s">
        <v>76</v>
      </c>
      <c r="M793" s="1" t="s">
        <v>506</v>
      </c>
      <c r="N793" s="1" t="s">
        <v>645</v>
      </c>
      <c r="O793" s="1" t="s">
        <v>55</v>
      </c>
      <c r="P793" s="82">
        <v>1</v>
      </c>
      <c r="Q793" s="1" t="s">
        <v>76</v>
      </c>
      <c r="R793" s="81" t="s">
        <v>77</v>
      </c>
      <c r="S793" s="1">
        <v>3</v>
      </c>
      <c r="T793" s="1" t="s">
        <v>78</v>
      </c>
      <c r="U793" s="1" t="s">
        <v>658</v>
      </c>
      <c r="V793" s="1" t="s">
        <v>655</v>
      </c>
      <c r="W793" s="1">
        <v>14</v>
      </c>
      <c r="X793" s="1" t="s">
        <v>423</v>
      </c>
      <c r="Y793" s="1" t="s">
        <v>645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1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62.447192219999998</v>
      </c>
      <c r="CN793" s="83">
        <v>21.819301759999998</v>
      </c>
    </row>
    <row r="794" spans="1:92" s="3" customFormat="1" x14ac:dyDescent="0.25">
      <c r="A794" s="72">
        <v>832</v>
      </c>
      <c r="B794" s="81" t="s">
        <v>1695</v>
      </c>
      <c r="C794" s="1" t="s">
        <v>83</v>
      </c>
      <c r="D794" s="1" t="s">
        <v>73</v>
      </c>
      <c r="E794" s="1" t="s">
        <v>424</v>
      </c>
      <c r="F794" s="1" t="s">
        <v>267</v>
      </c>
      <c r="G794" s="1" t="s">
        <v>424</v>
      </c>
      <c r="H794" s="1" t="s">
        <v>13</v>
      </c>
      <c r="I794" s="1"/>
      <c r="J794" s="9" t="s">
        <v>544</v>
      </c>
      <c r="K794" s="10">
        <v>0.27439833333333302</v>
      </c>
      <c r="L794" s="1" t="s">
        <v>641</v>
      </c>
      <c r="M794" s="1" t="s">
        <v>76</v>
      </c>
      <c r="N794" s="1" t="s">
        <v>644</v>
      </c>
      <c r="O794" s="1" t="s">
        <v>39</v>
      </c>
      <c r="P794" s="82">
        <v>0.41599999999999998</v>
      </c>
      <c r="Q794" s="1" t="s">
        <v>76</v>
      </c>
      <c r="R794" s="81" t="s">
        <v>424</v>
      </c>
      <c r="S794" s="1" t="s">
        <v>424</v>
      </c>
      <c r="T794" s="1" t="s">
        <v>424</v>
      </c>
      <c r="U794" s="1" t="s">
        <v>658</v>
      </c>
      <c r="V794" s="1" t="s">
        <v>655</v>
      </c>
      <c r="W794" s="1" t="s">
        <v>424</v>
      </c>
      <c r="X794" s="1" t="s">
        <v>434</v>
      </c>
      <c r="Y794" s="1" t="s">
        <v>644</v>
      </c>
      <c r="Z794" s="1">
        <v>8.5999999999999993E-2</v>
      </c>
      <c r="AA794" s="1">
        <v>3.0000000000000001E-3</v>
      </c>
      <c r="AB794" s="1">
        <v>2E-3</v>
      </c>
      <c r="AC794" s="1">
        <v>0.11899999999999999</v>
      </c>
      <c r="AD794" s="1">
        <v>3.0000000000000001E-3</v>
      </c>
      <c r="AE794" s="1">
        <v>4.0000000000000001E-3</v>
      </c>
      <c r="AF794" s="1">
        <v>3.0000000000000001E-3</v>
      </c>
      <c r="AG794" s="1">
        <v>0</v>
      </c>
      <c r="AH794" s="1">
        <v>6.3E-2</v>
      </c>
      <c r="AI794" s="1">
        <v>1.0999999999999999E-2</v>
      </c>
      <c r="AJ794" s="1">
        <v>1E-3</v>
      </c>
      <c r="AK794" s="1">
        <v>5.0000000000000001E-3</v>
      </c>
      <c r="AL794" s="1">
        <v>0</v>
      </c>
      <c r="AM794" s="1">
        <v>2E-3</v>
      </c>
      <c r="AN794" s="1">
        <v>1.4999999999999999E-2</v>
      </c>
      <c r="AO794" s="1">
        <v>4.0000000000000001E-3</v>
      </c>
      <c r="AP794" s="1">
        <v>8.9999999999999993E-3</v>
      </c>
      <c r="AQ794" s="1">
        <v>2E-3</v>
      </c>
      <c r="AR794" s="1">
        <v>1E-3</v>
      </c>
      <c r="AS794" s="1">
        <v>7.0000000000000001E-3</v>
      </c>
      <c r="AT794" s="1">
        <v>5.0000000000000001E-3</v>
      </c>
      <c r="AU794" s="1">
        <v>2E-3</v>
      </c>
      <c r="AV794" s="1">
        <v>2E-3</v>
      </c>
      <c r="AW794" s="1">
        <v>3.0000000000000001E-3</v>
      </c>
      <c r="AX794" s="1">
        <v>2E-3</v>
      </c>
      <c r="AY794" s="1">
        <v>8.0000000000000002E-3</v>
      </c>
      <c r="AZ794" s="1">
        <v>5.0000000000000001E-3</v>
      </c>
      <c r="BA794" s="1">
        <v>1.6E-2</v>
      </c>
      <c r="BB794" s="1">
        <v>2E-3</v>
      </c>
      <c r="BC794" s="1">
        <v>2E-3</v>
      </c>
      <c r="BD794" s="1">
        <v>2.3E-2</v>
      </c>
      <c r="BE794" s="1">
        <v>3.0000000000000001E-3</v>
      </c>
      <c r="BF794" s="1">
        <v>2.4E-2</v>
      </c>
      <c r="BG794" s="1">
        <v>1E-3</v>
      </c>
      <c r="BH794" s="1">
        <v>0.41599999999999998</v>
      </c>
      <c r="BI794" s="1">
        <v>1E-3</v>
      </c>
      <c r="BJ794" s="1">
        <v>1E-3</v>
      </c>
      <c r="BK794" s="1">
        <v>1E-3</v>
      </c>
      <c r="BL794" s="1">
        <v>4.0000000000000001E-3</v>
      </c>
      <c r="BM794" s="1">
        <v>3.0000000000000001E-3</v>
      </c>
      <c r="BN794" s="1">
        <v>4.0000000000000001E-3</v>
      </c>
      <c r="BO794" s="1">
        <v>1E-3</v>
      </c>
      <c r="BP794" s="1">
        <v>1E-3</v>
      </c>
      <c r="BQ794" s="1">
        <v>5.0000000000000001E-3</v>
      </c>
      <c r="BR794" s="1">
        <v>6.0000000000000001E-3</v>
      </c>
      <c r="BS794" s="1">
        <v>1E-3</v>
      </c>
      <c r="BT794" s="1">
        <v>2E-3</v>
      </c>
      <c r="BU794" s="1">
        <v>2.1999999999999999E-2</v>
      </c>
      <c r="BV794" s="1">
        <v>1E-3</v>
      </c>
      <c r="BW794" s="1">
        <v>3.0000000000000001E-3</v>
      </c>
      <c r="BX794" s="1">
        <v>1.0999999999999999E-2</v>
      </c>
      <c r="BY794" s="1">
        <v>1.0999999999999999E-2</v>
      </c>
      <c r="BZ794" s="1">
        <v>4.0000000000000001E-3</v>
      </c>
      <c r="CA794" s="1">
        <v>4.0000000000000001E-3</v>
      </c>
      <c r="CB794" s="1">
        <v>1E-3</v>
      </c>
      <c r="CC794" s="1">
        <v>2E-3</v>
      </c>
      <c r="CD794" s="1">
        <v>0</v>
      </c>
      <c r="CE794" s="1">
        <v>3.0000000000000001E-3</v>
      </c>
      <c r="CF794" s="1">
        <v>5.0000000000000001E-3</v>
      </c>
      <c r="CG794" s="1">
        <v>8.9999999999999993E-3</v>
      </c>
      <c r="CH794" s="1">
        <v>5.0000000000000001E-3</v>
      </c>
      <c r="CI794" s="1">
        <v>6.0000000000000001E-3</v>
      </c>
      <c r="CJ794" s="1">
        <v>0.01</v>
      </c>
      <c r="CK794" s="1">
        <v>1.4E-2</v>
      </c>
      <c r="CL794" s="1">
        <v>5.0000000000000001E-3</v>
      </c>
      <c r="CM794" s="1">
        <v>-24.83888116</v>
      </c>
      <c r="CN794" s="83">
        <v>-61.477154400000003</v>
      </c>
    </row>
    <row r="795" spans="1:92" s="3" customFormat="1" hidden="1" x14ac:dyDescent="0.25">
      <c r="A795" s="72">
        <v>833</v>
      </c>
      <c r="B795" s="81" t="s">
        <v>1650</v>
      </c>
      <c r="C795" s="1" t="s">
        <v>83</v>
      </c>
      <c r="D795" s="1" t="s">
        <v>73</v>
      </c>
      <c r="E795" s="1" t="s">
        <v>99</v>
      </c>
      <c r="F795" s="1" t="s">
        <v>426</v>
      </c>
      <c r="G795" s="1" t="s">
        <v>76</v>
      </c>
      <c r="H795" s="1" t="s">
        <v>537</v>
      </c>
      <c r="I795" s="1"/>
      <c r="J795" s="9" t="s">
        <v>544</v>
      </c>
      <c r="K795" s="10">
        <v>0.288022</v>
      </c>
      <c r="L795" s="1" t="s">
        <v>641</v>
      </c>
      <c r="M795" s="1" t="s">
        <v>76</v>
      </c>
      <c r="N795" s="1" t="s">
        <v>644</v>
      </c>
      <c r="O795" s="1" t="s">
        <v>19</v>
      </c>
      <c r="P795" s="82">
        <v>0.54600000000000004</v>
      </c>
      <c r="Q795" s="1" t="s">
        <v>76</v>
      </c>
      <c r="R795" s="81" t="s">
        <v>87</v>
      </c>
      <c r="S795" s="1" t="s">
        <v>76</v>
      </c>
      <c r="T795" s="1" t="s">
        <v>76</v>
      </c>
      <c r="U795" s="1" t="s">
        <v>76</v>
      </c>
      <c r="V795" s="1" t="s">
        <v>655</v>
      </c>
      <c r="W795" s="1">
        <v>54</v>
      </c>
      <c r="X795" s="1" t="s">
        <v>76</v>
      </c>
      <c r="Y795" s="1" t="s">
        <v>644</v>
      </c>
      <c r="Z795" s="1">
        <v>1.4999999999999999E-2</v>
      </c>
      <c r="AA795" s="1">
        <v>1E-3</v>
      </c>
      <c r="AB795" s="1">
        <v>1E-3</v>
      </c>
      <c r="AC795" s="1">
        <v>1.7999999999999999E-2</v>
      </c>
      <c r="AD795" s="1">
        <v>5.0000000000000001E-3</v>
      </c>
      <c r="AE795" s="1">
        <v>3.0000000000000001E-3</v>
      </c>
      <c r="AF795" s="1">
        <v>2E-3</v>
      </c>
      <c r="AG795" s="1">
        <v>0</v>
      </c>
      <c r="AH795" s="1">
        <v>1.0999999999999999E-2</v>
      </c>
      <c r="AI795" s="1">
        <v>3.0000000000000001E-3</v>
      </c>
      <c r="AJ795" s="1">
        <v>5.0000000000000001E-3</v>
      </c>
      <c r="AK795" s="1">
        <v>3.0000000000000001E-3</v>
      </c>
      <c r="AL795" s="1">
        <v>0</v>
      </c>
      <c r="AM795" s="1">
        <v>2E-3</v>
      </c>
      <c r="AN795" s="1">
        <v>0.54600000000000004</v>
      </c>
      <c r="AO795" s="1">
        <v>1E-3</v>
      </c>
      <c r="AP795" s="1">
        <v>1E-3</v>
      </c>
      <c r="AQ795" s="1">
        <v>1E-3</v>
      </c>
      <c r="AR795" s="1">
        <v>1E-3</v>
      </c>
      <c r="AS795" s="1">
        <v>3.0000000000000001E-3</v>
      </c>
      <c r="AT795" s="1">
        <v>2E-3</v>
      </c>
      <c r="AU795" s="1">
        <v>1E-3</v>
      </c>
      <c r="AV795" s="1">
        <v>6.0000000000000001E-3</v>
      </c>
      <c r="AW795" s="1">
        <v>1E-3</v>
      </c>
      <c r="AX795" s="1">
        <v>1E-3</v>
      </c>
      <c r="AY795" s="1">
        <v>3.0000000000000001E-3</v>
      </c>
      <c r="AZ795" s="1">
        <v>4.0000000000000001E-3</v>
      </c>
      <c r="BA795" s="1">
        <v>6.0000000000000001E-3</v>
      </c>
      <c r="BB795" s="1">
        <v>1E-3</v>
      </c>
      <c r="BC795" s="1">
        <v>1E-3</v>
      </c>
      <c r="BD795" s="1">
        <v>0.01</v>
      </c>
      <c r="BE795" s="1">
        <v>1E-3</v>
      </c>
      <c r="BF795" s="1">
        <v>0.253</v>
      </c>
      <c r="BG795" s="1">
        <v>0</v>
      </c>
      <c r="BH795" s="1">
        <v>3.0000000000000001E-3</v>
      </c>
      <c r="BI795" s="1">
        <v>1E-3</v>
      </c>
      <c r="BJ795" s="1">
        <v>2E-3</v>
      </c>
      <c r="BK795" s="1">
        <v>1E-3</v>
      </c>
      <c r="BL795" s="1">
        <v>1E-3</v>
      </c>
      <c r="BM795" s="1">
        <v>1E-3</v>
      </c>
      <c r="BN795" s="1">
        <v>2E-3</v>
      </c>
      <c r="BO795" s="1">
        <v>1E-3</v>
      </c>
      <c r="BP795" s="1">
        <v>1E-3</v>
      </c>
      <c r="BQ795" s="1">
        <v>2E-3</v>
      </c>
      <c r="BR795" s="1">
        <v>1E-3</v>
      </c>
      <c r="BS795" s="1">
        <v>1E-3</v>
      </c>
      <c r="BT795" s="1">
        <v>1E-3</v>
      </c>
      <c r="BU795" s="1">
        <v>2.5000000000000001E-2</v>
      </c>
      <c r="BV795" s="1">
        <v>1E-3</v>
      </c>
      <c r="BW795" s="1">
        <v>1E-3</v>
      </c>
      <c r="BX795" s="1">
        <v>1.0999999999999999E-2</v>
      </c>
      <c r="BY795" s="1">
        <v>4.0000000000000001E-3</v>
      </c>
      <c r="BZ795" s="1">
        <v>2E-3</v>
      </c>
      <c r="CA795" s="1">
        <v>2E-3</v>
      </c>
      <c r="CB795" s="1">
        <v>1E-3</v>
      </c>
      <c r="CC795" s="1">
        <v>1E-3</v>
      </c>
      <c r="CD795" s="1">
        <v>0</v>
      </c>
      <c r="CE795" s="1">
        <v>1E-3</v>
      </c>
      <c r="CF795" s="1">
        <v>1E-3</v>
      </c>
      <c r="CG795" s="1">
        <v>3.0000000000000001E-3</v>
      </c>
      <c r="CH795" s="1">
        <v>2E-3</v>
      </c>
      <c r="CI795" s="1">
        <v>2E-3</v>
      </c>
      <c r="CJ795" s="1">
        <v>3.0000000000000001E-3</v>
      </c>
      <c r="CK795" s="1">
        <v>5.0000000000000001E-3</v>
      </c>
      <c r="CL795" s="1">
        <v>6.0000000000000001E-3</v>
      </c>
      <c r="CM795" s="1">
        <v>-23.06986174</v>
      </c>
      <c r="CN795" s="83">
        <v>-37.442492960000003</v>
      </c>
    </row>
    <row r="796" spans="1:92" s="3" customFormat="1" x14ac:dyDescent="0.25">
      <c r="A796" s="72">
        <v>834</v>
      </c>
      <c r="B796" s="81" t="s">
        <v>1092</v>
      </c>
      <c r="C796" s="1" t="s">
        <v>83</v>
      </c>
      <c r="D796" s="1" t="s">
        <v>73</v>
      </c>
      <c r="E796" s="1" t="s">
        <v>99</v>
      </c>
      <c r="F796" s="1" t="s">
        <v>128</v>
      </c>
      <c r="G796" s="1" t="s">
        <v>166</v>
      </c>
      <c r="H796" s="1" t="s">
        <v>535</v>
      </c>
      <c r="I796" s="1"/>
      <c r="J796" s="9" t="s">
        <v>506</v>
      </c>
      <c r="K796" s="10">
        <v>0.39952283333333299</v>
      </c>
      <c r="L796" s="1" t="s">
        <v>641</v>
      </c>
      <c r="M796" s="1" t="s">
        <v>76</v>
      </c>
      <c r="N796" s="1" t="s">
        <v>644</v>
      </c>
      <c r="O796" s="1" t="s">
        <v>55</v>
      </c>
      <c r="P796" s="82">
        <v>0.86799999999999999</v>
      </c>
      <c r="Q796" s="1" t="s">
        <v>76</v>
      </c>
      <c r="R796" s="81" t="s">
        <v>77</v>
      </c>
      <c r="S796" s="1">
        <v>1</v>
      </c>
      <c r="T796" s="1" t="s">
        <v>78</v>
      </c>
      <c r="U796" s="1" t="s">
        <v>658</v>
      </c>
      <c r="V796" s="1" t="s">
        <v>655</v>
      </c>
      <c r="W796" s="1">
        <v>24</v>
      </c>
      <c r="X796" s="1" t="s">
        <v>170</v>
      </c>
      <c r="Y796" s="1" t="s">
        <v>644</v>
      </c>
      <c r="Z796" s="1">
        <v>0</v>
      </c>
      <c r="AA796" s="1">
        <v>1E-3</v>
      </c>
      <c r="AB796" s="1">
        <v>0</v>
      </c>
      <c r="AC796" s="1">
        <v>3.0000000000000001E-3</v>
      </c>
      <c r="AD796" s="1">
        <v>1E-3</v>
      </c>
      <c r="AE796" s="1">
        <v>1E-3</v>
      </c>
      <c r="AF796" s="1">
        <v>0</v>
      </c>
      <c r="AG796" s="1">
        <v>0</v>
      </c>
      <c r="AH796" s="1">
        <v>2E-3</v>
      </c>
      <c r="AI796" s="1">
        <v>0</v>
      </c>
      <c r="AJ796" s="1">
        <v>3.0000000000000001E-3</v>
      </c>
      <c r="AK796" s="1">
        <v>2E-3</v>
      </c>
      <c r="AL796" s="1">
        <v>0</v>
      </c>
      <c r="AM796" s="1">
        <v>0</v>
      </c>
      <c r="AN796" s="1">
        <v>1E-3</v>
      </c>
      <c r="AO796" s="1">
        <v>1E-3</v>
      </c>
      <c r="AP796" s="1">
        <v>0</v>
      </c>
      <c r="AQ796" s="1">
        <v>0</v>
      </c>
      <c r="AR796" s="1">
        <v>1E-3</v>
      </c>
      <c r="AS796" s="1">
        <v>2E-3</v>
      </c>
      <c r="AT796" s="1">
        <v>1E-3</v>
      </c>
      <c r="AU796" s="1">
        <v>1E-3</v>
      </c>
      <c r="AV796" s="1">
        <v>0</v>
      </c>
      <c r="AW796" s="1">
        <v>0</v>
      </c>
      <c r="AX796" s="1">
        <v>0</v>
      </c>
      <c r="AY796" s="1">
        <v>1E-3</v>
      </c>
      <c r="AZ796" s="1">
        <v>1E-3</v>
      </c>
      <c r="BA796" s="1">
        <v>1E-3</v>
      </c>
      <c r="BB796" s="1">
        <v>3.5000000000000003E-2</v>
      </c>
      <c r="BC796" s="1">
        <v>0</v>
      </c>
      <c r="BD796" s="1">
        <v>2E-3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1E-3</v>
      </c>
      <c r="BM796" s="1">
        <v>0</v>
      </c>
      <c r="BN796" s="1">
        <v>1E-3</v>
      </c>
      <c r="BO796" s="1">
        <v>2.9000000000000001E-2</v>
      </c>
      <c r="BP796" s="1">
        <v>0</v>
      </c>
      <c r="BQ796" s="1">
        <v>1E-3</v>
      </c>
      <c r="BR796" s="1">
        <v>1E-3</v>
      </c>
      <c r="BS796" s="1">
        <v>1E-3</v>
      </c>
      <c r="BT796" s="1">
        <v>0</v>
      </c>
      <c r="BU796" s="1">
        <v>0</v>
      </c>
      <c r="BV796" s="1">
        <v>1.2999999999999999E-2</v>
      </c>
      <c r="BW796" s="1">
        <v>1E-3</v>
      </c>
      <c r="BX796" s="1">
        <v>0.86799999999999999</v>
      </c>
      <c r="BY796" s="1">
        <v>1E-3</v>
      </c>
      <c r="BZ796" s="1">
        <v>1E-3</v>
      </c>
      <c r="CA796" s="1">
        <v>0</v>
      </c>
      <c r="CB796" s="1">
        <v>0</v>
      </c>
      <c r="CC796" s="1">
        <v>1E-3</v>
      </c>
      <c r="CD796" s="1">
        <v>0</v>
      </c>
      <c r="CE796" s="1">
        <v>0</v>
      </c>
      <c r="CF796" s="1">
        <v>0</v>
      </c>
      <c r="CG796" s="1">
        <v>1E-3</v>
      </c>
      <c r="CH796" s="1">
        <v>1E-3</v>
      </c>
      <c r="CI796" s="1">
        <v>1E-3</v>
      </c>
      <c r="CJ796" s="1">
        <v>1E-3</v>
      </c>
      <c r="CK796" s="1">
        <v>1.2E-2</v>
      </c>
      <c r="CL796" s="1">
        <v>1E-3</v>
      </c>
      <c r="CM796" s="1">
        <v>-1.886272988</v>
      </c>
      <c r="CN796" s="83">
        <v>0.39614139700000001</v>
      </c>
    </row>
    <row r="797" spans="1:92" s="3" customFormat="1" x14ac:dyDescent="0.25">
      <c r="A797" s="72">
        <v>835</v>
      </c>
      <c r="B797" s="81" t="s">
        <v>757</v>
      </c>
      <c r="C797" s="1" t="s">
        <v>83</v>
      </c>
      <c r="D797" s="1" t="s">
        <v>73</v>
      </c>
      <c r="E797" s="1" t="s">
        <v>99</v>
      </c>
      <c r="F797" s="1" t="s">
        <v>128</v>
      </c>
      <c r="G797" s="1" t="s">
        <v>182</v>
      </c>
      <c r="H797" s="1" t="s">
        <v>570</v>
      </c>
      <c r="I797" s="1"/>
      <c r="J797" s="9" t="s">
        <v>544</v>
      </c>
      <c r="K797" s="10">
        <v>0.457824333333333</v>
      </c>
      <c r="L797" s="1" t="s">
        <v>76</v>
      </c>
      <c r="M797" s="1" t="s">
        <v>506</v>
      </c>
      <c r="N797" s="1" t="s">
        <v>645</v>
      </c>
      <c r="O797" s="1" t="s">
        <v>55</v>
      </c>
      <c r="P797" s="82">
        <v>1</v>
      </c>
      <c r="Q797" s="1" t="s">
        <v>76</v>
      </c>
      <c r="R797" s="81" t="s">
        <v>436</v>
      </c>
      <c r="S797" s="1">
        <v>3</v>
      </c>
      <c r="T797" s="1" t="s">
        <v>78</v>
      </c>
      <c r="U797" s="1" t="s">
        <v>659</v>
      </c>
      <c r="V797" s="1" t="s">
        <v>655</v>
      </c>
      <c r="W797" s="1">
        <v>16</v>
      </c>
      <c r="X797" s="1" t="s">
        <v>437</v>
      </c>
      <c r="Y797" s="1" t="s">
        <v>645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1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50.764029569999998</v>
      </c>
      <c r="CN797" s="83">
        <v>15.15734649</v>
      </c>
    </row>
    <row r="798" spans="1:92" s="3" customFormat="1" x14ac:dyDescent="0.25">
      <c r="A798" s="72">
        <v>836</v>
      </c>
      <c r="B798" s="81" t="s">
        <v>1108</v>
      </c>
      <c r="C798" s="1" t="s">
        <v>83</v>
      </c>
      <c r="D798" s="1" t="s">
        <v>73</v>
      </c>
      <c r="E798" s="1" t="s">
        <v>99</v>
      </c>
      <c r="F798" s="1" t="s">
        <v>128</v>
      </c>
      <c r="G798" s="1" t="s">
        <v>168</v>
      </c>
      <c r="H798" s="1" t="s">
        <v>534</v>
      </c>
      <c r="I798" s="1"/>
      <c r="J798" s="9" t="s">
        <v>506</v>
      </c>
      <c r="K798" s="10">
        <v>0.52245166666666598</v>
      </c>
      <c r="L798" s="1" t="s">
        <v>602</v>
      </c>
      <c r="M798" s="1" t="s">
        <v>506</v>
      </c>
      <c r="N798" s="1" t="s">
        <v>648</v>
      </c>
      <c r="O798" s="1" t="s">
        <v>68</v>
      </c>
      <c r="P798" s="82">
        <v>0.93899999999999995</v>
      </c>
      <c r="Q798" s="1" t="s">
        <v>76</v>
      </c>
      <c r="R798" s="81" t="s">
        <v>169</v>
      </c>
      <c r="S798" s="1">
        <v>3</v>
      </c>
      <c r="T798" s="1" t="s">
        <v>120</v>
      </c>
      <c r="U798" s="1" t="s">
        <v>658</v>
      </c>
      <c r="V798" s="1" t="s">
        <v>655</v>
      </c>
      <c r="W798" s="1">
        <v>85</v>
      </c>
      <c r="X798" s="1" t="s">
        <v>170</v>
      </c>
      <c r="Y798" s="1" t="s">
        <v>648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1E-3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4.5999999999999999E-2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1E-3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1E-3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1E-3</v>
      </c>
      <c r="BY798" s="1">
        <v>0</v>
      </c>
      <c r="BZ798" s="1">
        <v>1E-3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0.93899999999999995</v>
      </c>
      <c r="CL798" s="1">
        <v>0</v>
      </c>
      <c r="CM798" s="1">
        <v>44.85616263</v>
      </c>
      <c r="CN798" s="83">
        <v>-32.559513389999999</v>
      </c>
    </row>
    <row r="799" spans="1:92" s="3" customFormat="1" x14ac:dyDescent="0.25">
      <c r="A799" s="72">
        <v>837</v>
      </c>
      <c r="B799" s="81" t="s">
        <v>1109</v>
      </c>
      <c r="C799" s="1" t="s">
        <v>83</v>
      </c>
      <c r="D799" s="1" t="s">
        <v>73</v>
      </c>
      <c r="E799" s="1" t="s">
        <v>99</v>
      </c>
      <c r="F799" s="1" t="s">
        <v>128</v>
      </c>
      <c r="G799" s="1" t="s">
        <v>310</v>
      </c>
      <c r="H799" s="1" t="s">
        <v>570</v>
      </c>
      <c r="I799" s="1"/>
      <c r="J799" s="9" t="s">
        <v>544</v>
      </c>
      <c r="K799" s="10">
        <v>0.54367533333333395</v>
      </c>
      <c r="L799" s="1" t="s">
        <v>641</v>
      </c>
      <c r="M799" s="1" t="s">
        <v>76</v>
      </c>
      <c r="N799" s="1" t="s">
        <v>644</v>
      </c>
      <c r="O799" s="1" t="s">
        <v>68</v>
      </c>
      <c r="P799" s="82">
        <v>0.24</v>
      </c>
      <c r="Q799" s="1" t="s">
        <v>76</v>
      </c>
      <c r="R799" s="81" t="s">
        <v>440</v>
      </c>
      <c r="S799" s="1">
        <v>3</v>
      </c>
      <c r="T799" s="1" t="s">
        <v>78</v>
      </c>
      <c r="U799" s="1" t="s">
        <v>658</v>
      </c>
      <c r="V799" s="1" t="s">
        <v>655</v>
      </c>
      <c r="W799" s="1">
        <v>14</v>
      </c>
      <c r="X799" s="1" t="s">
        <v>423</v>
      </c>
      <c r="Y799" s="1" t="s">
        <v>644</v>
      </c>
      <c r="Z799" s="1">
        <v>8.0000000000000002E-3</v>
      </c>
      <c r="AA799" s="1">
        <v>6.0000000000000001E-3</v>
      </c>
      <c r="AB799" s="1">
        <v>5.0000000000000001E-3</v>
      </c>
      <c r="AC799" s="1">
        <v>2.8000000000000001E-2</v>
      </c>
      <c r="AD799" s="1">
        <v>7.0000000000000001E-3</v>
      </c>
      <c r="AE799" s="1">
        <v>8.0000000000000002E-3</v>
      </c>
      <c r="AF799" s="1">
        <v>6.0000000000000001E-3</v>
      </c>
      <c r="AG799" s="1">
        <v>1E-3</v>
      </c>
      <c r="AH799" s="1">
        <v>0.02</v>
      </c>
      <c r="AI799" s="1">
        <v>5.0000000000000001E-3</v>
      </c>
      <c r="AJ799" s="1">
        <v>7.0000000000000001E-3</v>
      </c>
      <c r="AK799" s="1">
        <v>0.04</v>
      </c>
      <c r="AL799" s="1">
        <v>3.0000000000000001E-3</v>
      </c>
      <c r="AM799" s="1">
        <v>5.0000000000000001E-3</v>
      </c>
      <c r="AN799" s="1">
        <v>1.7000000000000001E-2</v>
      </c>
      <c r="AO799" s="1">
        <v>7.0000000000000001E-3</v>
      </c>
      <c r="AP799" s="1">
        <v>3.0000000000000001E-3</v>
      </c>
      <c r="AQ799" s="1">
        <v>3.0000000000000001E-3</v>
      </c>
      <c r="AR799" s="1">
        <v>0.02</v>
      </c>
      <c r="AS799" s="1">
        <v>1.4999999999999999E-2</v>
      </c>
      <c r="AT799" s="1">
        <v>8.9999999999999993E-3</v>
      </c>
      <c r="AU799" s="1">
        <v>8.9999999999999993E-3</v>
      </c>
      <c r="AV799" s="1">
        <v>5.0000000000000001E-3</v>
      </c>
      <c r="AW799" s="1">
        <v>8.0000000000000002E-3</v>
      </c>
      <c r="AX799" s="1">
        <v>1.2999999999999999E-2</v>
      </c>
      <c r="AY799" s="1">
        <v>8.9999999999999993E-3</v>
      </c>
      <c r="AZ799" s="1">
        <v>1.7999999999999999E-2</v>
      </c>
      <c r="BA799" s="1">
        <v>2.1999999999999999E-2</v>
      </c>
      <c r="BB799" s="1">
        <v>5.0000000000000001E-3</v>
      </c>
      <c r="BC799" s="1">
        <v>3.0000000000000001E-3</v>
      </c>
      <c r="BD799" s="1">
        <v>2.7E-2</v>
      </c>
      <c r="BE799" s="1">
        <v>7.0000000000000001E-3</v>
      </c>
      <c r="BF799" s="1">
        <v>4.0000000000000001E-3</v>
      </c>
      <c r="BG799" s="1">
        <v>2E-3</v>
      </c>
      <c r="BH799" s="1">
        <v>3.0000000000000001E-3</v>
      </c>
      <c r="BI799" s="1">
        <v>3.0000000000000001E-3</v>
      </c>
      <c r="BJ799" s="1">
        <v>4.0000000000000001E-3</v>
      </c>
      <c r="BK799" s="1">
        <v>3.0000000000000001E-3</v>
      </c>
      <c r="BL799" s="1">
        <v>0.01</v>
      </c>
      <c r="BM799" s="1">
        <v>4.0000000000000001E-3</v>
      </c>
      <c r="BN799" s="1">
        <v>1.0999999999999999E-2</v>
      </c>
      <c r="BO799" s="1">
        <v>6.0000000000000001E-3</v>
      </c>
      <c r="BP799" s="1">
        <v>3.0000000000000001E-3</v>
      </c>
      <c r="BQ799" s="1">
        <v>1.7999999999999999E-2</v>
      </c>
      <c r="BR799" s="1">
        <v>7.0000000000000001E-3</v>
      </c>
      <c r="BS799" s="1">
        <v>1.2E-2</v>
      </c>
      <c r="BT799" s="1">
        <v>2E-3</v>
      </c>
      <c r="BU799" s="1">
        <v>7.0000000000000001E-3</v>
      </c>
      <c r="BV799" s="1">
        <v>5.0000000000000001E-3</v>
      </c>
      <c r="BW799" s="1">
        <v>6.0000000000000001E-3</v>
      </c>
      <c r="BX799" s="1">
        <v>4.2000000000000003E-2</v>
      </c>
      <c r="BY799" s="1">
        <v>8.9999999999999993E-3</v>
      </c>
      <c r="BZ799" s="1">
        <v>0.02</v>
      </c>
      <c r="CA799" s="1">
        <v>1.0999999999999999E-2</v>
      </c>
      <c r="CB799" s="1">
        <v>1.4999999999999999E-2</v>
      </c>
      <c r="CC799" s="1">
        <v>2.5999999999999999E-2</v>
      </c>
      <c r="CD799" s="1">
        <v>1E-3</v>
      </c>
      <c r="CE799" s="1">
        <v>5.0000000000000001E-3</v>
      </c>
      <c r="CF799" s="1">
        <v>4.0000000000000001E-3</v>
      </c>
      <c r="CG799" s="1">
        <v>1.6E-2</v>
      </c>
      <c r="CH799" s="1">
        <v>8.0000000000000002E-3</v>
      </c>
      <c r="CI799" s="1">
        <v>5.0000000000000001E-3</v>
      </c>
      <c r="CJ799" s="1">
        <v>1.9E-2</v>
      </c>
      <c r="CK799" s="1">
        <v>0.24</v>
      </c>
      <c r="CL799" s="1">
        <v>0.11799999999999999</v>
      </c>
      <c r="CM799" s="1">
        <v>-56.415830300000003</v>
      </c>
      <c r="CN799" s="83">
        <v>18.19997219</v>
      </c>
    </row>
    <row r="800" spans="1:92" s="3" customFormat="1" x14ac:dyDescent="0.25">
      <c r="A800" s="72">
        <v>838</v>
      </c>
      <c r="B800" s="81" t="s">
        <v>759</v>
      </c>
      <c r="C800" s="1" t="s">
        <v>83</v>
      </c>
      <c r="D800" s="1" t="s">
        <v>73</v>
      </c>
      <c r="E800" s="1" t="s">
        <v>99</v>
      </c>
      <c r="F800" s="1" t="s">
        <v>128</v>
      </c>
      <c r="G800" s="1" t="s">
        <v>303</v>
      </c>
      <c r="H800" s="1" t="s">
        <v>570</v>
      </c>
      <c r="I800" s="1"/>
      <c r="J800" s="9" t="s">
        <v>544</v>
      </c>
      <c r="K800" s="10">
        <v>0.39616516666666701</v>
      </c>
      <c r="L800" s="1" t="s">
        <v>641</v>
      </c>
      <c r="M800" s="1" t="s">
        <v>76</v>
      </c>
      <c r="N800" s="1" t="s">
        <v>649</v>
      </c>
      <c r="O800" s="1" t="s">
        <v>55</v>
      </c>
      <c r="P800" s="82">
        <v>0.84799999999999998</v>
      </c>
      <c r="Q800" s="1" t="s">
        <v>76</v>
      </c>
      <c r="R800" s="81" t="s">
        <v>436</v>
      </c>
      <c r="S800" s="1">
        <v>3</v>
      </c>
      <c r="T800" s="1" t="s">
        <v>78</v>
      </c>
      <c r="U800" s="1" t="s">
        <v>658</v>
      </c>
      <c r="V800" s="1" t="s">
        <v>655</v>
      </c>
      <c r="W800" s="1">
        <v>7</v>
      </c>
      <c r="X800" s="1" t="s">
        <v>423</v>
      </c>
      <c r="Y800" s="1" t="s">
        <v>649</v>
      </c>
      <c r="Z800" s="1">
        <v>0</v>
      </c>
      <c r="AA800" s="1">
        <v>1E-3</v>
      </c>
      <c r="AB800" s="1">
        <v>1E-3</v>
      </c>
      <c r="AC800" s="1">
        <v>2E-3</v>
      </c>
      <c r="AD800" s="1">
        <v>1E-3</v>
      </c>
      <c r="AE800" s="1">
        <v>2E-3</v>
      </c>
      <c r="AF800" s="1">
        <v>1E-3</v>
      </c>
      <c r="AG800" s="1">
        <v>0</v>
      </c>
      <c r="AH800" s="1">
        <v>4.0000000000000001E-3</v>
      </c>
      <c r="AI800" s="1">
        <v>0</v>
      </c>
      <c r="AJ800" s="1">
        <v>1.2E-2</v>
      </c>
      <c r="AK800" s="1">
        <v>2E-3</v>
      </c>
      <c r="AL800" s="1">
        <v>1E-3</v>
      </c>
      <c r="AM800" s="1">
        <v>0</v>
      </c>
      <c r="AN800" s="1">
        <v>3.0000000000000001E-3</v>
      </c>
      <c r="AO800" s="1">
        <v>1E-3</v>
      </c>
      <c r="AP800" s="1">
        <v>1E-3</v>
      </c>
      <c r="AQ800" s="1">
        <v>1E-3</v>
      </c>
      <c r="AR800" s="1">
        <v>1E-3</v>
      </c>
      <c r="AS800" s="1">
        <v>3.0000000000000001E-3</v>
      </c>
      <c r="AT800" s="1">
        <v>1E-3</v>
      </c>
      <c r="AU800" s="1">
        <v>1E-3</v>
      </c>
      <c r="AV800" s="1">
        <v>1E-3</v>
      </c>
      <c r="AW800" s="1">
        <v>1E-3</v>
      </c>
      <c r="AX800" s="1">
        <v>2.4E-2</v>
      </c>
      <c r="AY800" s="1">
        <v>1E-3</v>
      </c>
      <c r="AZ800" s="1">
        <v>2E-3</v>
      </c>
      <c r="BA800" s="1">
        <v>3.0000000000000001E-3</v>
      </c>
      <c r="BB800" s="1">
        <v>2E-3</v>
      </c>
      <c r="BC800" s="1">
        <v>1E-3</v>
      </c>
      <c r="BD800" s="1">
        <v>4.0000000000000001E-3</v>
      </c>
      <c r="BE800" s="1">
        <v>1E-3</v>
      </c>
      <c r="BF800" s="1">
        <v>0</v>
      </c>
      <c r="BG800" s="1">
        <v>1E-3</v>
      </c>
      <c r="BH800" s="1">
        <v>1E-3</v>
      </c>
      <c r="BI800" s="1">
        <v>0</v>
      </c>
      <c r="BJ800" s="1">
        <v>0</v>
      </c>
      <c r="BK800" s="1">
        <v>0</v>
      </c>
      <c r="BL800" s="1">
        <v>2E-3</v>
      </c>
      <c r="BM800" s="1">
        <v>1E-3</v>
      </c>
      <c r="BN800" s="1">
        <v>1E-3</v>
      </c>
      <c r="BO800" s="1">
        <v>2E-3</v>
      </c>
      <c r="BP800" s="1">
        <v>0</v>
      </c>
      <c r="BQ800" s="1">
        <v>2E-3</v>
      </c>
      <c r="BR800" s="1">
        <v>1E-3</v>
      </c>
      <c r="BS800" s="1">
        <v>1E-3</v>
      </c>
      <c r="BT800" s="1">
        <v>1E-3</v>
      </c>
      <c r="BU800" s="1">
        <v>2E-3</v>
      </c>
      <c r="BV800" s="1">
        <v>4.0000000000000001E-3</v>
      </c>
      <c r="BW800" s="1">
        <v>1E-3</v>
      </c>
      <c r="BX800" s="1">
        <v>0.84799999999999998</v>
      </c>
      <c r="BY800" s="1">
        <v>3.0000000000000001E-3</v>
      </c>
      <c r="BZ800" s="1">
        <v>3.0000000000000001E-3</v>
      </c>
      <c r="CA800" s="1">
        <v>1E-3</v>
      </c>
      <c r="CB800" s="1">
        <v>0</v>
      </c>
      <c r="CC800" s="1">
        <v>1E-3</v>
      </c>
      <c r="CD800" s="1">
        <v>0</v>
      </c>
      <c r="CE800" s="1">
        <v>1E-3</v>
      </c>
      <c r="CF800" s="1">
        <v>1E-3</v>
      </c>
      <c r="CG800" s="1">
        <v>2E-3</v>
      </c>
      <c r="CH800" s="1">
        <v>2E-3</v>
      </c>
      <c r="CI800" s="1">
        <v>1E-3</v>
      </c>
      <c r="CJ800" s="1">
        <v>2E-3</v>
      </c>
      <c r="CK800" s="1">
        <v>3.5000000000000003E-2</v>
      </c>
      <c r="CL800" s="1">
        <v>1E-3</v>
      </c>
      <c r="CM800" s="1">
        <v>14.33482504</v>
      </c>
      <c r="CN800" s="83">
        <v>21.580458889999999</v>
      </c>
    </row>
    <row r="801" spans="1:92" s="3" customFormat="1" x14ac:dyDescent="0.25">
      <c r="A801" s="72">
        <v>839</v>
      </c>
      <c r="B801" s="81" t="s">
        <v>772</v>
      </c>
      <c r="C801" s="1" t="s">
        <v>83</v>
      </c>
      <c r="D801" s="1" t="s">
        <v>73</v>
      </c>
      <c r="E801" s="1" t="s">
        <v>74</v>
      </c>
      <c r="F801" s="1" t="s">
        <v>128</v>
      </c>
      <c r="G801" s="1" t="s">
        <v>303</v>
      </c>
      <c r="H801" s="1" t="s">
        <v>570</v>
      </c>
      <c r="I801" s="1"/>
      <c r="J801" s="9" t="s">
        <v>544</v>
      </c>
      <c r="K801" s="10">
        <v>0.52348866666666705</v>
      </c>
      <c r="L801" s="1" t="s">
        <v>641</v>
      </c>
      <c r="M801" s="1" t="s">
        <v>76</v>
      </c>
      <c r="N801" s="1" t="s">
        <v>649</v>
      </c>
      <c r="O801" s="1" t="s">
        <v>55</v>
      </c>
      <c r="P801" s="82">
        <v>0.71599999999999997</v>
      </c>
      <c r="Q801" s="1" t="s">
        <v>76</v>
      </c>
      <c r="R801" s="81" t="s">
        <v>427</v>
      </c>
      <c r="S801" s="1">
        <v>3</v>
      </c>
      <c r="T801" s="1" t="s">
        <v>78</v>
      </c>
      <c r="U801" s="1" t="s">
        <v>658</v>
      </c>
      <c r="V801" s="1" t="s">
        <v>655</v>
      </c>
      <c r="W801" s="1">
        <v>5</v>
      </c>
      <c r="X801" s="1" t="s">
        <v>423</v>
      </c>
      <c r="Y801" s="1" t="s">
        <v>649</v>
      </c>
      <c r="Z801" s="1">
        <v>0</v>
      </c>
      <c r="AA801" s="1">
        <v>2E-3</v>
      </c>
      <c r="AB801" s="1">
        <v>1E-3</v>
      </c>
      <c r="AC801" s="1">
        <v>0.01</v>
      </c>
      <c r="AD801" s="1">
        <v>1E-3</v>
      </c>
      <c r="AE801" s="1">
        <v>2E-3</v>
      </c>
      <c r="AF801" s="1">
        <v>1E-3</v>
      </c>
      <c r="AG801" s="1">
        <v>0</v>
      </c>
      <c r="AH801" s="1">
        <v>4.0000000000000001E-3</v>
      </c>
      <c r="AI801" s="1">
        <v>1E-3</v>
      </c>
      <c r="AJ801" s="1">
        <v>1E-3</v>
      </c>
      <c r="AK801" s="1">
        <v>4.0000000000000001E-3</v>
      </c>
      <c r="AL801" s="1">
        <v>1E-3</v>
      </c>
      <c r="AM801" s="1">
        <v>1E-3</v>
      </c>
      <c r="AN801" s="1">
        <v>1E-3</v>
      </c>
      <c r="AO801" s="1">
        <v>5.0000000000000001E-3</v>
      </c>
      <c r="AP801" s="1">
        <v>1E-3</v>
      </c>
      <c r="AQ801" s="1">
        <v>1E-3</v>
      </c>
      <c r="AR801" s="1">
        <v>1E-3</v>
      </c>
      <c r="AS801" s="1">
        <v>5.0000000000000001E-3</v>
      </c>
      <c r="AT801" s="1">
        <v>4.0000000000000001E-3</v>
      </c>
      <c r="AU801" s="1">
        <v>2E-3</v>
      </c>
      <c r="AV801" s="1">
        <v>1E-3</v>
      </c>
      <c r="AW801" s="1">
        <v>2E-3</v>
      </c>
      <c r="AX801" s="1">
        <v>1E-3</v>
      </c>
      <c r="AY801" s="1">
        <v>2E-3</v>
      </c>
      <c r="AZ801" s="1">
        <v>2E-3</v>
      </c>
      <c r="BA801" s="1">
        <v>6.0000000000000001E-3</v>
      </c>
      <c r="BB801" s="1">
        <v>1.0999999999999999E-2</v>
      </c>
      <c r="BC801" s="1">
        <v>1E-3</v>
      </c>
      <c r="BD801" s="1">
        <v>6.0000000000000001E-3</v>
      </c>
      <c r="BE801" s="1">
        <v>1E-3</v>
      </c>
      <c r="BF801" s="1">
        <v>0</v>
      </c>
      <c r="BG801" s="1">
        <v>1E-3</v>
      </c>
      <c r="BH801" s="1">
        <v>1E-3</v>
      </c>
      <c r="BI801" s="1">
        <v>1E-3</v>
      </c>
      <c r="BJ801" s="1">
        <v>0</v>
      </c>
      <c r="BK801" s="1">
        <v>1E-3</v>
      </c>
      <c r="BL801" s="1">
        <v>3.0000000000000001E-3</v>
      </c>
      <c r="BM801" s="1">
        <v>2E-3</v>
      </c>
      <c r="BN801" s="1">
        <v>2E-3</v>
      </c>
      <c r="BO801" s="1">
        <v>2E-3</v>
      </c>
      <c r="BP801" s="1">
        <v>0</v>
      </c>
      <c r="BQ801" s="1">
        <v>1.9E-2</v>
      </c>
      <c r="BR801" s="1">
        <v>4.0000000000000001E-3</v>
      </c>
      <c r="BS801" s="1">
        <v>1E-3</v>
      </c>
      <c r="BT801" s="1">
        <v>1E-3</v>
      </c>
      <c r="BU801" s="1">
        <v>1E-3</v>
      </c>
      <c r="BV801" s="1">
        <v>0.11700000000000001</v>
      </c>
      <c r="BW801" s="1">
        <v>2E-3</v>
      </c>
      <c r="BX801" s="1">
        <v>0.71599999999999997</v>
      </c>
      <c r="BY801" s="1">
        <v>3.0000000000000001E-3</v>
      </c>
      <c r="BZ801" s="1">
        <v>3.0000000000000001E-3</v>
      </c>
      <c r="CA801" s="1">
        <v>1E-3</v>
      </c>
      <c r="CB801" s="1">
        <v>1E-3</v>
      </c>
      <c r="CC801" s="1">
        <v>1E-3</v>
      </c>
      <c r="CD801" s="1">
        <v>0</v>
      </c>
      <c r="CE801" s="1">
        <v>1E-3</v>
      </c>
      <c r="CF801" s="1">
        <v>1E-3</v>
      </c>
      <c r="CG801" s="1">
        <v>4.0000000000000001E-3</v>
      </c>
      <c r="CH801" s="1">
        <v>3.0000000000000001E-3</v>
      </c>
      <c r="CI801" s="1">
        <v>2E-3</v>
      </c>
      <c r="CJ801" s="1">
        <v>5.0000000000000001E-3</v>
      </c>
      <c r="CK801" s="1">
        <v>1.7000000000000001E-2</v>
      </c>
      <c r="CL801" s="1">
        <v>2E-3</v>
      </c>
      <c r="CM801" s="1">
        <v>27.380637220000001</v>
      </c>
      <c r="CN801" s="83">
        <v>30.78879264</v>
      </c>
    </row>
    <row r="802" spans="1:92" s="3" customFormat="1" x14ac:dyDescent="0.25">
      <c r="A802" s="72">
        <v>840</v>
      </c>
      <c r="B802" s="81" t="s">
        <v>1598</v>
      </c>
      <c r="C802" s="1" t="s">
        <v>83</v>
      </c>
      <c r="D802" s="1" t="s">
        <v>73</v>
      </c>
      <c r="E802" s="1" t="s">
        <v>99</v>
      </c>
      <c r="F802" s="1" t="s">
        <v>97</v>
      </c>
      <c r="G802" s="1" t="s">
        <v>76</v>
      </c>
      <c r="H802" s="1" t="s">
        <v>97</v>
      </c>
      <c r="I802" s="1"/>
      <c r="J802" s="9" t="s">
        <v>506</v>
      </c>
      <c r="K802" s="10">
        <v>0.631687</v>
      </c>
      <c r="L802" s="1" t="s">
        <v>641</v>
      </c>
      <c r="M802" s="1" t="s">
        <v>76</v>
      </c>
      <c r="N802" s="1" t="s">
        <v>644</v>
      </c>
      <c r="O802" s="1" t="s">
        <v>32</v>
      </c>
      <c r="P802" s="82">
        <v>6.9000000000000006E-2</v>
      </c>
      <c r="Q802" s="1" t="s">
        <v>76</v>
      </c>
      <c r="R802" s="81" t="s">
        <v>77</v>
      </c>
      <c r="S802" s="1" t="s">
        <v>76</v>
      </c>
      <c r="T802" s="1" t="s">
        <v>78</v>
      </c>
      <c r="U802" s="1" t="s">
        <v>659</v>
      </c>
      <c r="V802" s="1" t="s">
        <v>654</v>
      </c>
      <c r="W802" s="1">
        <v>86</v>
      </c>
      <c r="X802" s="1" t="s">
        <v>423</v>
      </c>
      <c r="Y802" s="1" t="s">
        <v>644</v>
      </c>
      <c r="Z802" s="1">
        <v>3.0000000000000001E-3</v>
      </c>
      <c r="AA802" s="1">
        <v>0.01</v>
      </c>
      <c r="AB802" s="1">
        <v>7.0000000000000001E-3</v>
      </c>
      <c r="AC802" s="1">
        <v>2.8000000000000001E-2</v>
      </c>
      <c r="AD802" s="1">
        <v>7.0000000000000001E-3</v>
      </c>
      <c r="AE802" s="1">
        <v>6.0000000000000001E-3</v>
      </c>
      <c r="AF802" s="1">
        <v>8.0000000000000002E-3</v>
      </c>
      <c r="AG802" s="1">
        <v>1E-3</v>
      </c>
      <c r="AH802" s="1">
        <v>2.1000000000000001E-2</v>
      </c>
      <c r="AI802" s="1">
        <v>3.0000000000000001E-3</v>
      </c>
      <c r="AJ802" s="1">
        <v>5.0000000000000001E-3</v>
      </c>
      <c r="AK802" s="1">
        <v>3.6999999999999998E-2</v>
      </c>
      <c r="AL802" s="1">
        <v>2E-3</v>
      </c>
      <c r="AM802" s="1">
        <v>3.0000000000000001E-3</v>
      </c>
      <c r="AN802" s="1">
        <v>6.0000000000000001E-3</v>
      </c>
      <c r="AO802" s="1">
        <v>8.9999999999999993E-3</v>
      </c>
      <c r="AP802" s="1">
        <v>5.0000000000000001E-3</v>
      </c>
      <c r="AQ802" s="1">
        <v>4.0000000000000001E-3</v>
      </c>
      <c r="AR802" s="1">
        <v>4.0000000000000001E-3</v>
      </c>
      <c r="AS802" s="1">
        <v>2.8000000000000001E-2</v>
      </c>
      <c r="AT802" s="1">
        <v>1.7000000000000001E-2</v>
      </c>
      <c r="AU802" s="1">
        <v>8.0000000000000002E-3</v>
      </c>
      <c r="AV802" s="1">
        <v>4.0000000000000001E-3</v>
      </c>
      <c r="AW802" s="1">
        <v>1.7000000000000001E-2</v>
      </c>
      <c r="AX802" s="1">
        <v>7.0000000000000001E-3</v>
      </c>
      <c r="AY802" s="1">
        <v>2.1999999999999999E-2</v>
      </c>
      <c r="AZ802" s="1">
        <v>2.5000000000000001E-2</v>
      </c>
      <c r="BA802" s="1">
        <v>6.9000000000000006E-2</v>
      </c>
      <c r="BB802" s="1">
        <v>0.01</v>
      </c>
      <c r="BC802" s="1">
        <v>3.0000000000000001E-3</v>
      </c>
      <c r="BD802" s="1">
        <v>4.2000000000000003E-2</v>
      </c>
      <c r="BE802" s="1">
        <v>6.0000000000000001E-3</v>
      </c>
      <c r="BF802" s="1">
        <v>3.0000000000000001E-3</v>
      </c>
      <c r="BG802" s="1">
        <v>8.9999999999999993E-3</v>
      </c>
      <c r="BH802" s="1">
        <v>5.0000000000000001E-3</v>
      </c>
      <c r="BI802" s="1">
        <v>5.0000000000000001E-3</v>
      </c>
      <c r="BJ802" s="1">
        <v>3.0000000000000001E-3</v>
      </c>
      <c r="BK802" s="1">
        <v>4.0000000000000001E-3</v>
      </c>
      <c r="BL802" s="1">
        <v>0.02</v>
      </c>
      <c r="BM802" s="1">
        <v>7.0000000000000001E-3</v>
      </c>
      <c r="BN802" s="1">
        <v>1.4999999999999999E-2</v>
      </c>
      <c r="BO802" s="1">
        <v>4.0000000000000001E-3</v>
      </c>
      <c r="BP802" s="1">
        <v>2E-3</v>
      </c>
      <c r="BQ802" s="1">
        <v>4.2000000000000003E-2</v>
      </c>
      <c r="BR802" s="1">
        <v>1.0999999999999999E-2</v>
      </c>
      <c r="BS802" s="1">
        <v>5.0000000000000001E-3</v>
      </c>
      <c r="BT802" s="1">
        <v>6.0000000000000001E-3</v>
      </c>
      <c r="BU802" s="1">
        <v>2.4E-2</v>
      </c>
      <c r="BV802" s="1">
        <v>6.0000000000000001E-3</v>
      </c>
      <c r="BW802" s="1">
        <v>0.01</v>
      </c>
      <c r="BX802" s="1">
        <v>2.1000000000000001E-2</v>
      </c>
      <c r="BY802" s="1">
        <v>2.3E-2</v>
      </c>
      <c r="BZ802" s="1">
        <v>2.1000000000000001E-2</v>
      </c>
      <c r="CA802" s="1">
        <v>1.4E-2</v>
      </c>
      <c r="CB802" s="1">
        <v>5.0000000000000001E-3</v>
      </c>
      <c r="CC802" s="1">
        <v>1.4999999999999999E-2</v>
      </c>
      <c r="CD802" s="1">
        <v>2E-3</v>
      </c>
      <c r="CE802" s="1">
        <v>6.0000000000000001E-3</v>
      </c>
      <c r="CF802" s="1">
        <v>6.6000000000000003E-2</v>
      </c>
      <c r="CG802" s="1">
        <v>2.7E-2</v>
      </c>
      <c r="CH802" s="1">
        <v>2.5999999999999999E-2</v>
      </c>
      <c r="CI802" s="1">
        <v>1.2E-2</v>
      </c>
      <c r="CJ802" s="1">
        <v>4.9000000000000002E-2</v>
      </c>
      <c r="CK802" s="1">
        <v>5.7000000000000002E-2</v>
      </c>
      <c r="CL802" s="1">
        <v>4.7E-2</v>
      </c>
      <c r="CM802" s="1">
        <v>-61.463918419999999</v>
      </c>
      <c r="CN802" s="83">
        <v>5.9559427339999997</v>
      </c>
    </row>
    <row r="803" spans="1:92" s="3" customFormat="1" hidden="1" x14ac:dyDescent="0.25">
      <c r="A803" s="72">
        <v>841</v>
      </c>
      <c r="B803" s="81" t="s">
        <v>1646</v>
      </c>
      <c r="C803" s="1" t="s">
        <v>83</v>
      </c>
      <c r="D803" s="1" t="s">
        <v>73</v>
      </c>
      <c r="E803" s="1" t="s">
        <v>99</v>
      </c>
      <c r="F803" s="1" t="s">
        <v>426</v>
      </c>
      <c r="G803" s="1" t="s">
        <v>76</v>
      </c>
      <c r="H803" s="1" t="s">
        <v>537</v>
      </c>
      <c r="I803" s="1"/>
      <c r="J803" s="9" t="s">
        <v>544</v>
      </c>
      <c r="K803" s="10">
        <v>0.41275083333333301</v>
      </c>
      <c r="L803" s="1" t="s">
        <v>76</v>
      </c>
      <c r="M803" s="1" t="s">
        <v>506</v>
      </c>
      <c r="N803" s="1" t="s">
        <v>645</v>
      </c>
      <c r="O803" s="1" t="s">
        <v>22</v>
      </c>
      <c r="P803" s="82">
        <v>0.98299999999999998</v>
      </c>
      <c r="Q803" s="1" t="s">
        <v>76</v>
      </c>
      <c r="R803" s="81" t="s">
        <v>157</v>
      </c>
      <c r="S803" s="1" t="s">
        <v>76</v>
      </c>
      <c r="T803" s="1" t="s">
        <v>76</v>
      </c>
      <c r="U803" s="1" t="s">
        <v>76</v>
      </c>
      <c r="V803" s="1" t="s">
        <v>655</v>
      </c>
      <c r="W803" s="1">
        <v>31</v>
      </c>
      <c r="X803" s="1" t="s">
        <v>76</v>
      </c>
      <c r="Y803" s="1" t="s">
        <v>645</v>
      </c>
      <c r="Z803" s="1">
        <v>0</v>
      </c>
      <c r="AA803" s="1">
        <v>0</v>
      </c>
      <c r="AB803" s="1">
        <v>0</v>
      </c>
      <c r="AC803" s="1">
        <v>2E-3</v>
      </c>
      <c r="AD803" s="1">
        <v>1E-3</v>
      </c>
      <c r="AE803" s="1">
        <v>0</v>
      </c>
      <c r="AF803" s="1">
        <v>0</v>
      </c>
      <c r="AG803" s="1">
        <v>0</v>
      </c>
      <c r="AH803" s="1">
        <v>1E-3</v>
      </c>
      <c r="AI803" s="1">
        <v>0</v>
      </c>
      <c r="AJ803" s="1">
        <v>0</v>
      </c>
      <c r="AK803" s="1">
        <v>1E-3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0.98299999999999998</v>
      </c>
      <c r="AR803" s="1">
        <v>0</v>
      </c>
      <c r="AS803" s="1">
        <v>1E-3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1E-3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1E-3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2E-3</v>
      </c>
      <c r="BZ803" s="1">
        <v>1E-3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1E-3</v>
      </c>
      <c r="CM803" s="1">
        <v>-84.4106357</v>
      </c>
      <c r="CN803" s="83">
        <v>-23.902730479999999</v>
      </c>
    </row>
    <row r="804" spans="1:92" s="3" customFormat="1" x14ac:dyDescent="0.25">
      <c r="A804" s="72">
        <v>845</v>
      </c>
      <c r="B804" s="81" t="s">
        <v>1501</v>
      </c>
      <c r="C804" s="1" t="s">
        <v>83</v>
      </c>
      <c r="D804" s="1" t="s">
        <v>73</v>
      </c>
      <c r="E804" s="1" t="s">
        <v>99</v>
      </c>
      <c r="F804" s="1" t="s">
        <v>211</v>
      </c>
      <c r="G804" s="1" t="s">
        <v>76</v>
      </c>
      <c r="H804" s="1" t="s">
        <v>212</v>
      </c>
      <c r="I804" s="1"/>
      <c r="J804" s="9" t="s">
        <v>544</v>
      </c>
      <c r="K804" s="10">
        <v>0.38345016666666698</v>
      </c>
      <c r="L804" s="1" t="s">
        <v>76</v>
      </c>
      <c r="M804" s="1" t="s">
        <v>506</v>
      </c>
      <c r="N804" s="1" t="s">
        <v>645</v>
      </c>
      <c r="O804" s="1" t="s">
        <v>68</v>
      </c>
      <c r="P804" s="82">
        <v>0.999</v>
      </c>
      <c r="Q804" s="1" t="s">
        <v>76</v>
      </c>
      <c r="R804" s="81" t="s">
        <v>169</v>
      </c>
      <c r="S804" s="1">
        <v>3</v>
      </c>
      <c r="T804" s="1" t="s">
        <v>120</v>
      </c>
      <c r="U804" s="1" t="s">
        <v>659</v>
      </c>
      <c r="V804" s="1" t="s">
        <v>655</v>
      </c>
      <c r="W804" s="1">
        <v>70</v>
      </c>
      <c r="X804" s="1" t="s">
        <v>76</v>
      </c>
      <c r="Y804" s="1" t="s">
        <v>645</v>
      </c>
      <c r="Z804" s="1">
        <v>1E-3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0.999</v>
      </c>
      <c r="CL804" s="1">
        <v>0</v>
      </c>
      <c r="CM804" s="1">
        <v>25.392590330000001</v>
      </c>
      <c r="CN804" s="83">
        <v>-46.346503890000001</v>
      </c>
    </row>
    <row r="805" spans="1:92" s="3" customFormat="1" x14ac:dyDescent="0.25">
      <c r="A805" s="72">
        <v>846</v>
      </c>
      <c r="B805" s="81" t="s">
        <v>1458</v>
      </c>
      <c r="C805" s="1" t="s">
        <v>83</v>
      </c>
      <c r="D805" s="1" t="s">
        <v>73</v>
      </c>
      <c r="E805" s="1" t="s">
        <v>99</v>
      </c>
      <c r="F805" s="1" t="s">
        <v>211</v>
      </c>
      <c r="G805" s="1" t="s">
        <v>76</v>
      </c>
      <c r="H805" s="1" t="s">
        <v>212</v>
      </c>
      <c r="I805" s="1"/>
      <c r="J805" s="9" t="s">
        <v>544</v>
      </c>
      <c r="K805" s="10">
        <v>0.37819583333333301</v>
      </c>
      <c r="L805" s="1" t="s">
        <v>76</v>
      </c>
      <c r="M805" s="1" t="s">
        <v>506</v>
      </c>
      <c r="N805" s="1" t="s">
        <v>645</v>
      </c>
      <c r="O805" s="1" t="s">
        <v>68</v>
      </c>
      <c r="P805" s="82">
        <v>0.91300000000000003</v>
      </c>
      <c r="Q805" s="1" t="s">
        <v>76</v>
      </c>
      <c r="R805" s="81" t="s">
        <v>157</v>
      </c>
      <c r="S805" s="1">
        <v>3</v>
      </c>
      <c r="T805" s="1" t="s">
        <v>120</v>
      </c>
      <c r="U805" s="1" t="s">
        <v>658</v>
      </c>
      <c r="V805" s="1" t="s">
        <v>655</v>
      </c>
      <c r="W805" s="1">
        <v>73</v>
      </c>
      <c r="X805" s="1" t="s">
        <v>76</v>
      </c>
      <c r="Y805" s="1" t="s">
        <v>645</v>
      </c>
      <c r="Z805" s="1">
        <v>1.2999999999999999E-2</v>
      </c>
      <c r="AA805" s="1">
        <v>1E-3</v>
      </c>
      <c r="AB805" s="1">
        <v>1E-3</v>
      </c>
      <c r="AC805" s="1">
        <v>7.0000000000000001E-3</v>
      </c>
      <c r="AD805" s="1">
        <v>1E-3</v>
      </c>
      <c r="AE805" s="1">
        <v>1E-3</v>
      </c>
      <c r="AF805" s="1">
        <v>1E-3</v>
      </c>
      <c r="AG805" s="1">
        <v>0</v>
      </c>
      <c r="AH805" s="1">
        <v>4.0000000000000001E-3</v>
      </c>
      <c r="AI805" s="1">
        <v>1E-3</v>
      </c>
      <c r="AJ805" s="1">
        <v>0</v>
      </c>
      <c r="AK805" s="1">
        <v>1E-3</v>
      </c>
      <c r="AL805" s="1">
        <v>0</v>
      </c>
      <c r="AM805" s="1">
        <v>0</v>
      </c>
      <c r="AN805" s="1">
        <v>1E-3</v>
      </c>
      <c r="AO805" s="1">
        <v>0</v>
      </c>
      <c r="AP805" s="1">
        <v>0</v>
      </c>
      <c r="AQ805" s="1">
        <v>0</v>
      </c>
      <c r="AR805" s="1">
        <v>2E-3</v>
      </c>
      <c r="AS805" s="1">
        <v>1E-3</v>
      </c>
      <c r="AT805" s="1">
        <v>1E-3</v>
      </c>
      <c r="AU805" s="1">
        <v>1E-3</v>
      </c>
      <c r="AV805" s="1">
        <v>1E-3</v>
      </c>
      <c r="AW805" s="1">
        <v>1E-3</v>
      </c>
      <c r="AX805" s="1">
        <v>5.0000000000000001E-3</v>
      </c>
      <c r="AY805" s="1">
        <v>1E-3</v>
      </c>
      <c r="AZ805" s="1">
        <v>1E-3</v>
      </c>
      <c r="BA805" s="1">
        <v>2E-3</v>
      </c>
      <c r="BB805" s="1">
        <v>0</v>
      </c>
      <c r="BC805" s="1">
        <v>0</v>
      </c>
      <c r="BD805" s="1">
        <v>3.0000000000000001E-3</v>
      </c>
      <c r="BE805" s="1">
        <v>0</v>
      </c>
      <c r="BF805" s="1">
        <v>3.0000000000000001E-3</v>
      </c>
      <c r="BG805" s="1">
        <v>0</v>
      </c>
      <c r="BH805" s="1">
        <v>1E-3</v>
      </c>
      <c r="BI805" s="1">
        <v>0</v>
      </c>
      <c r="BJ805" s="1">
        <v>0</v>
      </c>
      <c r="BK805" s="1">
        <v>0</v>
      </c>
      <c r="BL805" s="1">
        <v>1E-3</v>
      </c>
      <c r="BM805" s="1">
        <v>0</v>
      </c>
      <c r="BN805" s="1">
        <v>1E-3</v>
      </c>
      <c r="BO805" s="1">
        <v>0</v>
      </c>
      <c r="BP805" s="1">
        <v>0</v>
      </c>
      <c r="BQ805" s="1">
        <v>1E-3</v>
      </c>
      <c r="BR805" s="1">
        <v>1E-3</v>
      </c>
      <c r="BS805" s="1">
        <v>2E-3</v>
      </c>
      <c r="BT805" s="1">
        <v>0</v>
      </c>
      <c r="BU805" s="1">
        <v>1E-3</v>
      </c>
      <c r="BV805" s="1">
        <v>0</v>
      </c>
      <c r="BW805" s="1">
        <v>1E-3</v>
      </c>
      <c r="BX805" s="1">
        <v>5.0000000000000001E-3</v>
      </c>
      <c r="BY805" s="1">
        <v>2E-3</v>
      </c>
      <c r="BZ805" s="1">
        <v>2E-3</v>
      </c>
      <c r="CA805" s="1">
        <v>4.0000000000000001E-3</v>
      </c>
      <c r="CB805" s="1">
        <v>0</v>
      </c>
      <c r="CC805" s="1">
        <v>1E-3</v>
      </c>
      <c r="CD805" s="1">
        <v>0</v>
      </c>
      <c r="CE805" s="1">
        <v>1E-3</v>
      </c>
      <c r="CF805" s="1">
        <v>1E-3</v>
      </c>
      <c r="CG805" s="1">
        <v>1E-3</v>
      </c>
      <c r="CH805" s="1">
        <v>1E-3</v>
      </c>
      <c r="CI805" s="1">
        <v>1E-3</v>
      </c>
      <c r="CJ805" s="1">
        <v>1E-3</v>
      </c>
      <c r="CK805" s="1">
        <v>0.91300000000000003</v>
      </c>
      <c r="CL805" s="1">
        <v>2E-3</v>
      </c>
      <c r="CM805" s="1">
        <v>28.62004353</v>
      </c>
      <c r="CN805" s="83">
        <v>-56.317197159999999</v>
      </c>
    </row>
    <row r="806" spans="1:92" s="3" customFormat="1" x14ac:dyDescent="0.25">
      <c r="A806" s="72">
        <v>847</v>
      </c>
      <c r="B806" s="81" t="s">
        <v>1268</v>
      </c>
      <c r="C806" s="1" t="s">
        <v>83</v>
      </c>
      <c r="D806" s="1" t="s">
        <v>73</v>
      </c>
      <c r="E806" s="1" t="s">
        <v>74</v>
      </c>
      <c r="F806" s="1" t="s">
        <v>128</v>
      </c>
      <c r="G806" s="1" t="s">
        <v>320</v>
      </c>
      <c r="H806" s="1" t="s">
        <v>441</v>
      </c>
      <c r="I806" s="1"/>
      <c r="J806" s="9" t="s">
        <v>441</v>
      </c>
      <c r="K806" s="10">
        <v>0.56753416666666601</v>
      </c>
      <c r="L806" s="1"/>
      <c r="M806" s="1"/>
      <c r="N806" s="1" t="s">
        <v>441</v>
      </c>
      <c r="O806" s="1" t="s">
        <v>441</v>
      </c>
      <c r="P806" s="82" t="s">
        <v>76</v>
      </c>
      <c r="Q806" s="1" t="s">
        <v>76</v>
      </c>
      <c r="R806" s="81" t="s">
        <v>427</v>
      </c>
      <c r="S806" s="1">
        <v>3</v>
      </c>
      <c r="T806" s="1" t="s">
        <v>120</v>
      </c>
      <c r="U806" s="1" t="s">
        <v>659</v>
      </c>
      <c r="V806" s="1" t="s">
        <v>655</v>
      </c>
      <c r="W806" s="1">
        <v>17</v>
      </c>
      <c r="X806" s="1" t="s">
        <v>170</v>
      </c>
      <c r="Y806" s="1" t="s">
        <v>441</v>
      </c>
      <c r="Z806" s="1" t="s">
        <v>76</v>
      </c>
      <c r="AA806" s="1" t="s">
        <v>76</v>
      </c>
      <c r="AB806" s="1" t="s">
        <v>76</v>
      </c>
      <c r="AC806" s="1" t="s">
        <v>76</v>
      </c>
      <c r="AD806" s="1" t="s">
        <v>76</v>
      </c>
      <c r="AE806" s="1" t="s">
        <v>76</v>
      </c>
      <c r="AF806" s="1" t="s">
        <v>76</v>
      </c>
      <c r="AG806" s="1" t="s">
        <v>76</v>
      </c>
      <c r="AH806" s="1" t="s">
        <v>76</v>
      </c>
      <c r="AI806" s="1" t="s">
        <v>76</v>
      </c>
      <c r="AJ806" s="1" t="s">
        <v>76</v>
      </c>
      <c r="AK806" s="1" t="s">
        <v>76</v>
      </c>
      <c r="AL806" s="1" t="s">
        <v>76</v>
      </c>
      <c r="AM806" s="1" t="s">
        <v>76</v>
      </c>
      <c r="AN806" s="1" t="s">
        <v>76</v>
      </c>
      <c r="AO806" s="1" t="s">
        <v>76</v>
      </c>
      <c r="AP806" s="1" t="s">
        <v>76</v>
      </c>
      <c r="AQ806" s="1" t="s">
        <v>76</v>
      </c>
      <c r="AR806" s="1" t="s">
        <v>76</v>
      </c>
      <c r="AS806" s="1" t="s">
        <v>76</v>
      </c>
      <c r="AT806" s="1" t="s">
        <v>76</v>
      </c>
      <c r="AU806" s="1" t="s">
        <v>76</v>
      </c>
      <c r="AV806" s="1" t="s">
        <v>76</v>
      </c>
      <c r="AW806" s="1" t="s">
        <v>76</v>
      </c>
      <c r="AX806" s="1" t="s">
        <v>76</v>
      </c>
      <c r="AY806" s="1" t="s">
        <v>76</v>
      </c>
      <c r="AZ806" s="1" t="s">
        <v>76</v>
      </c>
      <c r="BA806" s="1" t="s">
        <v>76</v>
      </c>
      <c r="BB806" s="1" t="s">
        <v>76</v>
      </c>
      <c r="BC806" s="1" t="s">
        <v>76</v>
      </c>
      <c r="BD806" s="1" t="s">
        <v>76</v>
      </c>
      <c r="BE806" s="1" t="s">
        <v>76</v>
      </c>
      <c r="BF806" s="1" t="s">
        <v>76</v>
      </c>
      <c r="BG806" s="1" t="s">
        <v>76</v>
      </c>
      <c r="BH806" s="1" t="s">
        <v>76</v>
      </c>
      <c r="BI806" s="1" t="s">
        <v>76</v>
      </c>
      <c r="BJ806" s="1" t="s">
        <v>76</v>
      </c>
      <c r="BK806" s="1" t="s">
        <v>76</v>
      </c>
      <c r="BL806" s="1" t="s">
        <v>76</v>
      </c>
      <c r="BM806" s="1" t="s">
        <v>76</v>
      </c>
      <c r="BN806" s="1" t="s">
        <v>76</v>
      </c>
      <c r="BO806" s="1" t="s">
        <v>76</v>
      </c>
      <c r="BP806" s="1" t="s">
        <v>76</v>
      </c>
      <c r="BQ806" s="1" t="s">
        <v>76</v>
      </c>
      <c r="BR806" s="1" t="s">
        <v>76</v>
      </c>
      <c r="BS806" s="1" t="s">
        <v>76</v>
      </c>
      <c r="BT806" s="1" t="s">
        <v>76</v>
      </c>
      <c r="BU806" s="1" t="s">
        <v>76</v>
      </c>
      <c r="BV806" s="1" t="s">
        <v>76</v>
      </c>
      <c r="BW806" s="1" t="s">
        <v>76</v>
      </c>
      <c r="BX806" s="1" t="s">
        <v>76</v>
      </c>
      <c r="BY806" s="1" t="s">
        <v>76</v>
      </c>
      <c r="BZ806" s="1" t="s">
        <v>76</v>
      </c>
      <c r="CA806" s="1" t="s">
        <v>76</v>
      </c>
      <c r="CB806" s="1" t="s">
        <v>76</v>
      </c>
      <c r="CC806" s="1" t="s">
        <v>76</v>
      </c>
      <c r="CD806" s="1" t="s">
        <v>76</v>
      </c>
      <c r="CE806" s="1" t="s">
        <v>76</v>
      </c>
      <c r="CF806" s="1" t="s">
        <v>76</v>
      </c>
      <c r="CG806" s="1" t="s">
        <v>76</v>
      </c>
      <c r="CH806" s="1" t="s">
        <v>76</v>
      </c>
      <c r="CI806" s="1" t="s">
        <v>76</v>
      </c>
      <c r="CJ806" s="1" t="s">
        <v>76</v>
      </c>
      <c r="CK806" s="1" t="s">
        <v>76</v>
      </c>
      <c r="CL806" s="1" t="s">
        <v>76</v>
      </c>
      <c r="CM806" s="1" t="s">
        <v>76</v>
      </c>
      <c r="CN806" s="83" t="s">
        <v>76</v>
      </c>
    </row>
    <row r="807" spans="1:92" s="3" customFormat="1" x14ac:dyDescent="0.25">
      <c r="A807" s="72">
        <v>848</v>
      </c>
      <c r="B807" s="81" t="s">
        <v>1297</v>
      </c>
      <c r="C807" s="1" t="s">
        <v>83</v>
      </c>
      <c r="D807" s="1" t="s">
        <v>73</v>
      </c>
      <c r="E807" s="1" t="s">
        <v>74</v>
      </c>
      <c r="F807" s="1" t="s">
        <v>128</v>
      </c>
      <c r="G807" s="1" t="s">
        <v>303</v>
      </c>
      <c r="H807" s="1" t="s">
        <v>441</v>
      </c>
      <c r="I807" s="1"/>
      <c r="J807" s="9" t="s">
        <v>441</v>
      </c>
      <c r="K807" s="10">
        <v>0.3849185</v>
      </c>
      <c r="L807" s="1"/>
      <c r="M807" s="1"/>
      <c r="N807" s="1" t="s">
        <v>441</v>
      </c>
      <c r="O807" s="1" t="s">
        <v>441</v>
      </c>
      <c r="P807" s="82" t="s">
        <v>76</v>
      </c>
      <c r="Q807" s="1" t="s">
        <v>76</v>
      </c>
      <c r="R807" s="81" t="s">
        <v>436</v>
      </c>
      <c r="S807" s="1">
        <v>3</v>
      </c>
      <c r="T807" s="1" t="s">
        <v>78</v>
      </c>
      <c r="U807" s="1" t="s">
        <v>658</v>
      </c>
      <c r="V807" s="1" t="s">
        <v>655</v>
      </c>
      <c r="W807" s="1">
        <v>38</v>
      </c>
      <c r="X807" s="1" t="s">
        <v>170</v>
      </c>
      <c r="Y807" s="1" t="s">
        <v>441</v>
      </c>
      <c r="Z807" s="1" t="s">
        <v>76</v>
      </c>
      <c r="AA807" s="1" t="s">
        <v>76</v>
      </c>
      <c r="AB807" s="1" t="s">
        <v>76</v>
      </c>
      <c r="AC807" s="1" t="s">
        <v>76</v>
      </c>
      <c r="AD807" s="1" t="s">
        <v>76</v>
      </c>
      <c r="AE807" s="1" t="s">
        <v>76</v>
      </c>
      <c r="AF807" s="1" t="s">
        <v>76</v>
      </c>
      <c r="AG807" s="1" t="s">
        <v>76</v>
      </c>
      <c r="AH807" s="1" t="s">
        <v>76</v>
      </c>
      <c r="AI807" s="1" t="s">
        <v>76</v>
      </c>
      <c r="AJ807" s="1" t="s">
        <v>76</v>
      </c>
      <c r="AK807" s="1" t="s">
        <v>76</v>
      </c>
      <c r="AL807" s="1" t="s">
        <v>76</v>
      </c>
      <c r="AM807" s="1" t="s">
        <v>76</v>
      </c>
      <c r="AN807" s="1" t="s">
        <v>76</v>
      </c>
      <c r="AO807" s="1" t="s">
        <v>76</v>
      </c>
      <c r="AP807" s="1" t="s">
        <v>76</v>
      </c>
      <c r="AQ807" s="1" t="s">
        <v>76</v>
      </c>
      <c r="AR807" s="1" t="s">
        <v>76</v>
      </c>
      <c r="AS807" s="1" t="s">
        <v>76</v>
      </c>
      <c r="AT807" s="1" t="s">
        <v>76</v>
      </c>
      <c r="AU807" s="1" t="s">
        <v>76</v>
      </c>
      <c r="AV807" s="1" t="s">
        <v>76</v>
      </c>
      <c r="AW807" s="1" t="s">
        <v>76</v>
      </c>
      <c r="AX807" s="1" t="s">
        <v>76</v>
      </c>
      <c r="AY807" s="1" t="s">
        <v>76</v>
      </c>
      <c r="AZ807" s="1" t="s">
        <v>76</v>
      </c>
      <c r="BA807" s="1" t="s">
        <v>76</v>
      </c>
      <c r="BB807" s="1" t="s">
        <v>76</v>
      </c>
      <c r="BC807" s="1" t="s">
        <v>76</v>
      </c>
      <c r="BD807" s="1" t="s">
        <v>76</v>
      </c>
      <c r="BE807" s="1" t="s">
        <v>76</v>
      </c>
      <c r="BF807" s="1" t="s">
        <v>76</v>
      </c>
      <c r="BG807" s="1" t="s">
        <v>76</v>
      </c>
      <c r="BH807" s="1" t="s">
        <v>76</v>
      </c>
      <c r="BI807" s="1" t="s">
        <v>76</v>
      </c>
      <c r="BJ807" s="1" t="s">
        <v>76</v>
      </c>
      <c r="BK807" s="1" t="s">
        <v>76</v>
      </c>
      <c r="BL807" s="1" t="s">
        <v>76</v>
      </c>
      <c r="BM807" s="1" t="s">
        <v>76</v>
      </c>
      <c r="BN807" s="1" t="s">
        <v>76</v>
      </c>
      <c r="BO807" s="1" t="s">
        <v>76</v>
      </c>
      <c r="BP807" s="1" t="s">
        <v>76</v>
      </c>
      <c r="BQ807" s="1" t="s">
        <v>76</v>
      </c>
      <c r="BR807" s="1" t="s">
        <v>76</v>
      </c>
      <c r="BS807" s="1" t="s">
        <v>76</v>
      </c>
      <c r="BT807" s="1" t="s">
        <v>76</v>
      </c>
      <c r="BU807" s="1" t="s">
        <v>76</v>
      </c>
      <c r="BV807" s="1" t="s">
        <v>76</v>
      </c>
      <c r="BW807" s="1" t="s">
        <v>76</v>
      </c>
      <c r="BX807" s="1" t="s">
        <v>76</v>
      </c>
      <c r="BY807" s="1" t="s">
        <v>76</v>
      </c>
      <c r="BZ807" s="1" t="s">
        <v>76</v>
      </c>
      <c r="CA807" s="1" t="s">
        <v>76</v>
      </c>
      <c r="CB807" s="1" t="s">
        <v>76</v>
      </c>
      <c r="CC807" s="1" t="s">
        <v>76</v>
      </c>
      <c r="CD807" s="1" t="s">
        <v>76</v>
      </c>
      <c r="CE807" s="1" t="s">
        <v>76</v>
      </c>
      <c r="CF807" s="1" t="s">
        <v>76</v>
      </c>
      <c r="CG807" s="1" t="s">
        <v>76</v>
      </c>
      <c r="CH807" s="1" t="s">
        <v>76</v>
      </c>
      <c r="CI807" s="1" t="s">
        <v>76</v>
      </c>
      <c r="CJ807" s="1" t="s">
        <v>76</v>
      </c>
      <c r="CK807" s="1" t="s">
        <v>76</v>
      </c>
      <c r="CL807" s="1" t="s">
        <v>76</v>
      </c>
      <c r="CM807" s="1" t="s">
        <v>76</v>
      </c>
      <c r="CN807" s="83" t="s">
        <v>76</v>
      </c>
    </row>
    <row r="808" spans="1:92" s="3" customFormat="1" x14ac:dyDescent="0.25">
      <c r="A808" s="72">
        <v>849</v>
      </c>
      <c r="B808" s="81" t="s">
        <v>776</v>
      </c>
      <c r="C808" s="1" t="s">
        <v>83</v>
      </c>
      <c r="D808" s="1" t="s">
        <v>73</v>
      </c>
      <c r="E808" s="1" t="s">
        <v>99</v>
      </c>
      <c r="F808" s="1" t="s">
        <v>128</v>
      </c>
      <c r="G808" s="1" t="s">
        <v>422</v>
      </c>
      <c r="H808" s="1" t="s">
        <v>570</v>
      </c>
      <c r="I808" s="1"/>
      <c r="J808" s="9" t="s">
        <v>544</v>
      </c>
      <c r="K808" s="10">
        <v>0.381141333333334</v>
      </c>
      <c r="L808" s="1" t="s">
        <v>641</v>
      </c>
      <c r="M808" s="1" t="s">
        <v>76</v>
      </c>
      <c r="N808" s="1" t="s">
        <v>649</v>
      </c>
      <c r="O808" s="1" t="s">
        <v>55</v>
      </c>
      <c r="P808" s="82">
        <v>0.879</v>
      </c>
      <c r="Q808" s="1" t="s">
        <v>76</v>
      </c>
      <c r="R808" s="81" t="s">
        <v>77</v>
      </c>
      <c r="S808" s="1">
        <v>3</v>
      </c>
      <c r="T808" s="1" t="s">
        <v>78</v>
      </c>
      <c r="U808" s="1" t="s">
        <v>658</v>
      </c>
      <c r="V808" s="1" t="s">
        <v>655</v>
      </c>
      <c r="W808" s="1">
        <v>11</v>
      </c>
      <c r="X808" s="1" t="s">
        <v>423</v>
      </c>
      <c r="Y808" s="1" t="s">
        <v>645</v>
      </c>
      <c r="Z808" s="1">
        <v>0</v>
      </c>
      <c r="AA808" s="1">
        <v>1E-3</v>
      </c>
      <c r="AB808" s="1">
        <v>1E-3</v>
      </c>
      <c r="AC808" s="1">
        <v>4.0000000000000001E-3</v>
      </c>
      <c r="AD808" s="1">
        <v>7.0000000000000001E-3</v>
      </c>
      <c r="AE808" s="1">
        <v>2E-3</v>
      </c>
      <c r="AF808" s="1">
        <v>1E-3</v>
      </c>
      <c r="AG808" s="1">
        <v>0</v>
      </c>
      <c r="AH808" s="1">
        <v>4.0000000000000001E-3</v>
      </c>
      <c r="AI808" s="1">
        <v>1E-3</v>
      </c>
      <c r="AJ808" s="1">
        <v>2E-3</v>
      </c>
      <c r="AK808" s="1">
        <v>2E-3</v>
      </c>
      <c r="AL808" s="1">
        <v>1E-3</v>
      </c>
      <c r="AM808" s="1">
        <v>0</v>
      </c>
      <c r="AN808" s="1">
        <v>2E-3</v>
      </c>
      <c r="AO808" s="1">
        <v>1E-3</v>
      </c>
      <c r="AP808" s="1">
        <v>1E-3</v>
      </c>
      <c r="AQ808" s="1">
        <v>1E-3</v>
      </c>
      <c r="AR808" s="1">
        <v>1E-3</v>
      </c>
      <c r="AS808" s="1">
        <v>3.0000000000000001E-3</v>
      </c>
      <c r="AT808" s="1">
        <v>2E-3</v>
      </c>
      <c r="AU808" s="1">
        <v>1E-3</v>
      </c>
      <c r="AV808" s="1">
        <v>1E-3</v>
      </c>
      <c r="AW808" s="1">
        <v>1E-3</v>
      </c>
      <c r="AX808" s="1">
        <v>1.9E-2</v>
      </c>
      <c r="AY808" s="1">
        <v>1E-3</v>
      </c>
      <c r="AZ808" s="1">
        <v>2E-3</v>
      </c>
      <c r="BA808" s="1">
        <v>3.0000000000000001E-3</v>
      </c>
      <c r="BB808" s="1">
        <v>2E-3</v>
      </c>
      <c r="BC808" s="1">
        <v>1E-3</v>
      </c>
      <c r="BD808" s="1">
        <v>4.0000000000000001E-3</v>
      </c>
      <c r="BE808" s="1">
        <v>1E-3</v>
      </c>
      <c r="BF808" s="1">
        <v>1E-3</v>
      </c>
      <c r="BG808" s="1">
        <v>1E-3</v>
      </c>
      <c r="BH808" s="1">
        <v>1E-3</v>
      </c>
      <c r="BI808" s="1">
        <v>0</v>
      </c>
      <c r="BJ808" s="1">
        <v>0</v>
      </c>
      <c r="BK808" s="1">
        <v>0</v>
      </c>
      <c r="BL808" s="1">
        <v>2E-3</v>
      </c>
      <c r="BM808" s="1">
        <v>1E-3</v>
      </c>
      <c r="BN808" s="1">
        <v>1E-3</v>
      </c>
      <c r="BO808" s="1">
        <v>1E-3</v>
      </c>
      <c r="BP808" s="1">
        <v>0</v>
      </c>
      <c r="BQ808" s="1">
        <v>2E-3</v>
      </c>
      <c r="BR808" s="1">
        <v>1E-3</v>
      </c>
      <c r="BS808" s="1">
        <v>1E-3</v>
      </c>
      <c r="BT808" s="1">
        <v>0</v>
      </c>
      <c r="BU808" s="1">
        <v>1E-3</v>
      </c>
      <c r="BV808" s="1">
        <v>1E-3</v>
      </c>
      <c r="BW808" s="1">
        <v>1E-3</v>
      </c>
      <c r="BX808" s="1">
        <v>0.879</v>
      </c>
      <c r="BY808" s="1">
        <v>3.0000000000000001E-3</v>
      </c>
      <c r="BZ808" s="1">
        <v>2E-3</v>
      </c>
      <c r="CA808" s="1">
        <v>1E-3</v>
      </c>
      <c r="CB808" s="1">
        <v>0</v>
      </c>
      <c r="CC808" s="1">
        <v>1E-3</v>
      </c>
      <c r="CD808" s="1">
        <v>0</v>
      </c>
      <c r="CE808" s="1">
        <v>1E-3</v>
      </c>
      <c r="CF808" s="1">
        <v>1E-3</v>
      </c>
      <c r="CG808" s="1">
        <v>1E-3</v>
      </c>
      <c r="CH808" s="1">
        <v>2E-3</v>
      </c>
      <c r="CI808" s="1">
        <v>2E-3</v>
      </c>
      <c r="CJ808" s="1">
        <v>2E-3</v>
      </c>
      <c r="CK808" s="1">
        <v>1.7999999999999999E-2</v>
      </c>
      <c r="CL808" s="1">
        <v>2E-3</v>
      </c>
      <c r="CM808" s="1">
        <v>24.026574570000001</v>
      </c>
      <c r="CN808" s="83">
        <v>7.1971486149999997</v>
      </c>
    </row>
    <row r="809" spans="1:92" s="3" customFormat="1" x14ac:dyDescent="0.25">
      <c r="A809" s="72">
        <v>850</v>
      </c>
      <c r="B809" s="81" t="s">
        <v>775</v>
      </c>
      <c r="C809" s="1" t="s">
        <v>83</v>
      </c>
      <c r="D809" s="1" t="s">
        <v>73</v>
      </c>
      <c r="E809" s="1" t="s">
        <v>74</v>
      </c>
      <c r="F809" s="1" t="s">
        <v>128</v>
      </c>
      <c r="G809" s="1" t="s">
        <v>303</v>
      </c>
      <c r="H809" s="1" t="s">
        <v>570</v>
      </c>
      <c r="I809" s="1"/>
      <c r="J809" s="9" t="s">
        <v>544</v>
      </c>
      <c r="K809" s="10">
        <v>0.43478800000000101</v>
      </c>
      <c r="L809" s="1" t="s">
        <v>76</v>
      </c>
      <c r="M809" s="1" t="s">
        <v>506</v>
      </c>
      <c r="N809" s="1" t="s">
        <v>645</v>
      </c>
      <c r="O809" s="1" t="s">
        <v>55</v>
      </c>
      <c r="P809" s="82">
        <v>0.97099999999999997</v>
      </c>
      <c r="Q809" s="1" t="s">
        <v>76</v>
      </c>
      <c r="R809" s="81" t="s">
        <v>427</v>
      </c>
      <c r="S809" s="1">
        <v>3</v>
      </c>
      <c r="T809" s="1" t="s">
        <v>78</v>
      </c>
      <c r="U809" s="1" t="s">
        <v>658</v>
      </c>
      <c r="V809" s="1" t="s">
        <v>655</v>
      </c>
      <c r="W809" s="1">
        <v>12</v>
      </c>
      <c r="X809" s="1" t="s">
        <v>170</v>
      </c>
      <c r="Y809" s="1" t="s">
        <v>645</v>
      </c>
      <c r="Z809" s="1">
        <v>0</v>
      </c>
      <c r="AA809" s="1">
        <v>0</v>
      </c>
      <c r="AB809" s="1">
        <v>0</v>
      </c>
      <c r="AC809" s="1">
        <v>1E-3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1E-3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1E-3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1E-3</v>
      </c>
      <c r="BB809" s="1">
        <v>1E-3</v>
      </c>
      <c r="BC809" s="1">
        <v>0</v>
      </c>
      <c r="BD809" s="1">
        <v>1E-3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0.01</v>
      </c>
      <c r="BW809" s="1">
        <v>0</v>
      </c>
      <c r="BX809" s="1">
        <v>0.97099999999999997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4.0000000000000001E-3</v>
      </c>
      <c r="CL809" s="1">
        <v>0</v>
      </c>
      <c r="CM809" s="1">
        <v>20.49171462</v>
      </c>
      <c r="CN809" s="83">
        <v>23.377404030000001</v>
      </c>
    </row>
    <row r="810" spans="1:92" s="3" customFormat="1" ht="15" customHeight="1" x14ac:dyDescent="0.25">
      <c r="A810" s="72">
        <v>851</v>
      </c>
      <c r="B810" s="81" t="s">
        <v>877</v>
      </c>
      <c r="C810" s="1" t="s">
        <v>83</v>
      </c>
      <c r="D810" s="1" t="s">
        <v>73</v>
      </c>
      <c r="E810" s="1" t="s">
        <v>74</v>
      </c>
      <c r="F810" s="1" t="s">
        <v>128</v>
      </c>
      <c r="G810" s="1" t="s">
        <v>303</v>
      </c>
      <c r="H810" s="1" t="s">
        <v>570</v>
      </c>
      <c r="I810" s="1"/>
      <c r="J810" s="9" t="s">
        <v>544</v>
      </c>
      <c r="K810" s="10">
        <v>0.49372100000000102</v>
      </c>
      <c r="L810" s="1" t="s">
        <v>641</v>
      </c>
      <c r="M810" s="1" t="s">
        <v>76</v>
      </c>
      <c r="N810" s="1" t="s">
        <v>649</v>
      </c>
      <c r="O810" s="1" t="s">
        <v>55</v>
      </c>
      <c r="P810" s="82">
        <v>0.47399999999999998</v>
      </c>
      <c r="Q810" s="1" t="s">
        <v>76</v>
      </c>
      <c r="R810" s="81" t="s">
        <v>87</v>
      </c>
      <c r="S810" s="1">
        <v>3</v>
      </c>
      <c r="T810" s="1" t="s">
        <v>78</v>
      </c>
      <c r="U810" s="1" t="s">
        <v>658</v>
      </c>
      <c r="V810" s="1" t="s">
        <v>655</v>
      </c>
      <c r="W810" s="1">
        <v>54</v>
      </c>
      <c r="X810" s="1" t="s">
        <v>167</v>
      </c>
      <c r="Y810" s="1" t="s">
        <v>649</v>
      </c>
      <c r="Z810" s="1">
        <v>3.0000000000000001E-3</v>
      </c>
      <c r="AA810" s="1">
        <v>5.0000000000000001E-3</v>
      </c>
      <c r="AB810" s="1">
        <v>2E-3</v>
      </c>
      <c r="AC810" s="1">
        <v>6.0000000000000001E-3</v>
      </c>
      <c r="AD810" s="1">
        <v>3.0000000000000001E-3</v>
      </c>
      <c r="AE810" s="1">
        <v>5.0000000000000001E-3</v>
      </c>
      <c r="AF810" s="1">
        <v>3.0000000000000001E-3</v>
      </c>
      <c r="AG810" s="1">
        <v>0</v>
      </c>
      <c r="AH810" s="1">
        <v>8.0000000000000002E-3</v>
      </c>
      <c r="AI810" s="1">
        <v>1E-3</v>
      </c>
      <c r="AJ810" s="1">
        <v>1.4999999999999999E-2</v>
      </c>
      <c r="AK810" s="1">
        <v>7.0000000000000001E-3</v>
      </c>
      <c r="AL810" s="1">
        <v>5.0000000000000001E-3</v>
      </c>
      <c r="AM810" s="1">
        <v>7.0000000000000001E-3</v>
      </c>
      <c r="AN810" s="1">
        <v>1.0999999999999999E-2</v>
      </c>
      <c r="AO810" s="1">
        <v>2E-3</v>
      </c>
      <c r="AP810" s="1">
        <v>2E-3</v>
      </c>
      <c r="AQ810" s="1">
        <v>1E-3</v>
      </c>
      <c r="AR810" s="1">
        <v>7.0000000000000001E-3</v>
      </c>
      <c r="AS810" s="1">
        <v>5.0000000000000001E-3</v>
      </c>
      <c r="AT810" s="1">
        <v>3.0000000000000001E-3</v>
      </c>
      <c r="AU810" s="1">
        <v>6.0000000000000001E-3</v>
      </c>
      <c r="AV810" s="1">
        <v>2E-3</v>
      </c>
      <c r="AW810" s="1">
        <v>5.0000000000000001E-3</v>
      </c>
      <c r="AX810" s="1">
        <v>7.0000000000000001E-3</v>
      </c>
      <c r="AY810" s="1">
        <v>4.0000000000000001E-3</v>
      </c>
      <c r="AZ810" s="1">
        <v>5.0000000000000001E-3</v>
      </c>
      <c r="BA810" s="1">
        <v>7.0000000000000001E-3</v>
      </c>
      <c r="BB810" s="1">
        <v>1.4999999999999999E-2</v>
      </c>
      <c r="BC810" s="1">
        <v>2E-3</v>
      </c>
      <c r="BD810" s="1">
        <v>8.9999999999999993E-3</v>
      </c>
      <c r="BE810" s="1">
        <v>1E-3</v>
      </c>
      <c r="BF810" s="1">
        <v>1E-3</v>
      </c>
      <c r="BG810" s="1">
        <v>1E-3</v>
      </c>
      <c r="BH810" s="1">
        <v>2E-3</v>
      </c>
      <c r="BI810" s="1">
        <v>1E-3</v>
      </c>
      <c r="BJ810" s="1">
        <v>1E-3</v>
      </c>
      <c r="BK810" s="1">
        <v>1E-3</v>
      </c>
      <c r="BL810" s="1">
        <v>0.01</v>
      </c>
      <c r="BM810" s="1">
        <v>2E-3</v>
      </c>
      <c r="BN810" s="1">
        <v>2E-3</v>
      </c>
      <c r="BO810" s="1">
        <v>8.0000000000000002E-3</v>
      </c>
      <c r="BP810" s="1">
        <v>1E-3</v>
      </c>
      <c r="BQ810" s="1">
        <v>8.0000000000000002E-3</v>
      </c>
      <c r="BR810" s="1">
        <v>2E-3</v>
      </c>
      <c r="BS810" s="1">
        <v>7.0000000000000001E-3</v>
      </c>
      <c r="BT810" s="1">
        <v>1E-3</v>
      </c>
      <c r="BU810" s="1">
        <v>2E-3</v>
      </c>
      <c r="BV810" s="1">
        <v>5.0000000000000001E-3</v>
      </c>
      <c r="BW810" s="1">
        <v>3.0000000000000001E-3</v>
      </c>
      <c r="BX810" s="1">
        <v>0.47399999999999998</v>
      </c>
      <c r="BY810" s="1">
        <v>5.0000000000000001E-3</v>
      </c>
      <c r="BZ810" s="1">
        <v>8.0000000000000002E-3</v>
      </c>
      <c r="CA810" s="1">
        <v>3.0000000000000001E-3</v>
      </c>
      <c r="CB810" s="1">
        <v>1E-3</v>
      </c>
      <c r="CC810" s="1">
        <v>2E-3</v>
      </c>
      <c r="CD810" s="1">
        <v>0</v>
      </c>
      <c r="CE810" s="1">
        <v>2E-3</v>
      </c>
      <c r="CF810" s="1">
        <v>2E-3</v>
      </c>
      <c r="CG810" s="1">
        <v>5.0000000000000001E-3</v>
      </c>
      <c r="CH810" s="1">
        <v>4.0000000000000001E-3</v>
      </c>
      <c r="CI810" s="1">
        <v>3.0000000000000001E-3</v>
      </c>
      <c r="CJ810" s="1">
        <v>4.0000000000000001E-3</v>
      </c>
      <c r="CK810" s="1">
        <v>0.251</v>
      </c>
      <c r="CL810" s="1">
        <v>0.01</v>
      </c>
      <c r="CM810" s="1">
        <v>17.76443386</v>
      </c>
      <c r="CN810" s="83">
        <v>31.856809309999999</v>
      </c>
    </row>
    <row r="811" spans="1:92" s="3" customFormat="1" x14ac:dyDescent="0.25">
      <c r="A811" s="72">
        <v>1009</v>
      </c>
      <c r="B811" s="81" t="s">
        <v>1373</v>
      </c>
      <c r="C811" s="1" t="s">
        <v>72</v>
      </c>
      <c r="D811" s="1" t="s">
        <v>79</v>
      </c>
      <c r="E811" s="1" t="s">
        <v>74</v>
      </c>
      <c r="F811" s="1" t="s">
        <v>108</v>
      </c>
      <c r="G811" s="1" t="s">
        <v>80</v>
      </c>
      <c r="H811" s="1" t="s">
        <v>10</v>
      </c>
      <c r="I811" s="1"/>
      <c r="J811" s="9" t="s">
        <v>544</v>
      </c>
      <c r="K811" s="10">
        <v>0.37312299999999998</v>
      </c>
      <c r="L811" s="1" t="s">
        <v>621</v>
      </c>
      <c r="M811" s="1" t="s">
        <v>506</v>
      </c>
      <c r="N811" s="1" t="s">
        <v>647</v>
      </c>
      <c r="O811" s="1" t="s">
        <v>52</v>
      </c>
      <c r="P811" s="82">
        <v>0.97499999999999998</v>
      </c>
      <c r="Q811" s="1" t="s">
        <v>76</v>
      </c>
      <c r="R811" s="81" t="s">
        <v>87</v>
      </c>
      <c r="S811" s="1" t="s">
        <v>76</v>
      </c>
      <c r="T811" s="1" t="s">
        <v>78</v>
      </c>
      <c r="U811" s="1" t="s">
        <v>658</v>
      </c>
      <c r="V811" s="1" t="s">
        <v>655</v>
      </c>
      <c r="W811" s="1">
        <v>13</v>
      </c>
      <c r="X811" s="1" t="s">
        <v>1724</v>
      </c>
      <c r="Y811" s="1" t="s">
        <v>647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1E-3</v>
      </c>
      <c r="AI811" s="1">
        <v>0</v>
      </c>
      <c r="AJ811" s="1">
        <v>4.0000000000000001E-3</v>
      </c>
      <c r="AK811" s="1">
        <v>0</v>
      </c>
      <c r="AL811" s="1">
        <v>0</v>
      </c>
      <c r="AM811" s="1">
        <v>0</v>
      </c>
      <c r="AN811" s="1">
        <v>5.0000000000000001E-3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1E-3</v>
      </c>
      <c r="BA811" s="1">
        <v>1E-3</v>
      </c>
      <c r="BB811" s="1">
        <v>0</v>
      </c>
      <c r="BC811" s="1">
        <v>0</v>
      </c>
      <c r="BD811" s="1">
        <v>1E-3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0.97499999999999998</v>
      </c>
      <c r="BV811" s="1">
        <v>0</v>
      </c>
      <c r="BW811" s="1">
        <v>0</v>
      </c>
      <c r="BX811" s="1">
        <v>1E-3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2E-3</v>
      </c>
      <c r="CL811" s="1">
        <v>0</v>
      </c>
      <c r="CM811" s="1">
        <v>12.408433629999999</v>
      </c>
      <c r="CN811" s="83">
        <v>118.1949923</v>
      </c>
    </row>
    <row r="812" spans="1:92" s="3" customFormat="1" x14ac:dyDescent="0.25">
      <c r="A812" s="72">
        <v>853</v>
      </c>
      <c r="B812" s="81" t="s">
        <v>1103</v>
      </c>
      <c r="C812" s="1" t="s">
        <v>83</v>
      </c>
      <c r="D812" s="1" t="s">
        <v>73</v>
      </c>
      <c r="E812" s="1" t="s">
        <v>99</v>
      </c>
      <c r="F812" s="1" t="s">
        <v>128</v>
      </c>
      <c r="G812" s="1" t="s">
        <v>303</v>
      </c>
      <c r="H812" s="1" t="s">
        <v>570</v>
      </c>
      <c r="I812" s="1"/>
      <c r="J812" s="9" t="s">
        <v>544</v>
      </c>
      <c r="K812" s="10">
        <v>0.57918433333333297</v>
      </c>
      <c r="L812" s="1" t="s">
        <v>641</v>
      </c>
      <c r="M812" s="1" t="s">
        <v>76</v>
      </c>
      <c r="N812" s="1" t="s">
        <v>644</v>
      </c>
      <c r="O812" s="1" t="s">
        <v>29</v>
      </c>
      <c r="P812" s="82">
        <v>0.67800000000000005</v>
      </c>
      <c r="Q812" s="1" t="s">
        <v>76</v>
      </c>
      <c r="R812" s="81" t="s">
        <v>427</v>
      </c>
      <c r="S812" s="1">
        <v>3</v>
      </c>
      <c r="T812" s="1" t="s">
        <v>120</v>
      </c>
      <c r="U812" s="1" t="s">
        <v>659</v>
      </c>
      <c r="V812" s="1" t="s">
        <v>655</v>
      </c>
      <c r="W812" s="1">
        <v>18</v>
      </c>
      <c r="X812" s="1" t="s">
        <v>437</v>
      </c>
      <c r="Y812" s="1" t="s">
        <v>644</v>
      </c>
      <c r="Z812" s="1">
        <v>0</v>
      </c>
      <c r="AA812" s="1">
        <v>3.0000000000000001E-3</v>
      </c>
      <c r="AB812" s="1">
        <v>2E-3</v>
      </c>
      <c r="AC812" s="1">
        <v>5.0000000000000001E-3</v>
      </c>
      <c r="AD812" s="1">
        <v>1E-3</v>
      </c>
      <c r="AE812" s="1">
        <v>1E-3</v>
      </c>
      <c r="AF812" s="1">
        <v>2E-3</v>
      </c>
      <c r="AG812" s="1">
        <v>0</v>
      </c>
      <c r="AH812" s="1">
        <v>5.0000000000000001E-3</v>
      </c>
      <c r="AI812" s="1">
        <v>1E-3</v>
      </c>
      <c r="AJ812" s="1">
        <v>1E-3</v>
      </c>
      <c r="AK812" s="1">
        <v>4.0000000000000001E-3</v>
      </c>
      <c r="AL812" s="1">
        <v>1.4E-2</v>
      </c>
      <c r="AM812" s="1">
        <v>0</v>
      </c>
      <c r="AN812" s="1">
        <v>1E-3</v>
      </c>
      <c r="AO812" s="1">
        <v>4.0000000000000001E-3</v>
      </c>
      <c r="AP812" s="1">
        <v>2E-3</v>
      </c>
      <c r="AQ812" s="1">
        <v>1E-3</v>
      </c>
      <c r="AR812" s="1">
        <v>1E-3</v>
      </c>
      <c r="AS812" s="1">
        <v>7.0000000000000001E-3</v>
      </c>
      <c r="AT812" s="1">
        <v>5.0000000000000001E-3</v>
      </c>
      <c r="AU812" s="1">
        <v>2E-3</v>
      </c>
      <c r="AV812" s="1">
        <v>1E-3</v>
      </c>
      <c r="AW812" s="1">
        <v>3.0000000000000001E-3</v>
      </c>
      <c r="AX812" s="1">
        <v>0.67800000000000005</v>
      </c>
      <c r="AY812" s="1">
        <v>3.0000000000000001E-3</v>
      </c>
      <c r="AZ812" s="1">
        <v>2E-3</v>
      </c>
      <c r="BA812" s="1">
        <v>5.0000000000000001E-3</v>
      </c>
      <c r="BB812" s="1">
        <v>2E-3</v>
      </c>
      <c r="BC812" s="1">
        <v>2.3E-2</v>
      </c>
      <c r="BD812" s="1">
        <v>6.0000000000000001E-3</v>
      </c>
      <c r="BE812" s="1">
        <v>1E-3</v>
      </c>
      <c r="BF812" s="1">
        <v>1E-3</v>
      </c>
      <c r="BG812" s="1">
        <v>4.0000000000000001E-3</v>
      </c>
      <c r="BH812" s="1">
        <v>2E-3</v>
      </c>
      <c r="BI812" s="1">
        <v>1E-3</v>
      </c>
      <c r="BJ812" s="1">
        <v>1E-3</v>
      </c>
      <c r="BK812" s="1">
        <v>1E-3</v>
      </c>
      <c r="BL812" s="1">
        <v>8.9999999999999993E-3</v>
      </c>
      <c r="BM812" s="1">
        <v>3.0000000000000001E-3</v>
      </c>
      <c r="BN812" s="1">
        <v>3.0000000000000001E-3</v>
      </c>
      <c r="BO812" s="1">
        <v>1E-3</v>
      </c>
      <c r="BP812" s="1">
        <v>0</v>
      </c>
      <c r="BQ812" s="1">
        <v>5.0000000000000001E-3</v>
      </c>
      <c r="BR812" s="1">
        <v>2E-3</v>
      </c>
      <c r="BS812" s="1">
        <v>1E-3</v>
      </c>
      <c r="BT812" s="1">
        <v>1E-3</v>
      </c>
      <c r="BU812" s="1">
        <v>1E-3</v>
      </c>
      <c r="BV812" s="1">
        <v>2E-3</v>
      </c>
      <c r="BW812" s="1">
        <v>2E-3</v>
      </c>
      <c r="BX812" s="1">
        <v>1.9E-2</v>
      </c>
      <c r="BY812" s="1">
        <v>7.0000000000000001E-3</v>
      </c>
      <c r="BZ812" s="1">
        <v>5.0000000000000001E-3</v>
      </c>
      <c r="CA812" s="1">
        <v>2E-3</v>
      </c>
      <c r="CB812" s="1">
        <v>0</v>
      </c>
      <c r="CC812" s="1">
        <v>2E-3</v>
      </c>
      <c r="CD812" s="1">
        <v>0</v>
      </c>
      <c r="CE812" s="1">
        <v>2E-3</v>
      </c>
      <c r="CF812" s="1">
        <v>1E-3</v>
      </c>
      <c r="CG812" s="1">
        <v>2E-3</v>
      </c>
      <c r="CH812" s="1">
        <v>4.0000000000000001E-3</v>
      </c>
      <c r="CI812" s="1">
        <v>4.0000000000000001E-3</v>
      </c>
      <c r="CJ812" s="1">
        <v>5.0000000000000001E-3</v>
      </c>
      <c r="CK812" s="1">
        <v>0.12</v>
      </c>
      <c r="CL812" s="1">
        <v>2E-3</v>
      </c>
      <c r="CM812" s="1">
        <v>59.107739510000002</v>
      </c>
      <c r="CN812" s="83">
        <v>1.8109751599999999</v>
      </c>
    </row>
    <row r="813" spans="1:92" s="3" customFormat="1" x14ac:dyDescent="0.25">
      <c r="A813" s="72">
        <v>854</v>
      </c>
      <c r="B813" s="81" t="s">
        <v>1106</v>
      </c>
      <c r="C813" s="1" t="s">
        <v>83</v>
      </c>
      <c r="D813" s="1" t="s">
        <v>73</v>
      </c>
      <c r="E813" s="1" t="s">
        <v>74</v>
      </c>
      <c r="F813" s="1" t="s">
        <v>128</v>
      </c>
      <c r="G813" s="1" t="s">
        <v>250</v>
      </c>
      <c r="H813" s="1" t="s">
        <v>570</v>
      </c>
      <c r="I813" s="1"/>
      <c r="J813" s="9" t="s">
        <v>544</v>
      </c>
      <c r="K813" s="10">
        <v>0.59435266666666697</v>
      </c>
      <c r="L813" s="1" t="s">
        <v>516</v>
      </c>
      <c r="M813" s="1" t="s">
        <v>76</v>
      </c>
      <c r="N813" s="1" t="s">
        <v>644</v>
      </c>
      <c r="O813" s="1" t="s">
        <v>68</v>
      </c>
      <c r="P813" s="82">
        <v>0.88900000000000001</v>
      </c>
      <c r="Q813" s="1" t="s">
        <v>76</v>
      </c>
      <c r="R813" s="81" t="s">
        <v>427</v>
      </c>
      <c r="S813" s="1">
        <v>3</v>
      </c>
      <c r="T813" s="1" t="s">
        <v>78</v>
      </c>
      <c r="U813" s="1" t="s">
        <v>658</v>
      </c>
      <c r="V813" s="1" t="s">
        <v>655</v>
      </c>
      <c r="W813" s="1">
        <v>61</v>
      </c>
      <c r="X813" s="1" t="s">
        <v>167</v>
      </c>
      <c r="Y813" s="1" t="s">
        <v>648</v>
      </c>
      <c r="Z813" s="1">
        <v>1E-3</v>
      </c>
      <c r="AA813" s="1">
        <v>3.0000000000000001E-3</v>
      </c>
      <c r="AB813" s="1">
        <v>0</v>
      </c>
      <c r="AC813" s="1">
        <v>1E-3</v>
      </c>
      <c r="AD813" s="1">
        <v>1E-3</v>
      </c>
      <c r="AE813" s="1">
        <v>0</v>
      </c>
      <c r="AF813" s="1">
        <v>1E-3</v>
      </c>
      <c r="AG813" s="1">
        <v>0</v>
      </c>
      <c r="AH813" s="1">
        <v>1E-3</v>
      </c>
      <c r="AI813" s="1">
        <v>0</v>
      </c>
      <c r="AJ813" s="1">
        <v>0</v>
      </c>
      <c r="AK813" s="1">
        <v>1E-3</v>
      </c>
      <c r="AL813" s="1">
        <v>1E-3</v>
      </c>
      <c r="AM813" s="1">
        <v>0</v>
      </c>
      <c r="AN813" s="1">
        <v>0</v>
      </c>
      <c r="AO813" s="1">
        <v>1E-3</v>
      </c>
      <c r="AP813" s="1">
        <v>0</v>
      </c>
      <c r="AQ813" s="1">
        <v>0</v>
      </c>
      <c r="AR813" s="1">
        <v>1E-3</v>
      </c>
      <c r="AS813" s="1">
        <v>1E-3</v>
      </c>
      <c r="AT813" s="1">
        <v>1E-3</v>
      </c>
      <c r="AU813" s="1">
        <v>1E-3</v>
      </c>
      <c r="AV813" s="1">
        <v>1E-3</v>
      </c>
      <c r="AW813" s="1">
        <v>1E-3</v>
      </c>
      <c r="AX813" s="1">
        <v>5.2999999999999999E-2</v>
      </c>
      <c r="AY813" s="1">
        <v>1E-3</v>
      </c>
      <c r="AZ813" s="1">
        <v>1E-3</v>
      </c>
      <c r="BA813" s="1">
        <v>1E-3</v>
      </c>
      <c r="BB813" s="1">
        <v>0</v>
      </c>
      <c r="BC813" s="1">
        <v>0</v>
      </c>
      <c r="BD813" s="1">
        <v>2E-3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6.0000000000000001E-3</v>
      </c>
      <c r="BM813" s="1">
        <v>1E-3</v>
      </c>
      <c r="BN813" s="1">
        <v>1E-3</v>
      </c>
      <c r="BO813" s="1">
        <v>0</v>
      </c>
      <c r="BP813" s="1">
        <v>0</v>
      </c>
      <c r="BQ813" s="1">
        <v>4.0000000000000001E-3</v>
      </c>
      <c r="BR813" s="1">
        <v>1E-3</v>
      </c>
      <c r="BS813" s="1">
        <v>2E-3</v>
      </c>
      <c r="BT813" s="1">
        <v>0</v>
      </c>
      <c r="BU813" s="1">
        <v>0</v>
      </c>
      <c r="BV813" s="1">
        <v>0</v>
      </c>
      <c r="BW813" s="1">
        <v>1E-3</v>
      </c>
      <c r="BX813" s="1">
        <v>3.0000000000000001E-3</v>
      </c>
      <c r="BY813" s="1">
        <v>1E-3</v>
      </c>
      <c r="BZ813" s="1">
        <v>2E-3</v>
      </c>
      <c r="CA813" s="1">
        <v>1E-3</v>
      </c>
      <c r="CB813" s="1">
        <v>0</v>
      </c>
      <c r="CC813" s="1">
        <v>1E-3</v>
      </c>
      <c r="CD813" s="1">
        <v>0</v>
      </c>
      <c r="CE813" s="1">
        <v>0</v>
      </c>
      <c r="CF813" s="1">
        <v>1E-3</v>
      </c>
      <c r="CG813" s="1">
        <v>1E-3</v>
      </c>
      <c r="CH813" s="1">
        <v>1E-3</v>
      </c>
      <c r="CI813" s="1">
        <v>1E-3</v>
      </c>
      <c r="CJ813" s="1">
        <v>1E-3</v>
      </c>
      <c r="CK813" s="1">
        <v>0.88900000000000001</v>
      </c>
      <c r="CL813" s="1">
        <v>2E-3</v>
      </c>
      <c r="CM813" s="1">
        <v>22.303884929999999</v>
      </c>
      <c r="CN813" s="83">
        <v>-18.658985139999999</v>
      </c>
    </row>
    <row r="814" spans="1:92" s="3" customFormat="1" x14ac:dyDescent="0.25">
      <c r="A814" s="72">
        <v>855</v>
      </c>
      <c r="B814" s="81" t="s">
        <v>787</v>
      </c>
      <c r="C814" s="1" t="s">
        <v>83</v>
      </c>
      <c r="D814" s="1" t="s">
        <v>73</v>
      </c>
      <c r="E814" s="1" t="s">
        <v>99</v>
      </c>
      <c r="F814" s="1" t="s">
        <v>128</v>
      </c>
      <c r="G814" s="1" t="s">
        <v>182</v>
      </c>
      <c r="H814" s="1" t="s">
        <v>570</v>
      </c>
      <c r="I814" s="1"/>
      <c r="J814" s="9" t="s">
        <v>544</v>
      </c>
      <c r="K814" s="10">
        <v>0.33598050000000002</v>
      </c>
      <c r="L814" s="1" t="s">
        <v>641</v>
      </c>
      <c r="M814" s="1" t="s">
        <v>76</v>
      </c>
      <c r="N814" s="1" t="s">
        <v>649</v>
      </c>
      <c r="O814" s="1" t="s">
        <v>55</v>
      </c>
      <c r="P814" s="82">
        <v>0.45</v>
      </c>
      <c r="Q814" s="1" t="s">
        <v>76</v>
      </c>
      <c r="R814" s="81" t="s">
        <v>114</v>
      </c>
      <c r="S814" s="1">
        <v>3</v>
      </c>
      <c r="T814" s="1" t="s">
        <v>78</v>
      </c>
      <c r="U814" s="1" t="s">
        <v>658</v>
      </c>
      <c r="V814" s="1" t="s">
        <v>655</v>
      </c>
      <c r="W814" s="1">
        <v>16</v>
      </c>
      <c r="X814" s="1" t="s">
        <v>423</v>
      </c>
      <c r="Y814" s="1" t="s">
        <v>649</v>
      </c>
      <c r="Z814" s="1">
        <v>1E-3</v>
      </c>
      <c r="AA814" s="1">
        <v>2E-3</v>
      </c>
      <c r="AB814" s="1">
        <v>2E-3</v>
      </c>
      <c r="AC814" s="1">
        <v>4.0000000000000001E-3</v>
      </c>
      <c r="AD814" s="1">
        <v>2E-3</v>
      </c>
      <c r="AE814" s="1">
        <v>6.0000000000000001E-3</v>
      </c>
      <c r="AF814" s="1">
        <v>2E-3</v>
      </c>
      <c r="AG814" s="1">
        <v>0</v>
      </c>
      <c r="AH814" s="1">
        <v>7.0000000000000001E-3</v>
      </c>
      <c r="AI814" s="1">
        <v>0</v>
      </c>
      <c r="AJ814" s="1">
        <v>0.3</v>
      </c>
      <c r="AK814" s="1">
        <v>2E-3</v>
      </c>
      <c r="AL814" s="1">
        <v>0</v>
      </c>
      <c r="AM814" s="1">
        <v>1E-3</v>
      </c>
      <c r="AN814" s="1">
        <v>0.01</v>
      </c>
      <c r="AO814" s="1">
        <v>1E-3</v>
      </c>
      <c r="AP814" s="1">
        <v>1E-3</v>
      </c>
      <c r="AQ814" s="1">
        <v>1E-3</v>
      </c>
      <c r="AR814" s="1">
        <v>3.0000000000000001E-3</v>
      </c>
      <c r="AS814" s="1">
        <v>4.0000000000000001E-3</v>
      </c>
      <c r="AT814" s="1">
        <v>2E-3</v>
      </c>
      <c r="AU814" s="1">
        <v>2E-3</v>
      </c>
      <c r="AV814" s="1">
        <v>1E-3</v>
      </c>
      <c r="AW814" s="1">
        <v>1E-3</v>
      </c>
      <c r="AX814" s="1">
        <v>2E-3</v>
      </c>
      <c r="AY814" s="1">
        <v>2E-3</v>
      </c>
      <c r="AZ814" s="1">
        <v>4.0000000000000001E-3</v>
      </c>
      <c r="BA814" s="1">
        <v>5.0000000000000001E-3</v>
      </c>
      <c r="BB814" s="1">
        <v>2.4E-2</v>
      </c>
      <c r="BC814" s="1">
        <v>1E-3</v>
      </c>
      <c r="BD814" s="1">
        <v>7.0000000000000001E-3</v>
      </c>
      <c r="BE814" s="1">
        <v>1E-3</v>
      </c>
      <c r="BF814" s="1">
        <v>0</v>
      </c>
      <c r="BG814" s="1">
        <v>1E-3</v>
      </c>
      <c r="BH814" s="1">
        <v>1E-3</v>
      </c>
      <c r="BI814" s="1">
        <v>1E-3</v>
      </c>
      <c r="BJ814" s="1">
        <v>1E-3</v>
      </c>
      <c r="BK814" s="1">
        <v>1E-3</v>
      </c>
      <c r="BL814" s="1">
        <v>2E-3</v>
      </c>
      <c r="BM814" s="1">
        <v>1E-3</v>
      </c>
      <c r="BN814" s="1">
        <v>1E-3</v>
      </c>
      <c r="BO814" s="1">
        <v>2.1999999999999999E-2</v>
      </c>
      <c r="BP814" s="1">
        <v>1E-3</v>
      </c>
      <c r="BQ814" s="1">
        <v>2E-3</v>
      </c>
      <c r="BR814" s="1">
        <v>1E-3</v>
      </c>
      <c r="BS814" s="1">
        <v>4.0000000000000001E-3</v>
      </c>
      <c r="BT814" s="1">
        <v>1E-3</v>
      </c>
      <c r="BU814" s="1">
        <v>6.0000000000000001E-3</v>
      </c>
      <c r="BV814" s="1">
        <v>1.6E-2</v>
      </c>
      <c r="BW814" s="1">
        <v>2E-3</v>
      </c>
      <c r="BX814" s="1">
        <v>0.45</v>
      </c>
      <c r="BY814" s="1">
        <v>3.0000000000000001E-3</v>
      </c>
      <c r="BZ814" s="1">
        <v>3.0000000000000001E-3</v>
      </c>
      <c r="CA814" s="1">
        <v>1E-3</v>
      </c>
      <c r="CB814" s="1">
        <v>1E-3</v>
      </c>
      <c r="CC814" s="1">
        <v>1E-3</v>
      </c>
      <c r="CD814" s="1">
        <v>0</v>
      </c>
      <c r="CE814" s="1">
        <v>1E-3</v>
      </c>
      <c r="CF814" s="1">
        <v>1E-3</v>
      </c>
      <c r="CG814" s="1">
        <v>2E-3</v>
      </c>
      <c r="CH814" s="1">
        <v>3.0000000000000001E-3</v>
      </c>
      <c r="CI814" s="1">
        <v>2E-3</v>
      </c>
      <c r="CJ814" s="1">
        <v>2E-3</v>
      </c>
      <c r="CK814" s="1">
        <v>6.0999999999999999E-2</v>
      </c>
      <c r="CL814" s="1">
        <v>2E-3</v>
      </c>
      <c r="CM814" s="1">
        <v>-0.845330213</v>
      </c>
      <c r="CN814" s="83">
        <v>10.84117837</v>
      </c>
    </row>
    <row r="815" spans="1:92" s="3" customFormat="1" hidden="1" x14ac:dyDescent="0.25">
      <c r="A815" s="72">
        <v>856</v>
      </c>
      <c r="B815" s="81" t="s">
        <v>1647</v>
      </c>
      <c r="C815" s="1" t="s">
        <v>83</v>
      </c>
      <c r="D815" s="1" t="s">
        <v>73</v>
      </c>
      <c r="E815" s="1" t="s">
        <v>99</v>
      </c>
      <c r="F815" s="1" t="s">
        <v>426</v>
      </c>
      <c r="G815" s="1" t="s">
        <v>76</v>
      </c>
      <c r="H815" s="1" t="s">
        <v>537</v>
      </c>
      <c r="I815" s="1"/>
      <c r="J815" s="9" t="s">
        <v>544</v>
      </c>
      <c r="K815" s="10">
        <v>0.28441300000000003</v>
      </c>
      <c r="L815" s="1" t="s">
        <v>641</v>
      </c>
      <c r="M815" s="1" t="s">
        <v>76</v>
      </c>
      <c r="N815" s="1" t="s">
        <v>644</v>
      </c>
      <c r="O815" s="1" t="s">
        <v>19</v>
      </c>
      <c r="P815" s="82">
        <v>0.78</v>
      </c>
      <c r="Q815" s="1" t="s">
        <v>76</v>
      </c>
      <c r="R815" s="81" t="s">
        <v>87</v>
      </c>
      <c r="S815" s="1" t="s">
        <v>76</v>
      </c>
      <c r="T815" s="1" t="s">
        <v>76</v>
      </c>
      <c r="U815" s="1" t="s">
        <v>76</v>
      </c>
      <c r="V815" s="1" t="s">
        <v>655</v>
      </c>
      <c r="W815" s="1">
        <v>34</v>
      </c>
      <c r="X815" s="1" t="s">
        <v>76</v>
      </c>
      <c r="Y815" s="1" t="s">
        <v>644</v>
      </c>
      <c r="Z815" s="1">
        <v>3.2000000000000001E-2</v>
      </c>
      <c r="AA815" s="1">
        <v>1E-3</v>
      </c>
      <c r="AB815" s="1">
        <v>1E-3</v>
      </c>
      <c r="AC815" s="1">
        <v>8.0000000000000002E-3</v>
      </c>
      <c r="AD815" s="1">
        <v>2E-3</v>
      </c>
      <c r="AE815" s="1">
        <v>2E-3</v>
      </c>
      <c r="AF815" s="1">
        <v>1E-3</v>
      </c>
      <c r="AG815" s="1">
        <v>0</v>
      </c>
      <c r="AH815" s="1">
        <v>1.2999999999999999E-2</v>
      </c>
      <c r="AI815" s="1">
        <v>2E-3</v>
      </c>
      <c r="AJ815" s="1">
        <v>8.9999999999999993E-3</v>
      </c>
      <c r="AK815" s="1">
        <v>2E-3</v>
      </c>
      <c r="AL815" s="1">
        <v>0</v>
      </c>
      <c r="AM815" s="1">
        <v>1E-3</v>
      </c>
      <c r="AN815" s="1">
        <v>0.78</v>
      </c>
      <c r="AO815" s="1">
        <v>1E-3</v>
      </c>
      <c r="AP815" s="1">
        <v>1E-3</v>
      </c>
      <c r="AQ815" s="1">
        <v>1E-3</v>
      </c>
      <c r="AR815" s="1">
        <v>1E-3</v>
      </c>
      <c r="AS815" s="1">
        <v>2E-3</v>
      </c>
      <c r="AT815" s="1">
        <v>1E-3</v>
      </c>
      <c r="AU815" s="1">
        <v>1E-3</v>
      </c>
      <c r="AV815" s="1">
        <v>2E-3</v>
      </c>
      <c r="AW815" s="1">
        <v>1E-3</v>
      </c>
      <c r="AX815" s="1">
        <v>1E-3</v>
      </c>
      <c r="AY815" s="1">
        <v>2E-3</v>
      </c>
      <c r="AZ815" s="1">
        <v>3.0000000000000001E-3</v>
      </c>
      <c r="BA815" s="1">
        <v>4.0000000000000001E-3</v>
      </c>
      <c r="BB815" s="1">
        <v>1E-3</v>
      </c>
      <c r="BC815" s="1">
        <v>1E-3</v>
      </c>
      <c r="BD815" s="1">
        <v>7.0000000000000001E-3</v>
      </c>
      <c r="BE815" s="1">
        <v>1E-3</v>
      </c>
      <c r="BF815" s="1">
        <v>5.6000000000000001E-2</v>
      </c>
      <c r="BG815" s="1">
        <v>0</v>
      </c>
      <c r="BH815" s="1">
        <v>2E-3</v>
      </c>
      <c r="BI815" s="1">
        <v>0</v>
      </c>
      <c r="BJ815" s="1">
        <v>1E-3</v>
      </c>
      <c r="BK815" s="1">
        <v>0</v>
      </c>
      <c r="BL815" s="1">
        <v>1E-3</v>
      </c>
      <c r="BM815" s="1">
        <v>1E-3</v>
      </c>
      <c r="BN815" s="1">
        <v>1E-3</v>
      </c>
      <c r="BO815" s="1">
        <v>1E-3</v>
      </c>
      <c r="BP815" s="1">
        <v>0</v>
      </c>
      <c r="BQ815" s="1">
        <v>1E-3</v>
      </c>
      <c r="BR815" s="1">
        <v>1E-3</v>
      </c>
      <c r="BS815" s="1">
        <v>1E-3</v>
      </c>
      <c r="BT815" s="1">
        <v>1E-3</v>
      </c>
      <c r="BU815" s="1">
        <v>1.7999999999999999E-2</v>
      </c>
      <c r="BV815" s="1">
        <v>1E-3</v>
      </c>
      <c r="BW815" s="1">
        <v>1E-3</v>
      </c>
      <c r="BX815" s="1">
        <v>7.0000000000000001E-3</v>
      </c>
      <c r="BY815" s="1">
        <v>2E-3</v>
      </c>
      <c r="BZ815" s="1">
        <v>2E-3</v>
      </c>
      <c r="CA815" s="1">
        <v>1E-3</v>
      </c>
      <c r="CB815" s="1">
        <v>0</v>
      </c>
      <c r="CC815" s="1">
        <v>1E-3</v>
      </c>
      <c r="CD815" s="1">
        <v>0</v>
      </c>
      <c r="CE815" s="1">
        <v>1E-3</v>
      </c>
      <c r="CF815" s="1">
        <v>1E-3</v>
      </c>
      <c r="CG815" s="1">
        <v>2E-3</v>
      </c>
      <c r="CH815" s="1">
        <v>1E-3</v>
      </c>
      <c r="CI815" s="1">
        <v>1E-3</v>
      </c>
      <c r="CJ815" s="1">
        <v>2E-3</v>
      </c>
      <c r="CK815" s="1">
        <v>6.0000000000000001E-3</v>
      </c>
      <c r="CL815" s="1">
        <v>4.0000000000000001E-3</v>
      </c>
      <c r="CM815" s="1">
        <v>-21.963902879999999</v>
      </c>
      <c r="CN815" s="83">
        <v>-36.912610739999998</v>
      </c>
    </row>
    <row r="816" spans="1:92" s="3" customFormat="1" x14ac:dyDescent="0.25">
      <c r="A816" s="72">
        <v>360</v>
      </c>
      <c r="B816" s="81" t="s">
        <v>1073</v>
      </c>
      <c r="C816" s="1" t="s">
        <v>83</v>
      </c>
      <c r="D816" s="1" t="s">
        <v>79</v>
      </c>
      <c r="E816" s="1" t="s">
        <v>99</v>
      </c>
      <c r="F816" s="1" t="s">
        <v>84</v>
      </c>
      <c r="G816" s="1" t="s">
        <v>503</v>
      </c>
      <c r="H816" s="1" t="s">
        <v>85</v>
      </c>
      <c r="I816" s="1"/>
      <c r="J816" s="9" t="s">
        <v>544</v>
      </c>
      <c r="K816" s="10">
        <v>0.58842716666666695</v>
      </c>
      <c r="L816" s="1" t="s">
        <v>611</v>
      </c>
      <c r="M816" s="1" t="s">
        <v>506</v>
      </c>
      <c r="N816" s="1" t="s">
        <v>647</v>
      </c>
      <c r="O816" s="1" t="s">
        <v>55</v>
      </c>
      <c r="P816" s="82">
        <v>0.96199999999999997</v>
      </c>
      <c r="Q816" s="1" t="s">
        <v>76</v>
      </c>
      <c r="R816" s="81" t="s">
        <v>87</v>
      </c>
      <c r="S816" s="1" t="s">
        <v>123</v>
      </c>
      <c r="T816" s="1" t="s">
        <v>78</v>
      </c>
      <c r="U816" s="1" t="s">
        <v>659</v>
      </c>
      <c r="V816" s="1" t="s">
        <v>655</v>
      </c>
      <c r="W816" s="1">
        <v>51</v>
      </c>
      <c r="X816" s="1" t="s">
        <v>291</v>
      </c>
      <c r="Y816" s="1" t="s">
        <v>647</v>
      </c>
      <c r="Z816" s="1">
        <v>0</v>
      </c>
      <c r="AA816" s="1">
        <v>0</v>
      </c>
      <c r="AB816" s="1">
        <v>0</v>
      </c>
      <c r="AC816" s="1">
        <v>1E-3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1E-3</v>
      </c>
      <c r="AL816" s="1">
        <v>2.1999999999999999E-2</v>
      </c>
      <c r="AM816" s="1">
        <v>1E-3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2E-3</v>
      </c>
      <c r="BM816" s="1">
        <v>0</v>
      </c>
      <c r="BN816" s="1">
        <v>0</v>
      </c>
      <c r="BO816" s="1">
        <v>0</v>
      </c>
      <c r="BP816" s="1">
        <v>0</v>
      </c>
      <c r="BQ816" s="1">
        <v>1E-3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0.96199999999999997</v>
      </c>
      <c r="BY816" s="1">
        <v>0</v>
      </c>
      <c r="BZ816" s="1">
        <v>1E-3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1E-3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18.58709636</v>
      </c>
      <c r="CN816" s="83">
        <v>43.830728139999998</v>
      </c>
    </row>
    <row r="817" spans="1:92" s="3" customFormat="1" x14ac:dyDescent="0.25">
      <c r="A817" s="72">
        <v>858</v>
      </c>
      <c r="B817" s="81" t="s">
        <v>812</v>
      </c>
      <c r="C817" s="1" t="s">
        <v>83</v>
      </c>
      <c r="D817" s="1" t="s">
        <v>73</v>
      </c>
      <c r="E817" s="1" t="s">
        <v>74</v>
      </c>
      <c r="F817" s="1" t="s">
        <v>211</v>
      </c>
      <c r="G817" s="1" t="s">
        <v>76</v>
      </c>
      <c r="H817" s="1" t="s">
        <v>212</v>
      </c>
      <c r="I817" s="1"/>
      <c r="J817" s="9" t="s">
        <v>544</v>
      </c>
      <c r="K817" s="10">
        <v>0.47120716666666701</v>
      </c>
      <c r="L817" s="1" t="s">
        <v>641</v>
      </c>
      <c r="M817" s="1" t="s">
        <v>76</v>
      </c>
      <c r="N817" s="1" t="s">
        <v>649</v>
      </c>
      <c r="O817" s="1" t="s">
        <v>68</v>
      </c>
      <c r="P817" s="82">
        <v>0.26200000000000001</v>
      </c>
      <c r="Q817" s="1" t="s">
        <v>76</v>
      </c>
      <c r="R817" s="81" t="s">
        <v>171</v>
      </c>
      <c r="S817" s="1">
        <v>3</v>
      </c>
      <c r="T817" s="1" t="s">
        <v>120</v>
      </c>
      <c r="U817" s="1" t="s">
        <v>658</v>
      </c>
      <c r="V817" s="1" t="s">
        <v>655</v>
      </c>
      <c r="W817" s="1">
        <v>81</v>
      </c>
      <c r="X817" s="1" t="s">
        <v>391</v>
      </c>
      <c r="Y817" s="1" t="s">
        <v>649</v>
      </c>
      <c r="Z817" s="1">
        <v>3.0000000000000001E-3</v>
      </c>
      <c r="AA817" s="1">
        <v>6.0000000000000001E-3</v>
      </c>
      <c r="AB817" s="1">
        <v>0.01</v>
      </c>
      <c r="AC817" s="1">
        <v>3.5999999999999997E-2</v>
      </c>
      <c r="AD817" s="1">
        <v>0.01</v>
      </c>
      <c r="AE817" s="1">
        <v>8.0000000000000002E-3</v>
      </c>
      <c r="AF817" s="1">
        <v>0.01</v>
      </c>
      <c r="AG817" s="1">
        <v>1E-3</v>
      </c>
      <c r="AH817" s="1">
        <v>2.1000000000000001E-2</v>
      </c>
      <c r="AI817" s="1">
        <v>2E-3</v>
      </c>
      <c r="AJ817" s="1">
        <v>3.0000000000000001E-3</v>
      </c>
      <c r="AK817" s="1">
        <v>2.3E-2</v>
      </c>
      <c r="AL817" s="1">
        <v>1E-3</v>
      </c>
      <c r="AM817" s="1">
        <v>3.0000000000000001E-3</v>
      </c>
      <c r="AN817" s="1">
        <v>4.0000000000000001E-3</v>
      </c>
      <c r="AO817" s="1">
        <v>6.0000000000000001E-3</v>
      </c>
      <c r="AP817" s="1">
        <v>4.0000000000000001E-3</v>
      </c>
      <c r="AQ817" s="1">
        <v>3.0000000000000001E-3</v>
      </c>
      <c r="AR817" s="1">
        <v>4.0000000000000001E-3</v>
      </c>
      <c r="AS817" s="1">
        <v>0.05</v>
      </c>
      <c r="AT817" s="1">
        <v>1.4999999999999999E-2</v>
      </c>
      <c r="AU817" s="1">
        <v>7.0000000000000001E-3</v>
      </c>
      <c r="AV817" s="1">
        <v>4.0000000000000001E-3</v>
      </c>
      <c r="AW817" s="1">
        <v>0.01</v>
      </c>
      <c r="AX817" s="1">
        <v>7.0000000000000001E-3</v>
      </c>
      <c r="AY817" s="1">
        <v>0.01</v>
      </c>
      <c r="AZ817" s="1">
        <v>2.3E-2</v>
      </c>
      <c r="BA817" s="1">
        <v>2.3E-2</v>
      </c>
      <c r="BB817" s="1">
        <v>5.0000000000000001E-3</v>
      </c>
      <c r="BC817" s="1">
        <v>3.0000000000000001E-3</v>
      </c>
      <c r="BD817" s="1">
        <v>3.4000000000000002E-2</v>
      </c>
      <c r="BE817" s="1">
        <v>0.01</v>
      </c>
      <c r="BF817" s="1">
        <v>3.0000000000000001E-3</v>
      </c>
      <c r="BG817" s="1">
        <v>4.0000000000000001E-3</v>
      </c>
      <c r="BH817" s="1">
        <v>4.0000000000000001E-3</v>
      </c>
      <c r="BI817" s="1">
        <v>6.0000000000000001E-3</v>
      </c>
      <c r="BJ817" s="1">
        <v>3.0000000000000001E-3</v>
      </c>
      <c r="BK817" s="1">
        <v>3.0000000000000001E-3</v>
      </c>
      <c r="BL817" s="1">
        <v>1.2999999999999999E-2</v>
      </c>
      <c r="BM817" s="1">
        <v>5.0000000000000001E-3</v>
      </c>
      <c r="BN817" s="1">
        <v>0.03</v>
      </c>
      <c r="BO817" s="1">
        <v>3.0000000000000001E-3</v>
      </c>
      <c r="BP817" s="1">
        <v>4.0000000000000001E-3</v>
      </c>
      <c r="BQ817" s="1">
        <v>1.6E-2</v>
      </c>
      <c r="BR817" s="1">
        <v>5.0000000000000001E-3</v>
      </c>
      <c r="BS817" s="1">
        <v>4.0000000000000001E-3</v>
      </c>
      <c r="BT817" s="1">
        <v>4.0000000000000001E-3</v>
      </c>
      <c r="BU817" s="1">
        <v>7.0000000000000001E-3</v>
      </c>
      <c r="BV817" s="1">
        <v>3.0000000000000001E-3</v>
      </c>
      <c r="BW817" s="1">
        <v>8.0000000000000002E-3</v>
      </c>
      <c r="BX817" s="1">
        <v>1.4999999999999999E-2</v>
      </c>
      <c r="BY817" s="1">
        <v>1.4E-2</v>
      </c>
      <c r="BZ817" s="1">
        <v>1.6E-2</v>
      </c>
      <c r="CA817" s="1">
        <v>5.0000000000000001E-3</v>
      </c>
      <c r="CB817" s="1">
        <v>0.01</v>
      </c>
      <c r="CC817" s="1">
        <v>1.2E-2</v>
      </c>
      <c r="CD817" s="1">
        <v>1E-3</v>
      </c>
      <c r="CE817" s="1">
        <v>5.0000000000000001E-3</v>
      </c>
      <c r="CF817" s="1">
        <v>7.0000000000000001E-3</v>
      </c>
      <c r="CG817" s="1">
        <v>1.2999999999999999E-2</v>
      </c>
      <c r="CH817" s="1">
        <v>2.9000000000000001E-2</v>
      </c>
      <c r="CI817" s="1">
        <v>1.2999999999999999E-2</v>
      </c>
      <c r="CJ817" s="1">
        <v>2.7E-2</v>
      </c>
      <c r="CK817" s="1">
        <v>0.26200000000000001</v>
      </c>
      <c r="CL817" s="1">
        <v>8.2000000000000003E-2</v>
      </c>
      <c r="CM817" s="1">
        <v>49.973823490000001</v>
      </c>
      <c r="CN817" s="83">
        <v>-71.939295000000001</v>
      </c>
    </row>
    <row r="818" spans="1:92" s="3" customFormat="1" x14ac:dyDescent="0.25">
      <c r="A818" s="72">
        <v>859</v>
      </c>
      <c r="B818" s="81" t="s">
        <v>1459</v>
      </c>
      <c r="C818" s="1" t="s">
        <v>83</v>
      </c>
      <c r="D818" s="1" t="s">
        <v>73</v>
      </c>
      <c r="E818" s="1" t="s">
        <v>99</v>
      </c>
      <c r="F818" s="1" t="s">
        <v>211</v>
      </c>
      <c r="G818" s="1" t="s">
        <v>76</v>
      </c>
      <c r="H818" s="1" t="s">
        <v>212</v>
      </c>
      <c r="I818" s="1"/>
      <c r="J818" s="9" t="s">
        <v>544</v>
      </c>
      <c r="K818" s="10">
        <v>0.31536649999999999</v>
      </c>
      <c r="L818" s="1" t="s">
        <v>641</v>
      </c>
      <c r="M818" s="1" t="s">
        <v>76</v>
      </c>
      <c r="N818" s="1" t="s">
        <v>644</v>
      </c>
      <c r="O818" s="1" t="s">
        <v>5</v>
      </c>
      <c r="P818" s="82">
        <v>0.61399999999999999</v>
      </c>
      <c r="Q818" s="1" t="s">
        <v>76</v>
      </c>
      <c r="R818" s="81" t="s">
        <v>169</v>
      </c>
      <c r="S818" s="1">
        <v>2</v>
      </c>
      <c r="T818" s="1" t="s">
        <v>120</v>
      </c>
      <c r="U818" s="1" t="s">
        <v>658</v>
      </c>
      <c r="V818" s="1" t="s">
        <v>655</v>
      </c>
      <c r="W818" s="1">
        <v>62</v>
      </c>
      <c r="X818" s="1" t="s">
        <v>391</v>
      </c>
      <c r="Y818" s="1" t="s">
        <v>644</v>
      </c>
      <c r="Z818" s="1">
        <v>0.61399999999999999</v>
      </c>
      <c r="AA818" s="1">
        <v>0</v>
      </c>
      <c r="AB818" s="1">
        <v>0</v>
      </c>
      <c r="AC818" s="1">
        <v>1.4999999999999999E-2</v>
      </c>
      <c r="AD818" s="1">
        <v>1E-3</v>
      </c>
      <c r="AE818" s="1">
        <v>1E-3</v>
      </c>
      <c r="AF818" s="1">
        <v>0</v>
      </c>
      <c r="AG818" s="1">
        <v>0</v>
      </c>
      <c r="AH818" s="1">
        <v>0.01</v>
      </c>
      <c r="AI818" s="1">
        <v>2E-3</v>
      </c>
      <c r="AJ818" s="1">
        <v>0</v>
      </c>
      <c r="AK818" s="1">
        <v>0</v>
      </c>
      <c r="AL818" s="1">
        <v>0</v>
      </c>
      <c r="AM818" s="1">
        <v>0</v>
      </c>
      <c r="AN818" s="1">
        <v>1.9E-2</v>
      </c>
      <c r="AO818" s="1">
        <v>0</v>
      </c>
      <c r="AP818" s="1">
        <v>0</v>
      </c>
      <c r="AQ818" s="1">
        <v>0</v>
      </c>
      <c r="AR818" s="1">
        <v>0</v>
      </c>
      <c r="AS818" s="1">
        <v>1E-3</v>
      </c>
      <c r="AT818" s="1">
        <v>0</v>
      </c>
      <c r="AU818" s="1">
        <v>0</v>
      </c>
      <c r="AV818" s="1">
        <v>1E-3</v>
      </c>
      <c r="AW818" s="1">
        <v>0</v>
      </c>
      <c r="AX818" s="1">
        <v>0</v>
      </c>
      <c r="AY818" s="1">
        <v>1E-3</v>
      </c>
      <c r="AZ818" s="1">
        <v>1E-3</v>
      </c>
      <c r="BA818" s="1">
        <v>1E-3</v>
      </c>
      <c r="BB818" s="1">
        <v>0</v>
      </c>
      <c r="BC818" s="1">
        <v>0</v>
      </c>
      <c r="BD818" s="1">
        <v>2E-3</v>
      </c>
      <c r="BE818" s="1">
        <v>0</v>
      </c>
      <c r="BF818" s="1">
        <v>0.25800000000000001</v>
      </c>
      <c r="BG818" s="1">
        <v>0</v>
      </c>
      <c r="BH818" s="1">
        <v>2E-3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1E-3</v>
      </c>
      <c r="BS818" s="1">
        <v>0</v>
      </c>
      <c r="BT818" s="1">
        <v>0</v>
      </c>
      <c r="BU818" s="1">
        <v>1E-3</v>
      </c>
      <c r="BV818" s="1">
        <v>0</v>
      </c>
      <c r="BW818" s="1">
        <v>0</v>
      </c>
      <c r="BX818" s="1">
        <v>4.0000000000000001E-3</v>
      </c>
      <c r="BY818" s="1">
        <v>1E-3</v>
      </c>
      <c r="BZ818" s="1">
        <v>1E-3</v>
      </c>
      <c r="CA818" s="1">
        <v>1E-3</v>
      </c>
      <c r="CB818" s="1">
        <v>0</v>
      </c>
      <c r="CC818" s="1">
        <v>0</v>
      </c>
      <c r="CD818" s="1">
        <v>0</v>
      </c>
      <c r="CE818" s="1">
        <v>0</v>
      </c>
      <c r="CF818" s="1">
        <v>1E-3</v>
      </c>
      <c r="CG818" s="1">
        <v>1E-3</v>
      </c>
      <c r="CH818" s="1">
        <v>0</v>
      </c>
      <c r="CI818" s="1">
        <v>0</v>
      </c>
      <c r="CJ818" s="1">
        <v>1E-3</v>
      </c>
      <c r="CK818" s="1">
        <v>4.2000000000000003E-2</v>
      </c>
      <c r="CL818" s="1">
        <v>7.0000000000000001E-3</v>
      </c>
      <c r="CM818" s="1">
        <v>-0.38475605699999998</v>
      </c>
      <c r="CN818" s="83">
        <v>-59.633881250000002</v>
      </c>
    </row>
    <row r="819" spans="1:92" s="3" customFormat="1" x14ac:dyDescent="0.25">
      <c r="A819" s="72">
        <v>860</v>
      </c>
      <c r="B819" s="81" t="s">
        <v>1014</v>
      </c>
      <c r="C819" s="1" t="s">
        <v>83</v>
      </c>
      <c r="D819" s="1" t="s">
        <v>73</v>
      </c>
      <c r="E819" s="1" t="s">
        <v>74</v>
      </c>
      <c r="F819" s="1" t="s">
        <v>211</v>
      </c>
      <c r="G819" s="1" t="s">
        <v>76</v>
      </c>
      <c r="H819" s="1" t="s">
        <v>212</v>
      </c>
      <c r="I819" s="1"/>
      <c r="J819" s="9" t="s">
        <v>544</v>
      </c>
      <c r="K819" s="10">
        <v>0.4705645</v>
      </c>
      <c r="L819" s="1" t="s">
        <v>641</v>
      </c>
      <c r="M819" s="1" t="s">
        <v>76</v>
      </c>
      <c r="N819" s="1" t="s">
        <v>649</v>
      </c>
      <c r="O819" s="1" t="s">
        <v>68</v>
      </c>
      <c r="P819" s="82">
        <v>0.78500000000000003</v>
      </c>
      <c r="Q819" s="1" t="s">
        <v>76</v>
      </c>
      <c r="R819" s="81" t="s">
        <v>191</v>
      </c>
      <c r="S819" s="1">
        <v>2</v>
      </c>
      <c r="T819" s="1" t="s">
        <v>120</v>
      </c>
      <c r="U819" s="1" t="s">
        <v>658</v>
      </c>
      <c r="V819" s="1" t="s">
        <v>655</v>
      </c>
      <c r="W819" s="1">
        <v>56</v>
      </c>
      <c r="X819" s="1" t="s">
        <v>391</v>
      </c>
      <c r="Y819" s="1" t="s">
        <v>649</v>
      </c>
      <c r="Z819" s="1">
        <v>1E-3</v>
      </c>
      <c r="AA819" s="1">
        <v>0</v>
      </c>
      <c r="AB819" s="1">
        <v>0</v>
      </c>
      <c r="AC819" s="1">
        <v>0</v>
      </c>
      <c r="AD819" s="1">
        <v>1E-3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1E-3</v>
      </c>
      <c r="AS819" s="1">
        <v>1E-3</v>
      </c>
      <c r="AT819" s="1">
        <v>0</v>
      </c>
      <c r="AU819" s="1">
        <v>1E-3</v>
      </c>
      <c r="AV819" s="1">
        <v>0</v>
      </c>
      <c r="AW819" s="1">
        <v>0</v>
      </c>
      <c r="AX819" s="1">
        <v>1E-3</v>
      </c>
      <c r="AY819" s="1">
        <v>0</v>
      </c>
      <c r="AZ819" s="1">
        <v>1E-3</v>
      </c>
      <c r="BA819" s="1">
        <v>1E-3</v>
      </c>
      <c r="BB819" s="1">
        <v>0</v>
      </c>
      <c r="BC819" s="1">
        <v>0</v>
      </c>
      <c r="BD819" s="1">
        <v>1E-3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1E-3</v>
      </c>
      <c r="BK819" s="1">
        <v>0</v>
      </c>
      <c r="BL819" s="1">
        <v>0</v>
      </c>
      <c r="BM819" s="1">
        <v>0</v>
      </c>
      <c r="BN819" s="1">
        <v>1E-3</v>
      </c>
      <c r="BO819" s="1">
        <v>0</v>
      </c>
      <c r="BP819" s="1">
        <v>2E-3</v>
      </c>
      <c r="BQ819" s="1">
        <v>0</v>
      </c>
      <c r="BR819" s="1">
        <v>0</v>
      </c>
      <c r="BS819" s="1">
        <v>0</v>
      </c>
      <c r="BT819" s="1">
        <v>0</v>
      </c>
      <c r="BU819" s="1">
        <v>2E-3</v>
      </c>
      <c r="BV819" s="1">
        <v>0</v>
      </c>
      <c r="BW819" s="1">
        <v>0</v>
      </c>
      <c r="BX819" s="1">
        <v>1E-3</v>
      </c>
      <c r="BY819" s="1">
        <v>0</v>
      </c>
      <c r="BZ819" s="1">
        <v>2E-3</v>
      </c>
      <c r="CA819" s="1">
        <v>0</v>
      </c>
      <c r="CB819" s="1">
        <v>2E-3</v>
      </c>
      <c r="CC819" s="1">
        <v>1E-3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0.78500000000000003</v>
      </c>
      <c r="CL819" s="1">
        <v>0.19</v>
      </c>
      <c r="CM819" s="1">
        <v>46.739171390000003</v>
      </c>
      <c r="CN819" s="83">
        <v>-75.917129020000004</v>
      </c>
    </row>
    <row r="820" spans="1:92" s="3" customFormat="1" x14ac:dyDescent="0.25">
      <c r="A820" s="72">
        <v>861</v>
      </c>
      <c r="B820" s="81" t="s">
        <v>1643</v>
      </c>
      <c r="C820" s="1" t="s">
        <v>83</v>
      </c>
      <c r="D820" s="1" t="s">
        <v>73</v>
      </c>
      <c r="E820" s="1" t="s">
        <v>99</v>
      </c>
      <c r="F820" s="1" t="s">
        <v>211</v>
      </c>
      <c r="G820" s="1" t="s">
        <v>76</v>
      </c>
      <c r="H820" s="1" t="s">
        <v>212</v>
      </c>
      <c r="I820" s="1"/>
      <c r="J820" s="9" t="s">
        <v>544</v>
      </c>
      <c r="K820" s="10">
        <v>0.34994249999999999</v>
      </c>
      <c r="L820" s="1" t="s">
        <v>76</v>
      </c>
      <c r="M820" s="1" t="s">
        <v>506</v>
      </c>
      <c r="N820" s="1" t="s">
        <v>645</v>
      </c>
      <c r="O820" s="1" t="s">
        <v>68</v>
      </c>
      <c r="P820" s="82">
        <v>0.91</v>
      </c>
      <c r="Q820" s="1" t="s">
        <v>76</v>
      </c>
      <c r="R820" s="81" t="s">
        <v>191</v>
      </c>
      <c r="S820" s="1">
        <v>3</v>
      </c>
      <c r="T820" s="1" t="s">
        <v>120</v>
      </c>
      <c r="U820" s="1" t="s">
        <v>658</v>
      </c>
      <c r="V820" s="1" t="s">
        <v>655</v>
      </c>
      <c r="W820" s="1">
        <v>67</v>
      </c>
      <c r="X820" s="1" t="s">
        <v>76</v>
      </c>
      <c r="Y820" s="1" t="s">
        <v>645</v>
      </c>
      <c r="Z820" s="1">
        <v>2E-3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0.91</v>
      </c>
      <c r="CL820" s="1">
        <v>8.5999999999999993E-2</v>
      </c>
      <c r="CM820" s="1">
        <v>-3.6666218709999998</v>
      </c>
      <c r="CN820" s="83">
        <v>-66.504295060000004</v>
      </c>
    </row>
    <row r="821" spans="1:92" s="3" customFormat="1" x14ac:dyDescent="0.25">
      <c r="A821" s="72">
        <v>862</v>
      </c>
      <c r="B821" s="81" t="s">
        <v>1642</v>
      </c>
      <c r="C821" s="1" t="s">
        <v>83</v>
      </c>
      <c r="D821" s="1" t="s">
        <v>73</v>
      </c>
      <c r="E821" s="1" t="s">
        <v>74</v>
      </c>
      <c r="F821" s="1" t="s">
        <v>211</v>
      </c>
      <c r="G821" s="1" t="s">
        <v>76</v>
      </c>
      <c r="H821" s="1" t="s">
        <v>212</v>
      </c>
      <c r="I821" s="1"/>
      <c r="J821" s="9" t="s">
        <v>544</v>
      </c>
      <c r="K821" s="10">
        <v>0.382963833333333</v>
      </c>
      <c r="L821" s="1" t="s">
        <v>76</v>
      </c>
      <c r="M821" s="1" t="s">
        <v>506</v>
      </c>
      <c r="N821" s="1" t="s">
        <v>645</v>
      </c>
      <c r="O821" s="1" t="s">
        <v>68</v>
      </c>
      <c r="P821" s="82">
        <v>0.98599999999999999</v>
      </c>
      <c r="Q821" s="1" t="s">
        <v>76</v>
      </c>
      <c r="R821" s="81" t="s">
        <v>171</v>
      </c>
      <c r="S821" s="1">
        <v>2</v>
      </c>
      <c r="T821" s="1" t="s">
        <v>120</v>
      </c>
      <c r="U821" s="1" t="s">
        <v>658</v>
      </c>
      <c r="V821" s="1" t="s">
        <v>655</v>
      </c>
      <c r="W821" s="1">
        <v>77</v>
      </c>
      <c r="X821" s="1" t="s">
        <v>443</v>
      </c>
      <c r="Y821" s="1" t="s">
        <v>645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0.98599999999999999</v>
      </c>
      <c r="CL821" s="1">
        <v>1.2999999999999999E-2</v>
      </c>
      <c r="CM821" s="1">
        <v>46.980458239999997</v>
      </c>
      <c r="CN821" s="83">
        <v>-65.630493819999998</v>
      </c>
    </row>
    <row r="822" spans="1:92" s="3" customFormat="1" x14ac:dyDescent="0.25">
      <c r="A822" s="72">
        <v>382</v>
      </c>
      <c r="B822" s="81" t="s">
        <v>1076</v>
      </c>
      <c r="C822" s="1" t="s">
        <v>83</v>
      </c>
      <c r="D822" s="1" t="s">
        <v>79</v>
      </c>
      <c r="E822" s="1" t="s">
        <v>99</v>
      </c>
      <c r="F822" s="1" t="s">
        <v>84</v>
      </c>
      <c r="G822" s="1" t="s">
        <v>503</v>
      </c>
      <c r="H822" s="1" t="s">
        <v>85</v>
      </c>
      <c r="I822" s="1"/>
      <c r="J822" s="9" t="s">
        <v>544</v>
      </c>
      <c r="K822" s="10">
        <v>0.54020516666666596</v>
      </c>
      <c r="L822" s="1" t="s">
        <v>611</v>
      </c>
      <c r="M822" s="1" t="s">
        <v>506</v>
      </c>
      <c r="N822" s="1" t="s">
        <v>647</v>
      </c>
      <c r="O822" s="1" t="s">
        <v>55</v>
      </c>
      <c r="P822" s="82">
        <v>0.98499999999999999</v>
      </c>
      <c r="Q822" s="1" t="s">
        <v>76</v>
      </c>
      <c r="R822" s="81" t="s">
        <v>87</v>
      </c>
      <c r="S822" s="1" t="s">
        <v>123</v>
      </c>
      <c r="T822" s="1" t="s">
        <v>78</v>
      </c>
      <c r="U822" s="1" t="s">
        <v>658</v>
      </c>
      <c r="V822" s="1" t="s">
        <v>655</v>
      </c>
      <c r="W822" s="1">
        <v>55</v>
      </c>
      <c r="X822" s="1" t="s">
        <v>286</v>
      </c>
      <c r="Y822" s="1" t="s">
        <v>647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1.2E-2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0.98499999999999999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21.989505749999999</v>
      </c>
      <c r="CN822" s="83">
        <v>45.698130059999997</v>
      </c>
    </row>
    <row r="823" spans="1:92" s="3" customFormat="1" x14ac:dyDescent="0.25">
      <c r="A823" s="72">
        <v>864</v>
      </c>
      <c r="B823" s="81" t="s">
        <v>1100</v>
      </c>
      <c r="C823" s="1" t="s">
        <v>83</v>
      </c>
      <c r="D823" s="1" t="s">
        <v>73</v>
      </c>
      <c r="E823" s="1" t="s">
        <v>74</v>
      </c>
      <c r="F823" s="1" t="s">
        <v>211</v>
      </c>
      <c r="G823" s="1" t="s">
        <v>76</v>
      </c>
      <c r="H823" s="1" t="s">
        <v>212</v>
      </c>
      <c r="I823" s="1"/>
      <c r="J823" s="9" t="s">
        <v>544</v>
      </c>
      <c r="K823" s="10">
        <v>0.52552683333333405</v>
      </c>
      <c r="L823" s="1" t="s">
        <v>641</v>
      </c>
      <c r="M823" s="1" t="s">
        <v>76</v>
      </c>
      <c r="N823" s="1" t="s">
        <v>649</v>
      </c>
      <c r="O823" s="1" t="s">
        <v>68</v>
      </c>
      <c r="P823" s="82">
        <v>0.83099999999999996</v>
      </c>
      <c r="Q823" s="1" t="s">
        <v>76</v>
      </c>
      <c r="R823" s="81" t="s">
        <v>129</v>
      </c>
      <c r="S823" s="1">
        <v>3</v>
      </c>
      <c r="T823" s="1" t="s">
        <v>120</v>
      </c>
      <c r="U823" s="1" t="s">
        <v>659</v>
      </c>
      <c r="V823" s="1" t="s">
        <v>655</v>
      </c>
      <c r="W823" s="1">
        <v>55</v>
      </c>
      <c r="X823" s="1" t="s">
        <v>76</v>
      </c>
      <c r="Y823" s="1" t="s">
        <v>649</v>
      </c>
      <c r="Z823" s="1">
        <v>1E-3</v>
      </c>
      <c r="AA823" s="1">
        <v>0.01</v>
      </c>
      <c r="AB823" s="1">
        <v>1E-3</v>
      </c>
      <c r="AC823" s="1">
        <v>3.0000000000000001E-3</v>
      </c>
      <c r="AD823" s="1">
        <v>1E-3</v>
      </c>
      <c r="AE823" s="1">
        <v>1E-3</v>
      </c>
      <c r="AF823" s="1">
        <v>1E-3</v>
      </c>
      <c r="AG823" s="1">
        <v>0</v>
      </c>
      <c r="AH823" s="1">
        <v>4.0000000000000001E-3</v>
      </c>
      <c r="AI823" s="1">
        <v>3.0000000000000001E-3</v>
      </c>
      <c r="AJ823" s="1">
        <v>0</v>
      </c>
      <c r="AK823" s="1">
        <v>1E-3</v>
      </c>
      <c r="AL823" s="1">
        <v>3.0000000000000001E-3</v>
      </c>
      <c r="AM823" s="1">
        <v>0</v>
      </c>
      <c r="AN823" s="1">
        <v>1E-3</v>
      </c>
      <c r="AO823" s="1">
        <v>1E-3</v>
      </c>
      <c r="AP823" s="1">
        <v>1E-3</v>
      </c>
      <c r="AQ823" s="1">
        <v>0</v>
      </c>
      <c r="AR823" s="1">
        <v>1E-3</v>
      </c>
      <c r="AS823" s="1">
        <v>1E-3</v>
      </c>
      <c r="AT823" s="1">
        <v>1E-3</v>
      </c>
      <c r="AU823" s="1">
        <v>2E-3</v>
      </c>
      <c r="AV823" s="1">
        <v>1E-3</v>
      </c>
      <c r="AW823" s="1">
        <v>1E-3</v>
      </c>
      <c r="AX823" s="1">
        <v>6.8000000000000005E-2</v>
      </c>
      <c r="AY823" s="1">
        <v>3.0000000000000001E-3</v>
      </c>
      <c r="AZ823" s="1">
        <v>1E-3</v>
      </c>
      <c r="BA823" s="1">
        <v>3.0000000000000001E-3</v>
      </c>
      <c r="BB823" s="1">
        <v>1E-3</v>
      </c>
      <c r="BC823" s="1">
        <v>1E-3</v>
      </c>
      <c r="BD823" s="1">
        <v>3.0000000000000001E-3</v>
      </c>
      <c r="BE823" s="1">
        <v>0</v>
      </c>
      <c r="BF823" s="1">
        <v>1E-3</v>
      </c>
      <c r="BG823" s="1">
        <v>1E-3</v>
      </c>
      <c r="BH823" s="1">
        <v>1E-3</v>
      </c>
      <c r="BI823" s="1">
        <v>0</v>
      </c>
      <c r="BJ823" s="1">
        <v>0</v>
      </c>
      <c r="BK823" s="1">
        <v>0</v>
      </c>
      <c r="BL823" s="1">
        <v>1.4E-2</v>
      </c>
      <c r="BM823" s="1">
        <v>1E-3</v>
      </c>
      <c r="BN823" s="1">
        <v>1E-3</v>
      </c>
      <c r="BO823" s="1">
        <v>0</v>
      </c>
      <c r="BP823" s="1">
        <v>0</v>
      </c>
      <c r="BQ823" s="1">
        <v>3.0000000000000001E-3</v>
      </c>
      <c r="BR823" s="1">
        <v>2E-3</v>
      </c>
      <c r="BS823" s="1">
        <v>1E-3</v>
      </c>
      <c r="BT823" s="1">
        <v>0</v>
      </c>
      <c r="BU823" s="1">
        <v>1E-3</v>
      </c>
      <c r="BV823" s="1">
        <v>0</v>
      </c>
      <c r="BW823" s="1">
        <v>1E-3</v>
      </c>
      <c r="BX823" s="1">
        <v>4.0000000000000001E-3</v>
      </c>
      <c r="BY823" s="1">
        <v>2E-3</v>
      </c>
      <c r="BZ823" s="1">
        <v>3.0000000000000001E-3</v>
      </c>
      <c r="CA823" s="1">
        <v>1E-3</v>
      </c>
      <c r="CB823" s="1">
        <v>0</v>
      </c>
      <c r="CC823" s="1">
        <v>1E-3</v>
      </c>
      <c r="CD823" s="1">
        <v>0</v>
      </c>
      <c r="CE823" s="1">
        <v>1E-3</v>
      </c>
      <c r="CF823" s="1">
        <v>1E-3</v>
      </c>
      <c r="CG823" s="1">
        <v>3.0000000000000001E-3</v>
      </c>
      <c r="CH823" s="1">
        <v>1E-3</v>
      </c>
      <c r="CI823" s="1">
        <v>1E-3</v>
      </c>
      <c r="CJ823" s="1">
        <v>2E-3</v>
      </c>
      <c r="CK823" s="1">
        <v>0.83099999999999996</v>
      </c>
      <c r="CL823" s="1">
        <v>2E-3</v>
      </c>
      <c r="CM823" s="1">
        <v>44.681992999999999</v>
      </c>
      <c r="CN823" s="83">
        <v>-28.94751488</v>
      </c>
    </row>
    <row r="824" spans="1:92" s="3" customFormat="1" x14ac:dyDescent="0.25">
      <c r="A824" s="72">
        <v>865</v>
      </c>
      <c r="B824" s="81" t="s">
        <v>930</v>
      </c>
      <c r="C824" s="1" t="s">
        <v>83</v>
      </c>
      <c r="D824" s="1" t="s">
        <v>73</v>
      </c>
      <c r="E824" s="1" t="s">
        <v>74</v>
      </c>
      <c r="F824" s="1" t="s">
        <v>128</v>
      </c>
      <c r="G824" s="1" t="s">
        <v>444</v>
      </c>
      <c r="H824" s="1" t="s">
        <v>570</v>
      </c>
      <c r="I824" s="1"/>
      <c r="J824" s="9" t="s">
        <v>544</v>
      </c>
      <c r="K824" s="10">
        <v>0.50815216666666696</v>
      </c>
      <c r="L824" s="1" t="s">
        <v>76</v>
      </c>
      <c r="M824" s="1" t="s">
        <v>506</v>
      </c>
      <c r="N824" s="1" t="s">
        <v>645</v>
      </c>
      <c r="O824" s="1" t="s">
        <v>55</v>
      </c>
      <c r="P824" s="82">
        <v>0.91800000000000004</v>
      </c>
      <c r="Q824" s="1" t="s">
        <v>76</v>
      </c>
      <c r="R824" s="81" t="s">
        <v>87</v>
      </c>
      <c r="S824" s="1">
        <v>3</v>
      </c>
      <c r="T824" s="1" t="s">
        <v>78</v>
      </c>
      <c r="U824" s="1" t="s">
        <v>658</v>
      </c>
      <c r="V824" s="1" t="s">
        <v>655</v>
      </c>
      <c r="W824" s="1">
        <v>12</v>
      </c>
      <c r="X824" s="1" t="s">
        <v>423</v>
      </c>
      <c r="Y824" s="1" t="s">
        <v>645</v>
      </c>
      <c r="Z824" s="1">
        <v>0</v>
      </c>
      <c r="AA824" s="1">
        <v>1E-3</v>
      </c>
      <c r="AB824" s="1">
        <v>0</v>
      </c>
      <c r="AC824" s="1">
        <v>2E-3</v>
      </c>
      <c r="AD824" s="1">
        <v>0</v>
      </c>
      <c r="AE824" s="1">
        <v>0</v>
      </c>
      <c r="AF824" s="1">
        <v>1E-3</v>
      </c>
      <c r="AG824" s="1">
        <v>0</v>
      </c>
      <c r="AH824" s="1">
        <v>1E-3</v>
      </c>
      <c r="AI824" s="1">
        <v>0</v>
      </c>
      <c r="AJ824" s="1">
        <v>0</v>
      </c>
      <c r="AK824" s="1">
        <v>1E-3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1E-3</v>
      </c>
      <c r="AT824" s="1">
        <v>1E-3</v>
      </c>
      <c r="AU824" s="1">
        <v>1E-3</v>
      </c>
      <c r="AV824" s="1">
        <v>0</v>
      </c>
      <c r="AW824" s="1">
        <v>1E-3</v>
      </c>
      <c r="AX824" s="1">
        <v>8.0000000000000002E-3</v>
      </c>
      <c r="AY824" s="1">
        <v>1E-3</v>
      </c>
      <c r="AZ824" s="1">
        <v>1E-3</v>
      </c>
      <c r="BA824" s="1">
        <v>2E-3</v>
      </c>
      <c r="BB824" s="1">
        <v>1E-3</v>
      </c>
      <c r="BC824" s="1">
        <v>0</v>
      </c>
      <c r="BD824" s="1">
        <v>2E-3</v>
      </c>
      <c r="BE824" s="1">
        <v>0</v>
      </c>
      <c r="BF824" s="1">
        <v>0</v>
      </c>
      <c r="BG824" s="1">
        <v>1E-3</v>
      </c>
      <c r="BH824" s="1">
        <v>0</v>
      </c>
      <c r="BI824" s="1">
        <v>0</v>
      </c>
      <c r="BJ824" s="1">
        <v>0</v>
      </c>
      <c r="BK824" s="1">
        <v>0</v>
      </c>
      <c r="BL824" s="1">
        <v>2E-3</v>
      </c>
      <c r="BM824" s="1">
        <v>0</v>
      </c>
      <c r="BN824" s="1">
        <v>1E-3</v>
      </c>
      <c r="BO824" s="1">
        <v>0</v>
      </c>
      <c r="BP824" s="1">
        <v>0</v>
      </c>
      <c r="BQ824" s="1">
        <v>1E-3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1E-3</v>
      </c>
      <c r="BX824" s="1">
        <v>0.91800000000000004</v>
      </c>
      <c r="BY824" s="1">
        <v>1E-3</v>
      </c>
      <c r="BZ824" s="1">
        <v>1E-3</v>
      </c>
      <c r="CA824" s="1">
        <v>1E-3</v>
      </c>
      <c r="CB824" s="1">
        <v>0</v>
      </c>
      <c r="CC824" s="1">
        <v>1E-3</v>
      </c>
      <c r="CD824" s="1">
        <v>0</v>
      </c>
      <c r="CE824" s="1">
        <v>1E-3</v>
      </c>
      <c r="CF824" s="1">
        <v>0</v>
      </c>
      <c r="CG824" s="1">
        <v>1E-3</v>
      </c>
      <c r="CH824" s="1">
        <v>1E-3</v>
      </c>
      <c r="CI824" s="1">
        <v>1E-3</v>
      </c>
      <c r="CJ824" s="1">
        <v>1E-3</v>
      </c>
      <c r="CK824" s="1">
        <v>3.5999999999999997E-2</v>
      </c>
      <c r="CL824" s="1">
        <v>1E-3</v>
      </c>
      <c r="CM824" s="1">
        <v>65.516366779999998</v>
      </c>
      <c r="CN824" s="83">
        <v>-0.55045817500000005</v>
      </c>
    </row>
    <row r="825" spans="1:92" s="3" customFormat="1" x14ac:dyDescent="0.25">
      <c r="A825" s="72">
        <v>866</v>
      </c>
      <c r="B825" s="81" t="s">
        <v>932</v>
      </c>
      <c r="C825" s="1" t="s">
        <v>83</v>
      </c>
      <c r="D825" s="1" t="s">
        <v>73</v>
      </c>
      <c r="E825" s="1" t="s">
        <v>99</v>
      </c>
      <c r="F825" s="1" t="s">
        <v>128</v>
      </c>
      <c r="G825" s="1" t="s">
        <v>303</v>
      </c>
      <c r="H825" s="1" t="s">
        <v>570</v>
      </c>
      <c r="I825" s="1"/>
      <c r="J825" s="9" t="s">
        <v>544</v>
      </c>
      <c r="K825" s="10">
        <v>0.62487499999999996</v>
      </c>
      <c r="L825" s="1" t="s">
        <v>76</v>
      </c>
      <c r="M825" s="1" t="s">
        <v>506</v>
      </c>
      <c r="N825" s="1" t="s">
        <v>645</v>
      </c>
      <c r="O825" s="1" t="s">
        <v>55</v>
      </c>
      <c r="P825" s="82">
        <v>0.995</v>
      </c>
      <c r="Q825" s="1" t="s">
        <v>76</v>
      </c>
      <c r="R825" s="81" t="s">
        <v>440</v>
      </c>
      <c r="S825" s="1">
        <v>3</v>
      </c>
      <c r="T825" s="1" t="s">
        <v>78</v>
      </c>
      <c r="U825" s="1" t="s">
        <v>658</v>
      </c>
      <c r="V825" s="1" t="s">
        <v>655</v>
      </c>
      <c r="W825" s="1">
        <v>15</v>
      </c>
      <c r="X825" s="1" t="s">
        <v>437</v>
      </c>
      <c r="Y825" s="1" t="s">
        <v>645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0.995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58.581825180000003</v>
      </c>
      <c r="CN825" s="83">
        <v>27.239571789999999</v>
      </c>
    </row>
    <row r="826" spans="1:92" s="3" customFormat="1" x14ac:dyDescent="0.25">
      <c r="A826" s="72">
        <v>867</v>
      </c>
      <c r="B826" s="81" t="s">
        <v>931</v>
      </c>
      <c r="C826" s="1" t="s">
        <v>83</v>
      </c>
      <c r="D826" s="1" t="s">
        <v>73</v>
      </c>
      <c r="E826" s="1" t="s">
        <v>74</v>
      </c>
      <c r="F826" s="1" t="s">
        <v>128</v>
      </c>
      <c r="G826" s="1" t="s">
        <v>303</v>
      </c>
      <c r="H826" s="1" t="s">
        <v>570</v>
      </c>
      <c r="I826" s="1"/>
      <c r="J826" s="9" t="s">
        <v>544</v>
      </c>
      <c r="K826" s="10">
        <v>0.54987299999999995</v>
      </c>
      <c r="L826" s="1" t="s">
        <v>76</v>
      </c>
      <c r="M826" s="1" t="s">
        <v>506</v>
      </c>
      <c r="N826" s="1" t="s">
        <v>645</v>
      </c>
      <c r="O826" s="1" t="s">
        <v>55</v>
      </c>
      <c r="P826" s="82">
        <v>1</v>
      </c>
      <c r="Q826" s="1" t="s">
        <v>76</v>
      </c>
      <c r="R826" s="81" t="s">
        <v>427</v>
      </c>
      <c r="S826" s="1">
        <v>3</v>
      </c>
      <c r="T826" s="1" t="s">
        <v>78</v>
      </c>
      <c r="U826" s="1" t="s">
        <v>658</v>
      </c>
      <c r="V826" s="1" t="s">
        <v>655</v>
      </c>
      <c r="W826" s="1">
        <v>12</v>
      </c>
      <c r="X826" s="1" t="s">
        <v>423</v>
      </c>
      <c r="Y826" s="1" t="s">
        <v>645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1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26.9712569</v>
      </c>
      <c r="CN826" s="83">
        <v>19.22094431</v>
      </c>
    </row>
    <row r="827" spans="1:92" s="3" customFormat="1" x14ac:dyDescent="0.25">
      <c r="A827" s="72">
        <v>868</v>
      </c>
      <c r="B827" s="81" t="s">
        <v>880</v>
      </c>
      <c r="C827" s="1" t="s">
        <v>83</v>
      </c>
      <c r="D827" s="1" t="s">
        <v>73</v>
      </c>
      <c r="E827" s="1" t="s">
        <v>99</v>
      </c>
      <c r="F827" s="1" t="s">
        <v>128</v>
      </c>
      <c r="G827" s="1" t="s">
        <v>307</v>
      </c>
      <c r="H827" s="1" t="s">
        <v>570</v>
      </c>
      <c r="I827" s="1"/>
      <c r="J827" s="9" t="s">
        <v>544</v>
      </c>
      <c r="K827" s="10">
        <v>0.56032083333333305</v>
      </c>
      <c r="L827" s="1" t="s">
        <v>76</v>
      </c>
      <c r="M827" s="1" t="s">
        <v>506</v>
      </c>
      <c r="N827" s="1" t="s">
        <v>645</v>
      </c>
      <c r="O827" s="1" t="s">
        <v>55</v>
      </c>
      <c r="P827" s="82">
        <v>0.99299999999999999</v>
      </c>
      <c r="Q827" s="1" t="s">
        <v>76</v>
      </c>
      <c r="R827" s="81" t="s">
        <v>427</v>
      </c>
      <c r="S827" s="1">
        <v>3</v>
      </c>
      <c r="T827" s="1" t="s">
        <v>78</v>
      </c>
      <c r="U827" s="1" t="s">
        <v>658</v>
      </c>
      <c r="V827" s="1" t="s">
        <v>655</v>
      </c>
      <c r="W827" s="1">
        <v>81</v>
      </c>
      <c r="X827" s="1" t="s">
        <v>423</v>
      </c>
      <c r="Y827" s="1" t="s">
        <v>645</v>
      </c>
      <c r="Z827" s="1">
        <v>0</v>
      </c>
      <c r="AA827" s="1">
        <v>0</v>
      </c>
      <c r="AB827" s="1">
        <v>0</v>
      </c>
      <c r="AC827" s="1">
        <v>1E-3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1E-3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0.99299999999999999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40.635737239999997</v>
      </c>
      <c r="CN827" s="83">
        <v>36.386610189999999</v>
      </c>
    </row>
    <row r="828" spans="1:92" s="3" customFormat="1" x14ac:dyDescent="0.25">
      <c r="A828" s="72">
        <v>869</v>
      </c>
      <c r="B828" s="81" t="s">
        <v>1102</v>
      </c>
      <c r="C828" s="1" t="s">
        <v>83</v>
      </c>
      <c r="D828" s="1" t="s">
        <v>73</v>
      </c>
      <c r="E828" s="1" t="s">
        <v>99</v>
      </c>
      <c r="F828" s="1" t="s">
        <v>128</v>
      </c>
      <c r="G828" s="1" t="s">
        <v>307</v>
      </c>
      <c r="H828" s="1" t="s">
        <v>570</v>
      </c>
      <c r="I828" s="1"/>
      <c r="J828" s="9" t="s">
        <v>544</v>
      </c>
      <c r="K828" s="10">
        <v>0.55164299999999999</v>
      </c>
      <c r="L828" s="1" t="s">
        <v>76</v>
      </c>
      <c r="M828" s="1" t="s">
        <v>506</v>
      </c>
      <c r="N828" s="1" t="s">
        <v>645</v>
      </c>
      <c r="O828" s="1" t="s">
        <v>55</v>
      </c>
      <c r="P828" s="82">
        <v>0.98</v>
      </c>
      <c r="Q828" s="1" t="s">
        <v>76</v>
      </c>
      <c r="R828" s="81" t="s">
        <v>87</v>
      </c>
      <c r="S828" s="1">
        <v>3</v>
      </c>
      <c r="T828" s="1" t="s">
        <v>78</v>
      </c>
      <c r="U828" s="1" t="s">
        <v>658</v>
      </c>
      <c r="V828" s="1" t="s">
        <v>655</v>
      </c>
      <c r="W828" s="1">
        <v>15</v>
      </c>
      <c r="X828" s="1" t="s">
        <v>423</v>
      </c>
      <c r="Y828" s="1" t="s">
        <v>645</v>
      </c>
      <c r="Z828" s="1">
        <v>0</v>
      </c>
      <c r="AA828" s="1">
        <v>0</v>
      </c>
      <c r="AB828" s="1">
        <v>0</v>
      </c>
      <c r="AC828" s="1">
        <v>1E-3</v>
      </c>
      <c r="AD828" s="1">
        <v>0</v>
      </c>
      <c r="AE828" s="1">
        <v>0</v>
      </c>
      <c r="AF828" s="1">
        <v>0</v>
      </c>
      <c r="AG828" s="1">
        <v>0</v>
      </c>
      <c r="AH828" s="1">
        <v>1E-3</v>
      </c>
      <c r="AI828" s="1">
        <v>0</v>
      </c>
      <c r="AJ828" s="1">
        <v>0</v>
      </c>
      <c r="AK828" s="1">
        <v>3.0000000000000001E-3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1E-3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1E-3</v>
      </c>
      <c r="BB828" s="1">
        <v>2E-3</v>
      </c>
      <c r="BC828" s="1">
        <v>0</v>
      </c>
      <c r="BD828" s="1">
        <v>1E-3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1E-3</v>
      </c>
      <c r="BW828" s="1">
        <v>0</v>
      </c>
      <c r="BX828" s="1">
        <v>0.98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1E-3</v>
      </c>
      <c r="CK828" s="1">
        <v>1E-3</v>
      </c>
      <c r="CL828" s="1">
        <v>0</v>
      </c>
      <c r="CM828" s="1">
        <v>54.01508355</v>
      </c>
      <c r="CN828" s="83">
        <v>26.807846779999998</v>
      </c>
    </row>
    <row r="829" spans="1:92" s="3" customFormat="1" x14ac:dyDescent="0.25">
      <c r="A829" s="72">
        <v>222</v>
      </c>
      <c r="B829" s="81" t="s">
        <v>972</v>
      </c>
      <c r="C829" s="1" t="s">
        <v>83</v>
      </c>
      <c r="D829" s="1" t="s">
        <v>79</v>
      </c>
      <c r="E829" s="1" t="s">
        <v>99</v>
      </c>
      <c r="F829" s="1" t="s">
        <v>665</v>
      </c>
      <c r="G829" s="1" t="s">
        <v>198</v>
      </c>
      <c r="H829" s="1" t="s">
        <v>48</v>
      </c>
      <c r="I829" s="1"/>
      <c r="J829" s="9" t="s">
        <v>544</v>
      </c>
      <c r="K829" s="10">
        <v>0.436512333333333</v>
      </c>
      <c r="L829" s="1" t="s">
        <v>1713</v>
      </c>
      <c r="M829" s="1" t="s">
        <v>506</v>
      </c>
      <c r="N829" s="1" t="s">
        <v>648</v>
      </c>
      <c r="O829" s="1" t="s">
        <v>62</v>
      </c>
      <c r="P829" s="82">
        <v>0.998</v>
      </c>
      <c r="Q829" s="1" t="s">
        <v>76</v>
      </c>
      <c r="R829" s="81" t="s">
        <v>210</v>
      </c>
      <c r="S829" s="1">
        <v>3</v>
      </c>
      <c r="T829" s="1" t="s">
        <v>120</v>
      </c>
      <c r="U829" s="1" t="s">
        <v>659</v>
      </c>
      <c r="V829" s="1" t="s">
        <v>655</v>
      </c>
      <c r="W829" s="1">
        <v>17</v>
      </c>
      <c r="X829" s="1" t="s">
        <v>268</v>
      </c>
      <c r="Y829" s="1" t="s">
        <v>648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0.998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-52.591899929999997</v>
      </c>
      <c r="CN829" s="83">
        <v>-1.5425082320000001</v>
      </c>
    </row>
    <row r="830" spans="1:92" s="3" customFormat="1" x14ac:dyDescent="0.25">
      <c r="A830" s="72">
        <v>871</v>
      </c>
      <c r="B830" s="81" t="s">
        <v>1478</v>
      </c>
      <c r="C830" s="1" t="s">
        <v>83</v>
      </c>
      <c r="D830" s="1" t="s">
        <v>73</v>
      </c>
      <c r="E830" s="1" t="s">
        <v>99</v>
      </c>
      <c r="F830" s="1" t="s">
        <v>97</v>
      </c>
      <c r="G830" s="1" t="s">
        <v>76</v>
      </c>
      <c r="H830" s="1" t="s">
        <v>97</v>
      </c>
      <c r="I830" s="1"/>
      <c r="J830" s="9" t="s">
        <v>506</v>
      </c>
      <c r="K830" s="10">
        <v>0.29389116666666598</v>
      </c>
      <c r="L830" s="1" t="s">
        <v>641</v>
      </c>
      <c r="M830" s="1" t="s">
        <v>76</v>
      </c>
      <c r="N830" s="1" t="s">
        <v>644</v>
      </c>
      <c r="O830" s="1" t="s">
        <v>68</v>
      </c>
      <c r="P830" s="82">
        <v>0.78500000000000003</v>
      </c>
      <c r="Q830" s="1" t="s">
        <v>76</v>
      </c>
      <c r="R830" s="81" t="s">
        <v>129</v>
      </c>
      <c r="S830" s="1" t="s">
        <v>76</v>
      </c>
      <c r="T830" s="1" t="s">
        <v>120</v>
      </c>
      <c r="U830" s="1" t="s">
        <v>659</v>
      </c>
      <c r="V830" s="1" t="s">
        <v>655</v>
      </c>
      <c r="W830" s="1">
        <v>68</v>
      </c>
      <c r="X830" s="1" t="s">
        <v>423</v>
      </c>
      <c r="Y830" s="1" t="s">
        <v>644</v>
      </c>
      <c r="Z830" s="1">
        <v>3.2000000000000001E-2</v>
      </c>
      <c r="AA830" s="1">
        <v>1E-3</v>
      </c>
      <c r="AB830" s="1">
        <v>1E-3</v>
      </c>
      <c r="AC830" s="1">
        <v>1E-3</v>
      </c>
      <c r="AD830" s="1">
        <v>1E-3</v>
      </c>
      <c r="AE830" s="1">
        <v>0</v>
      </c>
      <c r="AF830" s="1">
        <v>1E-3</v>
      </c>
      <c r="AG830" s="1">
        <v>0</v>
      </c>
      <c r="AH830" s="1">
        <v>4.0000000000000001E-3</v>
      </c>
      <c r="AI830" s="1">
        <v>1E-3</v>
      </c>
      <c r="AJ830" s="1">
        <v>1E-3</v>
      </c>
      <c r="AK830" s="1">
        <v>0</v>
      </c>
      <c r="AL830" s="1">
        <v>0</v>
      </c>
      <c r="AM830" s="1">
        <v>0</v>
      </c>
      <c r="AN830" s="1">
        <v>3.0000000000000001E-3</v>
      </c>
      <c r="AO830" s="1">
        <v>0</v>
      </c>
      <c r="AP830" s="1">
        <v>0</v>
      </c>
      <c r="AQ830" s="1">
        <v>0</v>
      </c>
      <c r="AR830" s="1">
        <v>6.0000000000000001E-3</v>
      </c>
      <c r="AS830" s="1">
        <v>1E-3</v>
      </c>
      <c r="AT830" s="1">
        <v>0</v>
      </c>
      <c r="AU830" s="1">
        <v>1E-3</v>
      </c>
      <c r="AV830" s="1">
        <v>1E-3</v>
      </c>
      <c r="AW830" s="1">
        <v>0</v>
      </c>
      <c r="AX830" s="1">
        <v>1.4E-2</v>
      </c>
      <c r="AY830" s="1">
        <v>1E-3</v>
      </c>
      <c r="AZ830" s="1">
        <v>2E-3</v>
      </c>
      <c r="BA830" s="1">
        <v>2E-3</v>
      </c>
      <c r="BB830" s="1">
        <v>0</v>
      </c>
      <c r="BC830" s="1">
        <v>0</v>
      </c>
      <c r="BD830" s="1">
        <v>2E-3</v>
      </c>
      <c r="BE830" s="1">
        <v>0</v>
      </c>
      <c r="BF830" s="1">
        <v>2E-3</v>
      </c>
      <c r="BG830" s="1">
        <v>0</v>
      </c>
      <c r="BH830" s="1">
        <v>0</v>
      </c>
      <c r="BI830" s="1">
        <v>0</v>
      </c>
      <c r="BJ830" s="1">
        <v>2E-3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6.0000000000000001E-3</v>
      </c>
      <c r="BQ830" s="1">
        <v>1E-3</v>
      </c>
      <c r="BR830" s="1">
        <v>1E-3</v>
      </c>
      <c r="BS830" s="1">
        <v>3.0000000000000001E-3</v>
      </c>
      <c r="BT830" s="1">
        <v>0</v>
      </c>
      <c r="BU830" s="1">
        <v>1.2999999999999999E-2</v>
      </c>
      <c r="BV830" s="1">
        <v>0</v>
      </c>
      <c r="BW830" s="1">
        <v>1E-3</v>
      </c>
      <c r="BX830" s="1">
        <v>2E-3</v>
      </c>
      <c r="BY830" s="1">
        <v>1E-3</v>
      </c>
      <c r="BZ830" s="1">
        <v>3.0000000000000001E-3</v>
      </c>
      <c r="CA830" s="1">
        <v>1E-3</v>
      </c>
      <c r="CB830" s="1">
        <v>1E-3</v>
      </c>
      <c r="CC830" s="1">
        <v>1E-3</v>
      </c>
      <c r="CD830" s="1">
        <v>0</v>
      </c>
      <c r="CE830" s="1">
        <v>0</v>
      </c>
      <c r="CF830" s="1">
        <v>1E-3</v>
      </c>
      <c r="CG830" s="1">
        <v>1E-3</v>
      </c>
      <c r="CH830" s="1">
        <v>1E-3</v>
      </c>
      <c r="CI830" s="1">
        <v>0</v>
      </c>
      <c r="CJ830" s="1">
        <v>1E-3</v>
      </c>
      <c r="CK830" s="1">
        <v>0.78500000000000003</v>
      </c>
      <c r="CL830" s="1">
        <v>9.2999999999999999E-2</v>
      </c>
      <c r="CM830" s="1">
        <v>-53.515755970000001</v>
      </c>
      <c r="CN830" s="83">
        <v>-7.9966042609999999</v>
      </c>
    </row>
    <row r="831" spans="1:92" s="3" customFormat="1" hidden="1" x14ac:dyDescent="0.25">
      <c r="A831" s="72">
        <v>872</v>
      </c>
      <c r="B831" s="81" t="s">
        <v>1702</v>
      </c>
      <c r="C831" s="1" t="s">
        <v>83</v>
      </c>
      <c r="D831" s="1" t="s">
        <v>73</v>
      </c>
      <c r="E831" s="1" t="s">
        <v>76</v>
      </c>
      <c r="F831" s="1" t="s">
        <v>426</v>
      </c>
      <c r="G831" s="1" t="s">
        <v>76</v>
      </c>
      <c r="H831" s="1" t="s">
        <v>537</v>
      </c>
      <c r="I831" s="1"/>
      <c r="J831" s="9" t="s">
        <v>544</v>
      </c>
      <c r="K831" s="10">
        <v>0.276455333333333</v>
      </c>
      <c r="L831" s="1" t="s">
        <v>641</v>
      </c>
      <c r="M831" s="1" t="s">
        <v>76</v>
      </c>
      <c r="N831" s="1" t="s">
        <v>644</v>
      </c>
      <c r="O831" s="1" t="s">
        <v>39</v>
      </c>
      <c r="P831" s="82">
        <v>0.59799999999999998</v>
      </c>
      <c r="Q831" s="1" t="s">
        <v>76</v>
      </c>
      <c r="R831" s="81" t="s">
        <v>424</v>
      </c>
      <c r="S831" s="1" t="s">
        <v>76</v>
      </c>
      <c r="T831" s="1" t="s">
        <v>76</v>
      </c>
      <c r="U831" s="1" t="s">
        <v>76</v>
      </c>
      <c r="V831" s="1" t="s">
        <v>655</v>
      </c>
      <c r="W831" s="1" t="s">
        <v>269</v>
      </c>
      <c r="X831" s="1" t="s">
        <v>76</v>
      </c>
      <c r="Y831" s="1" t="s">
        <v>644</v>
      </c>
      <c r="Z831" s="1">
        <v>6.0000000000000001E-3</v>
      </c>
      <c r="AA831" s="1">
        <v>2E-3</v>
      </c>
      <c r="AB831" s="1">
        <v>2E-3</v>
      </c>
      <c r="AC831" s="1">
        <v>7.3999999999999996E-2</v>
      </c>
      <c r="AD831" s="1">
        <v>3.0000000000000001E-3</v>
      </c>
      <c r="AE831" s="1">
        <v>4.0000000000000001E-3</v>
      </c>
      <c r="AF831" s="1">
        <v>2E-3</v>
      </c>
      <c r="AG831" s="1">
        <v>0</v>
      </c>
      <c r="AH831" s="1">
        <v>1.6E-2</v>
      </c>
      <c r="AI831" s="1">
        <v>7.0000000000000001E-3</v>
      </c>
      <c r="AJ831" s="1">
        <v>1E-3</v>
      </c>
      <c r="AK831" s="1">
        <v>4.0000000000000001E-3</v>
      </c>
      <c r="AL831" s="1">
        <v>0</v>
      </c>
      <c r="AM831" s="1">
        <v>1E-3</v>
      </c>
      <c r="AN831" s="1">
        <v>2.4E-2</v>
      </c>
      <c r="AO831" s="1">
        <v>3.0000000000000001E-3</v>
      </c>
      <c r="AP831" s="1">
        <v>6.0000000000000001E-3</v>
      </c>
      <c r="AQ831" s="1">
        <v>1E-3</v>
      </c>
      <c r="AR831" s="1">
        <v>1E-3</v>
      </c>
      <c r="AS831" s="1">
        <v>5.0000000000000001E-3</v>
      </c>
      <c r="AT831" s="1">
        <v>3.0000000000000001E-3</v>
      </c>
      <c r="AU831" s="1">
        <v>2E-3</v>
      </c>
      <c r="AV831" s="1">
        <v>2E-3</v>
      </c>
      <c r="AW831" s="1">
        <v>2E-3</v>
      </c>
      <c r="AX831" s="1">
        <v>2E-3</v>
      </c>
      <c r="AY831" s="1">
        <v>4.0000000000000001E-3</v>
      </c>
      <c r="AZ831" s="1">
        <v>3.0000000000000001E-3</v>
      </c>
      <c r="BA831" s="1">
        <v>8.0000000000000002E-3</v>
      </c>
      <c r="BB831" s="1">
        <v>2E-3</v>
      </c>
      <c r="BC831" s="1">
        <v>1E-3</v>
      </c>
      <c r="BD831" s="1">
        <v>1.2E-2</v>
      </c>
      <c r="BE831" s="1">
        <v>3.0000000000000001E-3</v>
      </c>
      <c r="BF831" s="1">
        <v>0.10199999999999999</v>
      </c>
      <c r="BG831" s="1">
        <v>1E-3</v>
      </c>
      <c r="BH831" s="1">
        <v>0.59799999999999998</v>
      </c>
      <c r="BI831" s="1">
        <v>1E-3</v>
      </c>
      <c r="BJ831" s="1">
        <v>1E-3</v>
      </c>
      <c r="BK831" s="1">
        <v>1E-3</v>
      </c>
      <c r="BL831" s="1">
        <v>3.0000000000000001E-3</v>
      </c>
      <c r="BM831" s="1">
        <v>2E-3</v>
      </c>
      <c r="BN831" s="1">
        <v>3.0000000000000001E-3</v>
      </c>
      <c r="BO831" s="1">
        <v>1E-3</v>
      </c>
      <c r="BP831" s="1">
        <v>0</v>
      </c>
      <c r="BQ831" s="1">
        <v>3.0000000000000001E-3</v>
      </c>
      <c r="BR831" s="1">
        <v>3.0000000000000001E-3</v>
      </c>
      <c r="BS831" s="1">
        <v>1E-3</v>
      </c>
      <c r="BT831" s="1">
        <v>1E-3</v>
      </c>
      <c r="BU831" s="1">
        <v>3.0000000000000001E-3</v>
      </c>
      <c r="BV831" s="1">
        <v>1E-3</v>
      </c>
      <c r="BW831" s="1">
        <v>2E-3</v>
      </c>
      <c r="BX831" s="1">
        <v>1.4999999999999999E-2</v>
      </c>
      <c r="BY831" s="1">
        <v>6.0000000000000001E-3</v>
      </c>
      <c r="BZ831" s="1">
        <v>3.0000000000000001E-3</v>
      </c>
      <c r="CA831" s="1">
        <v>2E-3</v>
      </c>
      <c r="CB831" s="1">
        <v>1E-3</v>
      </c>
      <c r="CC831" s="1">
        <v>2E-3</v>
      </c>
      <c r="CD831" s="1">
        <v>0</v>
      </c>
      <c r="CE831" s="1">
        <v>2E-3</v>
      </c>
      <c r="CF831" s="1">
        <v>3.0000000000000001E-3</v>
      </c>
      <c r="CG831" s="1">
        <v>4.0000000000000001E-3</v>
      </c>
      <c r="CH831" s="1">
        <v>3.0000000000000001E-3</v>
      </c>
      <c r="CI831" s="1">
        <v>4.0000000000000001E-3</v>
      </c>
      <c r="CJ831" s="1">
        <v>5.0000000000000001E-3</v>
      </c>
      <c r="CK831" s="1">
        <v>1.2E-2</v>
      </c>
      <c r="CL831" s="1">
        <v>5.0000000000000001E-3</v>
      </c>
      <c r="CM831" s="1">
        <v>-30.14265906</v>
      </c>
      <c r="CN831" s="83">
        <v>-66.575136700000002</v>
      </c>
    </row>
    <row r="832" spans="1:92" s="3" customFormat="1" x14ac:dyDescent="0.25">
      <c r="A832" s="72">
        <v>873</v>
      </c>
      <c r="B832" s="81" t="s">
        <v>969</v>
      </c>
      <c r="C832" s="1" t="s">
        <v>83</v>
      </c>
      <c r="D832" s="1" t="s">
        <v>73</v>
      </c>
      <c r="E832" s="1" t="s">
        <v>74</v>
      </c>
      <c r="F832" s="1" t="s">
        <v>211</v>
      </c>
      <c r="G832" s="1" t="s">
        <v>76</v>
      </c>
      <c r="H832" s="1" t="s">
        <v>212</v>
      </c>
      <c r="I832" s="1"/>
      <c r="J832" s="9" t="s">
        <v>544</v>
      </c>
      <c r="K832" s="10">
        <v>0.46143933333333298</v>
      </c>
      <c r="L832" s="1" t="s">
        <v>76</v>
      </c>
      <c r="M832" s="1" t="s">
        <v>506</v>
      </c>
      <c r="N832" s="1" t="s">
        <v>645</v>
      </c>
      <c r="O832" s="1" t="s">
        <v>68</v>
      </c>
      <c r="P832" s="82">
        <v>1</v>
      </c>
      <c r="Q832" s="1" t="s">
        <v>76</v>
      </c>
      <c r="R832" s="81" t="s">
        <v>171</v>
      </c>
      <c r="S832" s="1">
        <v>2</v>
      </c>
      <c r="T832" s="1" t="s">
        <v>120</v>
      </c>
      <c r="U832" s="1" t="s">
        <v>659</v>
      </c>
      <c r="V832" s="1" t="s">
        <v>655</v>
      </c>
      <c r="W832" s="1">
        <v>61</v>
      </c>
      <c r="X832" s="1" t="s">
        <v>391</v>
      </c>
      <c r="Y832" s="1" t="s">
        <v>645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1</v>
      </c>
      <c r="CL832" s="1">
        <v>0</v>
      </c>
      <c r="CM832" s="1">
        <v>41.481035820000002</v>
      </c>
      <c r="CN832" s="83">
        <v>-74.375435460000006</v>
      </c>
    </row>
    <row r="833" spans="1:92" s="3" customFormat="1" x14ac:dyDescent="0.25">
      <c r="A833" s="72">
        <v>304</v>
      </c>
      <c r="B833" s="81" t="s">
        <v>1286</v>
      </c>
      <c r="C833" s="1" t="s">
        <v>83</v>
      </c>
      <c r="D833" s="1" t="s">
        <v>73</v>
      </c>
      <c r="E833" s="1" t="s">
        <v>74</v>
      </c>
      <c r="F833" s="1" t="s">
        <v>665</v>
      </c>
      <c r="G833" s="1" t="s">
        <v>98</v>
      </c>
      <c r="H833" s="1" t="s">
        <v>48</v>
      </c>
      <c r="I833" s="1"/>
      <c r="J833" s="9" t="s">
        <v>544</v>
      </c>
      <c r="K833" s="10">
        <v>0.49044033333333398</v>
      </c>
      <c r="L833" s="1" t="s">
        <v>1714</v>
      </c>
      <c r="M833" s="1" t="s">
        <v>506</v>
      </c>
      <c r="N833" s="1" t="s">
        <v>648</v>
      </c>
      <c r="O833" s="1" t="s">
        <v>67</v>
      </c>
      <c r="P833" s="82">
        <v>0.96799999999999997</v>
      </c>
      <c r="Q833" s="1" t="s">
        <v>76</v>
      </c>
      <c r="R833" s="81" t="s">
        <v>227</v>
      </c>
      <c r="S833" s="1">
        <v>2</v>
      </c>
      <c r="T833" s="1" t="s">
        <v>120</v>
      </c>
      <c r="U833" s="1" t="s">
        <v>424</v>
      </c>
      <c r="V833" s="1" t="s">
        <v>657</v>
      </c>
      <c r="W833" s="1" t="s">
        <v>424</v>
      </c>
      <c r="X833" s="1" t="s">
        <v>76</v>
      </c>
      <c r="Y833" s="1" t="s">
        <v>648</v>
      </c>
      <c r="Z833" s="1">
        <v>0</v>
      </c>
      <c r="AA833" s="1">
        <v>0</v>
      </c>
      <c r="AB833" s="1">
        <v>0</v>
      </c>
      <c r="AC833" s="1">
        <v>3.0000000000000001E-3</v>
      </c>
      <c r="AD833" s="1">
        <v>0</v>
      </c>
      <c r="AE833" s="1">
        <v>0</v>
      </c>
      <c r="AF833" s="1">
        <v>0</v>
      </c>
      <c r="AG833" s="1">
        <v>0</v>
      </c>
      <c r="AH833" s="1">
        <v>1E-3</v>
      </c>
      <c r="AI833" s="1">
        <v>0</v>
      </c>
      <c r="AJ833" s="1">
        <v>0</v>
      </c>
      <c r="AK833" s="1">
        <v>1E-3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1E-3</v>
      </c>
      <c r="AT833" s="1">
        <v>1E-3</v>
      </c>
      <c r="AU833" s="1">
        <v>0</v>
      </c>
      <c r="AV833" s="1">
        <v>0</v>
      </c>
      <c r="AW833" s="1">
        <v>1E-3</v>
      </c>
      <c r="AX833" s="1">
        <v>0</v>
      </c>
      <c r="AY833" s="1">
        <v>1E-3</v>
      </c>
      <c r="AZ833" s="1">
        <v>1E-3</v>
      </c>
      <c r="BA833" s="1">
        <v>1E-3</v>
      </c>
      <c r="BB833" s="1">
        <v>0</v>
      </c>
      <c r="BC833" s="1">
        <v>0</v>
      </c>
      <c r="BD833" s="1">
        <v>1E-3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1E-3</v>
      </c>
      <c r="BM833" s="1">
        <v>0</v>
      </c>
      <c r="BN833" s="1">
        <v>1E-3</v>
      </c>
      <c r="BO833" s="1">
        <v>0</v>
      </c>
      <c r="BP833" s="1">
        <v>0</v>
      </c>
      <c r="BQ833" s="1">
        <v>1E-3</v>
      </c>
      <c r="BR833" s="1">
        <v>1E-3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1E-3</v>
      </c>
      <c r="BY833" s="1">
        <v>1E-3</v>
      </c>
      <c r="BZ833" s="1">
        <v>1E-3</v>
      </c>
      <c r="CA833" s="1">
        <v>0</v>
      </c>
      <c r="CB833" s="1">
        <v>0</v>
      </c>
      <c r="CC833" s="1">
        <v>1E-3</v>
      </c>
      <c r="CD833" s="1">
        <v>0</v>
      </c>
      <c r="CE833" s="1">
        <v>0</v>
      </c>
      <c r="CF833" s="1">
        <v>0</v>
      </c>
      <c r="CG833" s="1">
        <v>2E-3</v>
      </c>
      <c r="CH833" s="1">
        <v>1E-3</v>
      </c>
      <c r="CI833" s="1">
        <v>0</v>
      </c>
      <c r="CJ833" s="1">
        <v>0.96799999999999997</v>
      </c>
      <c r="CK833" s="1">
        <v>3.0000000000000001E-3</v>
      </c>
      <c r="CL833" s="1">
        <v>1E-3</v>
      </c>
      <c r="CM833" s="1">
        <v>-50.574097729999998</v>
      </c>
      <c r="CN833" s="83">
        <v>-38.31313669</v>
      </c>
    </row>
    <row r="834" spans="1:92" s="3" customFormat="1" x14ac:dyDescent="0.25">
      <c r="A834" s="72">
        <v>875</v>
      </c>
      <c r="B834" s="81" t="s">
        <v>1638</v>
      </c>
      <c r="C834" s="1" t="s">
        <v>83</v>
      </c>
      <c r="D834" s="1" t="s">
        <v>73</v>
      </c>
      <c r="E834" s="1" t="s">
        <v>74</v>
      </c>
      <c r="F834" s="1" t="s">
        <v>211</v>
      </c>
      <c r="G834" s="1" t="s">
        <v>76</v>
      </c>
      <c r="H834" s="1" t="s">
        <v>212</v>
      </c>
      <c r="I834" s="1"/>
      <c r="J834" s="9" t="s">
        <v>544</v>
      </c>
      <c r="K834" s="10">
        <v>0.284414</v>
      </c>
      <c r="L834" s="1" t="s">
        <v>641</v>
      </c>
      <c r="M834" s="1" t="s">
        <v>76</v>
      </c>
      <c r="N834" s="1" t="s">
        <v>644</v>
      </c>
      <c r="O834" s="1" t="s">
        <v>5</v>
      </c>
      <c r="P834" s="82">
        <v>0.86099999999999999</v>
      </c>
      <c r="Q834" s="1" t="s">
        <v>76</v>
      </c>
      <c r="R834" s="81" t="s">
        <v>169</v>
      </c>
      <c r="S834" s="1">
        <v>2</v>
      </c>
      <c r="T834" s="1" t="s">
        <v>120</v>
      </c>
      <c r="U834" s="1" t="s">
        <v>658</v>
      </c>
      <c r="V834" s="1" t="s">
        <v>655</v>
      </c>
      <c r="W834" s="1">
        <v>67</v>
      </c>
      <c r="X834" s="1" t="s">
        <v>445</v>
      </c>
      <c r="Y834" s="1" t="s">
        <v>648</v>
      </c>
      <c r="Z834" s="1">
        <v>0.86099999999999999</v>
      </c>
      <c r="AA834" s="1">
        <v>0</v>
      </c>
      <c r="AB834" s="1">
        <v>0</v>
      </c>
      <c r="AC834" s="1">
        <v>0.02</v>
      </c>
      <c r="AD834" s="1">
        <v>0</v>
      </c>
      <c r="AE834" s="1">
        <v>1E-3</v>
      </c>
      <c r="AF834" s="1">
        <v>0</v>
      </c>
      <c r="AG834" s="1">
        <v>0</v>
      </c>
      <c r="AH834" s="1">
        <v>5.2999999999999999E-2</v>
      </c>
      <c r="AI834" s="1">
        <v>8.0000000000000002E-3</v>
      </c>
      <c r="AJ834" s="1">
        <v>0</v>
      </c>
      <c r="AK834" s="1">
        <v>0</v>
      </c>
      <c r="AL834" s="1">
        <v>0</v>
      </c>
      <c r="AM834" s="1">
        <v>0</v>
      </c>
      <c r="AN834" s="1">
        <v>7.0000000000000001E-3</v>
      </c>
      <c r="AO834" s="1">
        <v>0</v>
      </c>
      <c r="AP834" s="1">
        <v>0</v>
      </c>
      <c r="AQ834" s="1">
        <v>0</v>
      </c>
      <c r="AR834" s="1">
        <v>0</v>
      </c>
      <c r="AS834" s="1">
        <v>1E-3</v>
      </c>
      <c r="AT834" s="1">
        <v>1E-3</v>
      </c>
      <c r="AU834" s="1">
        <v>0</v>
      </c>
      <c r="AV834" s="1">
        <v>1E-3</v>
      </c>
      <c r="AW834" s="1">
        <v>0</v>
      </c>
      <c r="AX834" s="1">
        <v>1E-3</v>
      </c>
      <c r="AY834" s="1">
        <v>1E-3</v>
      </c>
      <c r="AZ834" s="1">
        <v>1E-3</v>
      </c>
      <c r="BA834" s="1">
        <v>2E-3</v>
      </c>
      <c r="BB834" s="1">
        <v>0</v>
      </c>
      <c r="BC834" s="1">
        <v>0</v>
      </c>
      <c r="BD834" s="1">
        <v>4.0000000000000001E-3</v>
      </c>
      <c r="BE834" s="1">
        <v>0</v>
      </c>
      <c r="BF834" s="1">
        <v>7.0000000000000001E-3</v>
      </c>
      <c r="BG834" s="1">
        <v>0</v>
      </c>
      <c r="BH834" s="1">
        <v>2E-3</v>
      </c>
      <c r="BI834" s="1">
        <v>0</v>
      </c>
      <c r="BJ834" s="1">
        <v>0</v>
      </c>
      <c r="BK834" s="1">
        <v>0</v>
      </c>
      <c r="BL834" s="1">
        <v>1E-3</v>
      </c>
      <c r="BM834" s="1">
        <v>0</v>
      </c>
      <c r="BN834" s="1">
        <v>0</v>
      </c>
      <c r="BO834" s="1">
        <v>0</v>
      </c>
      <c r="BP834" s="1">
        <v>0</v>
      </c>
      <c r="BQ834" s="1">
        <v>1E-3</v>
      </c>
      <c r="BR834" s="1">
        <v>2E-3</v>
      </c>
      <c r="BS834" s="1">
        <v>0</v>
      </c>
      <c r="BT834" s="1">
        <v>0</v>
      </c>
      <c r="BU834" s="1">
        <v>2E-3</v>
      </c>
      <c r="BV834" s="1">
        <v>0</v>
      </c>
      <c r="BW834" s="1">
        <v>0</v>
      </c>
      <c r="BX834" s="1">
        <v>2E-3</v>
      </c>
      <c r="BY834" s="1">
        <v>1E-3</v>
      </c>
      <c r="BZ834" s="1">
        <v>1E-3</v>
      </c>
      <c r="CA834" s="1">
        <v>1E-3</v>
      </c>
      <c r="CB834" s="1">
        <v>0</v>
      </c>
      <c r="CC834" s="1">
        <v>0</v>
      </c>
      <c r="CD834" s="1">
        <v>0</v>
      </c>
      <c r="CE834" s="1">
        <v>0</v>
      </c>
      <c r="CF834" s="1">
        <v>1E-3</v>
      </c>
      <c r="CG834" s="1">
        <v>3.0000000000000001E-3</v>
      </c>
      <c r="CH834" s="1">
        <v>1E-3</v>
      </c>
      <c r="CI834" s="1">
        <v>1E-3</v>
      </c>
      <c r="CJ834" s="1">
        <v>2E-3</v>
      </c>
      <c r="CK834" s="1">
        <v>5.0000000000000001E-3</v>
      </c>
      <c r="CL834" s="1">
        <v>2E-3</v>
      </c>
      <c r="CM834" s="1">
        <v>-8.802041719</v>
      </c>
      <c r="CN834" s="83">
        <v>-55.80377318</v>
      </c>
    </row>
    <row r="835" spans="1:92" s="3" customFormat="1" x14ac:dyDescent="0.25">
      <c r="A835" s="72">
        <v>876</v>
      </c>
      <c r="B835" s="81" t="s">
        <v>1502</v>
      </c>
      <c r="C835" s="1" t="s">
        <v>83</v>
      </c>
      <c r="D835" s="1" t="s">
        <v>73</v>
      </c>
      <c r="E835" s="1" t="s">
        <v>74</v>
      </c>
      <c r="F835" s="1" t="s">
        <v>211</v>
      </c>
      <c r="G835" s="1" t="s">
        <v>76</v>
      </c>
      <c r="H835" s="1" t="s">
        <v>212</v>
      </c>
      <c r="I835" s="1"/>
      <c r="J835" s="9" t="s">
        <v>544</v>
      </c>
      <c r="K835" s="10">
        <v>0.387064666666667</v>
      </c>
      <c r="L835" s="1" t="s">
        <v>76</v>
      </c>
      <c r="M835" s="1" t="s">
        <v>506</v>
      </c>
      <c r="N835" s="1" t="s">
        <v>645</v>
      </c>
      <c r="O835" s="1" t="s">
        <v>68</v>
      </c>
      <c r="P835" s="82">
        <v>1</v>
      </c>
      <c r="Q835" s="1" t="s">
        <v>76</v>
      </c>
      <c r="R835" s="81" t="s">
        <v>129</v>
      </c>
      <c r="S835" s="1">
        <v>2</v>
      </c>
      <c r="T835" s="1" t="s">
        <v>120</v>
      </c>
      <c r="U835" s="1" t="s">
        <v>658</v>
      </c>
      <c r="V835" s="1" t="s">
        <v>655</v>
      </c>
      <c r="W835" s="1">
        <v>83</v>
      </c>
      <c r="X835" s="1" t="s">
        <v>446</v>
      </c>
      <c r="Y835" s="1" t="s">
        <v>645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1</v>
      </c>
      <c r="CL835" s="1">
        <v>0</v>
      </c>
      <c r="CM835" s="1">
        <v>35.931068719999999</v>
      </c>
      <c r="CN835" s="83">
        <v>-58.57251977</v>
      </c>
    </row>
    <row r="836" spans="1:92" s="3" customFormat="1" x14ac:dyDescent="0.25">
      <c r="A836" s="72">
        <v>877</v>
      </c>
      <c r="B836" s="81" t="s">
        <v>1329</v>
      </c>
      <c r="C836" s="1" t="s">
        <v>83</v>
      </c>
      <c r="D836" s="1" t="s">
        <v>73</v>
      </c>
      <c r="E836" s="1" t="s">
        <v>99</v>
      </c>
      <c r="F836" s="1" t="s">
        <v>211</v>
      </c>
      <c r="G836" s="1" t="s">
        <v>76</v>
      </c>
      <c r="H836" s="1" t="s">
        <v>212</v>
      </c>
      <c r="I836" s="1"/>
      <c r="J836" s="9" t="s">
        <v>544</v>
      </c>
      <c r="K836" s="10">
        <v>0.31502266666666701</v>
      </c>
      <c r="L836" s="1" t="s">
        <v>641</v>
      </c>
      <c r="M836" s="1" t="s">
        <v>76</v>
      </c>
      <c r="N836" s="1" t="s">
        <v>644</v>
      </c>
      <c r="O836" s="1" t="s">
        <v>5</v>
      </c>
      <c r="P836" s="82">
        <v>0.83599999999999997</v>
      </c>
      <c r="Q836" s="1" t="s">
        <v>76</v>
      </c>
      <c r="R836" s="81" t="s">
        <v>171</v>
      </c>
      <c r="S836" s="1">
        <v>3</v>
      </c>
      <c r="T836" s="1" t="s">
        <v>120</v>
      </c>
      <c r="U836" s="1" t="s">
        <v>658</v>
      </c>
      <c r="V836" s="1" t="s">
        <v>654</v>
      </c>
      <c r="W836" s="1">
        <v>68</v>
      </c>
      <c r="X836" s="1" t="s">
        <v>76</v>
      </c>
      <c r="Y836" s="1" t="s">
        <v>644</v>
      </c>
      <c r="Z836" s="1">
        <v>0.83599999999999997</v>
      </c>
      <c r="AA836" s="1">
        <v>0</v>
      </c>
      <c r="AB836" s="1">
        <v>0</v>
      </c>
      <c r="AC836" s="1">
        <v>1E-3</v>
      </c>
      <c r="AD836" s="1">
        <v>0</v>
      </c>
      <c r="AE836" s="1">
        <v>0</v>
      </c>
      <c r="AF836" s="1">
        <v>0</v>
      </c>
      <c r="AG836" s="1">
        <v>0</v>
      </c>
      <c r="AH836" s="1">
        <v>5.0000000000000001E-3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1E-3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1E-3</v>
      </c>
      <c r="BE836" s="1">
        <v>0</v>
      </c>
      <c r="BF836" s="1">
        <v>2E-3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1E-3</v>
      </c>
      <c r="BV836" s="1">
        <v>0</v>
      </c>
      <c r="BW836" s="1">
        <v>0</v>
      </c>
      <c r="BX836" s="1">
        <v>1E-3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0.14199999999999999</v>
      </c>
      <c r="CL836" s="1">
        <v>3.0000000000000001E-3</v>
      </c>
      <c r="CM836" s="1">
        <v>4.3224769920000004</v>
      </c>
      <c r="CN836" s="83">
        <v>-31.701938999999999</v>
      </c>
    </row>
    <row r="837" spans="1:92" s="3" customFormat="1" x14ac:dyDescent="0.25">
      <c r="A837" s="72">
        <v>878</v>
      </c>
      <c r="B837" s="81" t="s">
        <v>1641</v>
      </c>
      <c r="C837" s="1" t="s">
        <v>83</v>
      </c>
      <c r="D837" s="1" t="s">
        <v>73</v>
      </c>
      <c r="E837" s="1" t="s">
        <v>74</v>
      </c>
      <c r="F837" s="1" t="s">
        <v>211</v>
      </c>
      <c r="G837" s="1" t="s">
        <v>76</v>
      </c>
      <c r="H837" s="1" t="s">
        <v>212</v>
      </c>
      <c r="I837" s="1"/>
      <c r="J837" s="9" t="s">
        <v>544</v>
      </c>
      <c r="K837" s="10">
        <v>0.41075733333333397</v>
      </c>
      <c r="L837" s="1" t="s">
        <v>76</v>
      </c>
      <c r="M837" s="1" t="s">
        <v>506</v>
      </c>
      <c r="N837" s="1" t="s">
        <v>645</v>
      </c>
      <c r="O837" s="1" t="s">
        <v>68</v>
      </c>
      <c r="P837" s="82">
        <v>1</v>
      </c>
      <c r="Q837" s="1" t="s">
        <v>76</v>
      </c>
      <c r="R837" s="81" t="s">
        <v>171</v>
      </c>
      <c r="S837" s="1">
        <v>3</v>
      </c>
      <c r="T837" s="1" t="s">
        <v>120</v>
      </c>
      <c r="U837" s="1" t="s">
        <v>658</v>
      </c>
      <c r="V837" s="1" t="s">
        <v>655</v>
      </c>
      <c r="W837" s="1">
        <v>71</v>
      </c>
      <c r="X837" s="1" t="s">
        <v>76</v>
      </c>
      <c r="Y837" s="1" t="s">
        <v>645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1</v>
      </c>
      <c r="CL837" s="1">
        <v>0</v>
      </c>
      <c r="CM837" s="1">
        <v>33.996247760000003</v>
      </c>
      <c r="CN837" s="83">
        <v>-59.978406759999999</v>
      </c>
    </row>
    <row r="838" spans="1:92" s="3" customFormat="1" x14ac:dyDescent="0.25">
      <c r="A838" s="72">
        <v>879</v>
      </c>
      <c r="B838" s="81" t="s">
        <v>1104</v>
      </c>
      <c r="C838" s="1" t="s">
        <v>83</v>
      </c>
      <c r="D838" s="1" t="s">
        <v>73</v>
      </c>
      <c r="E838" s="1" t="s">
        <v>99</v>
      </c>
      <c r="F838" s="1" t="s">
        <v>211</v>
      </c>
      <c r="G838" s="1" t="s">
        <v>76</v>
      </c>
      <c r="H838" s="1" t="s">
        <v>212</v>
      </c>
      <c r="I838" s="1"/>
      <c r="J838" s="9" t="s">
        <v>544</v>
      </c>
      <c r="K838" s="10">
        <v>0.43236416666666599</v>
      </c>
      <c r="L838" s="1" t="s">
        <v>641</v>
      </c>
      <c r="M838" s="1" t="s">
        <v>76</v>
      </c>
      <c r="N838" s="1" t="s">
        <v>644</v>
      </c>
      <c r="O838" s="1" t="s">
        <v>69</v>
      </c>
      <c r="P838" s="82">
        <v>0.70699999999999996</v>
      </c>
      <c r="Q838" s="1" t="s">
        <v>76</v>
      </c>
      <c r="R838" s="81" t="s">
        <v>222</v>
      </c>
      <c r="S838" s="1">
        <v>3</v>
      </c>
      <c r="T838" s="1" t="s">
        <v>120</v>
      </c>
      <c r="U838" s="1" t="s">
        <v>658</v>
      </c>
      <c r="V838" s="1" t="s">
        <v>655</v>
      </c>
      <c r="W838" s="1">
        <v>54</v>
      </c>
      <c r="X838" s="1" t="s">
        <v>76</v>
      </c>
      <c r="Y838" s="1" t="s">
        <v>644</v>
      </c>
      <c r="Z838" s="1">
        <v>2E-3</v>
      </c>
      <c r="AA838" s="1">
        <v>0</v>
      </c>
      <c r="AB838" s="1">
        <v>0</v>
      </c>
      <c r="AC838" s="1">
        <v>1E-3</v>
      </c>
      <c r="AD838" s="1">
        <v>5.3999999999999999E-2</v>
      </c>
      <c r="AE838" s="1">
        <v>0</v>
      </c>
      <c r="AF838" s="1">
        <v>1E-3</v>
      </c>
      <c r="AG838" s="1">
        <v>0</v>
      </c>
      <c r="AH838" s="1">
        <v>1E-3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1E-3</v>
      </c>
      <c r="AS838" s="1">
        <v>2E-3</v>
      </c>
      <c r="AT838" s="1">
        <v>0</v>
      </c>
      <c r="AU838" s="1">
        <v>1E-3</v>
      </c>
      <c r="AV838" s="1">
        <v>0</v>
      </c>
      <c r="AW838" s="1">
        <v>0</v>
      </c>
      <c r="AX838" s="1">
        <v>1E-3</v>
      </c>
      <c r="AY838" s="1">
        <v>1E-3</v>
      </c>
      <c r="AZ838" s="1">
        <v>2E-3</v>
      </c>
      <c r="BA838" s="1">
        <v>1E-3</v>
      </c>
      <c r="BB838" s="1">
        <v>0</v>
      </c>
      <c r="BC838" s="1">
        <v>0</v>
      </c>
      <c r="BD838" s="1">
        <v>2E-3</v>
      </c>
      <c r="BE838" s="1">
        <v>1E-3</v>
      </c>
      <c r="BF838" s="1">
        <v>0</v>
      </c>
      <c r="BG838" s="1">
        <v>0</v>
      </c>
      <c r="BH838" s="1">
        <v>0</v>
      </c>
      <c r="BI838" s="1">
        <v>0</v>
      </c>
      <c r="BJ838" s="1">
        <v>2E-3</v>
      </c>
      <c r="BK838" s="1">
        <v>0</v>
      </c>
      <c r="BL838" s="1">
        <v>1E-3</v>
      </c>
      <c r="BM838" s="1">
        <v>0</v>
      </c>
      <c r="BN838" s="1">
        <v>2E-3</v>
      </c>
      <c r="BO838" s="1">
        <v>0</v>
      </c>
      <c r="BP838" s="1">
        <v>1E-3</v>
      </c>
      <c r="BQ838" s="1">
        <v>1E-3</v>
      </c>
      <c r="BR838" s="1">
        <v>0</v>
      </c>
      <c r="BS838" s="1">
        <v>1E-3</v>
      </c>
      <c r="BT838" s="1">
        <v>0</v>
      </c>
      <c r="BU838" s="1">
        <v>2E-3</v>
      </c>
      <c r="BV838" s="1">
        <v>0</v>
      </c>
      <c r="BW838" s="1">
        <v>0</v>
      </c>
      <c r="BX838" s="1">
        <v>1E-3</v>
      </c>
      <c r="BY838" s="1">
        <v>1E-3</v>
      </c>
      <c r="BZ838" s="1">
        <v>6.0000000000000001E-3</v>
      </c>
      <c r="CA838" s="1">
        <v>0</v>
      </c>
      <c r="CB838" s="1">
        <v>7.0000000000000001E-3</v>
      </c>
      <c r="CC838" s="1">
        <v>1E-3</v>
      </c>
      <c r="CD838" s="1">
        <v>0</v>
      </c>
      <c r="CE838" s="1">
        <v>0</v>
      </c>
      <c r="CF838" s="1">
        <v>0</v>
      </c>
      <c r="CG838" s="1">
        <v>1E-3</v>
      </c>
      <c r="CH838" s="1">
        <v>0</v>
      </c>
      <c r="CI838" s="1">
        <v>0</v>
      </c>
      <c r="CJ838" s="1">
        <v>1E-3</v>
      </c>
      <c r="CK838" s="1">
        <v>0.187</v>
      </c>
      <c r="CL838" s="1">
        <v>0.70699999999999996</v>
      </c>
      <c r="CM838" s="1">
        <v>48.1050076</v>
      </c>
      <c r="CN838" s="83">
        <v>-66.606058039999994</v>
      </c>
    </row>
    <row r="839" spans="1:92" s="3" customFormat="1" x14ac:dyDescent="0.25">
      <c r="A839" s="72">
        <v>880</v>
      </c>
      <c r="B839" s="81" t="s">
        <v>1637</v>
      </c>
      <c r="C839" s="1" t="s">
        <v>83</v>
      </c>
      <c r="D839" s="1" t="s">
        <v>73</v>
      </c>
      <c r="E839" s="1" t="s">
        <v>74</v>
      </c>
      <c r="F839" s="1" t="s">
        <v>211</v>
      </c>
      <c r="G839" s="1" t="s">
        <v>76</v>
      </c>
      <c r="H839" s="1" t="s">
        <v>212</v>
      </c>
      <c r="I839" s="1"/>
      <c r="J839" s="9" t="s">
        <v>544</v>
      </c>
      <c r="K839" s="10">
        <v>0.38390933333333399</v>
      </c>
      <c r="L839" s="1" t="s">
        <v>76</v>
      </c>
      <c r="M839" s="1" t="s">
        <v>506</v>
      </c>
      <c r="N839" s="1" t="s">
        <v>645</v>
      </c>
      <c r="O839" s="1" t="s">
        <v>68</v>
      </c>
      <c r="P839" s="82">
        <v>0.997</v>
      </c>
      <c r="Q839" s="1" t="s">
        <v>76</v>
      </c>
      <c r="R839" s="81" t="s">
        <v>171</v>
      </c>
      <c r="S839" s="1">
        <v>3</v>
      </c>
      <c r="T839" s="1" t="s">
        <v>120</v>
      </c>
      <c r="U839" s="1" t="s">
        <v>658</v>
      </c>
      <c r="V839" s="1" t="s">
        <v>655</v>
      </c>
      <c r="W839" s="1">
        <v>74</v>
      </c>
      <c r="X839" s="1" t="s">
        <v>76</v>
      </c>
      <c r="Y839" s="1" t="s">
        <v>645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3.0000000000000001E-3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0.997</v>
      </c>
      <c r="CL839" s="1">
        <v>0</v>
      </c>
      <c r="CM839" s="1">
        <v>26.1512797</v>
      </c>
      <c r="CN839" s="83">
        <v>-49.220084229999998</v>
      </c>
    </row>
    <row r="840" spans="1:92" s="3" customFormat="1" x14ac:dyDescent="0.25">
      <c r="A840" s="72">
        <v>881</v>
      </c>
      <c r="B840" s="81" t="s">
        <v>1023</v>
      </c>
      <c r="C840" s="1" t="s">
        <v>83</v>
      </c>
      <c r="D840" s="1" t="s">
        <v>73</v>
      </c>
      <c r="E840" s="1" t="s">
        <v>99</v>
      </c>
      <c r="F840" s="1" t="s">
        <v>128</v>
      </c>
      <c r="G840" s="1" t="s">
        <v>303</v>
      </c>
      <c r="H840" s="1" t="s">
        <v>570</v>
      </c>
      <c r="I840" s="1"/>
      <c r="J840" s="9" t="s">
        <v>544</v>
      </c>
      <c r="K840" s="10">
        <v>0.47704283333333303</v>
      </c>
      <c r="L840" s="1" t="s">
        <v>76</v>
      </c>
      <c r="M840" s="1" t="s">
        <v>506</v>
      </c>
      <c r="N840" s="1" t="s">
        <v>645</v>
      </c>
      <c r="O840" s="1" t="s">
        <v>55</v>
      </c>
      <c r="P840" s="82">
        <v>1</v>
      </c>
      <c r="Q840" s="1" t="s">
        <v>76</v>
      </c>
      <c r="R840" s="81" t="s">
        <v>87</v>
      </c>
      <c r="S840" s="1">
        <v>3</v>
      </c>
      <c r="T840" s="1" t="s">
        <v>78</v>
      </c>
      <c r="U840" s="1" t="s">
        <v>658</v>
      </c>
      <c r="V840" s="1" t="s">
        <v>655</v>
      </c>
      <c r="W840" s="1">
        <v>19</v>
      </c>
      <c r="X840" s="1" t="s">
        <v>423</v>
      </c>
      <c r="Y840" s="1" t="s">
        <v>645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1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49.581676469999998</v>
      </c>
      <c r="CN840" s="83">
        <v>27.054769159999999</v>
      </c>
    </row>
    <row r="841" spans="1:92" s="3" customFormat="1" x14ac:dyDescent="0.25">
      <c r="A841" s="72">
        <v>882</v>
      </c>
      <c r="B841" s="81" t="s">
        <v>1096</v>
      </c>
      <c r="C841" s="1" t="s">
        <v>83</v>
      </c>
      <c r="D841" s="1" t="s">
        <v>73</v>
      </c>
      <c r="E841" s="1" t="s">
        <v>99</v>
      </c>
      <c r="F841" s="1" t="s">
        <v>128</v>
      </c>
      <c r="G841" s="1" t="s">
        <v>182</v>
      </c>
      <c r="H841" s="1" t="s">
        <v>570</v>
      </c>
      <c r="I841" s="1"/>
      <c r="J841" s="9" t="s">
        <v>544</v>
      </c>
      <c r="K841" s="10">
        <v>0.56505983333333298</v>
      </c>
      <c r="L841" s="1" t="s">
        <v>76</v>
      </c>
      <c r="M841" s="1" t="s">
        <v>506</v>
      </c>
      <c r="N841" s="1" t="s">
        <v>645</v>
      </c>
      <c r="O841" s="1" t="s">
        <v>55</v>
      </c>
      <c r="P841" s="82">
        <v>1</v>
      </c>
      <c r="Q841" s="1" t="s">
        <v>76</v>
      </c>
      <c r="R841" s="81" t="s">
        <v>427</v>
      </c>
      <c r="S841" s="1">
        <v>3</v>
      </c>
      <c r="T841" s="1" t="s">
        <v>78</v>
      </c>
      <c r="U841" s="1" t="s">
        <v>658</v>
      </c>
      <c r="V841" s="1" t="s">
        <v>655</v>
      </c>
      <c r="W841" s="1">
        <v>16</v>
      </c>
      <c r="X841" s="1" t="s">
        <v>437</v>
      </c>
      <c r="Y841" s="1" t="s">
        <v>645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1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59.712463249999999</v>
      </c>
      <c r="CN841" s="83">
        <v>21.641326070000002</v>
      </c>
    </row>
    <row r="842" spans="1:92" s="3" customFormat="1" x14ac:dyDescent="0.25">
      <c r="A842" s="72">
        <v>883</v>
      </c>
      <c r="B842" s="81" t="s">
        <v>1019</v>
      </c>
      <c r="C842" s="1" t="s">
        <v>83</v>
      </c>
      <c r="D842" s="1" t="s">
        <v>73</v>
      </c>
      <c r="E842" s="1" t="s">
        <v>74</v>
      </c>
      <c r="F842" s="1" t="s">
        <v>128</v>
      </c>
      <c r="G842" s="1" t="s">
        <v>303</v>
      </c>
      <c r="H842" s="1" t="s">
        <v>570</v>
      </c>
      <c r="I842" s="1"/>
      <c r="J842" s="9" t="s">
        <v>544</v>
      </c>
      <c r="K842" s="10">
        <v>0.46608516666666699</v>
      </c>
      <c r="L842" s="1" t="s">
        <v>76</v>
      </c>
      <c r="M842" s="1" t="s">
        <v>506</v>
      </c>
      <c r="N842" s="1" t="s">
        <v>645</v>
      </c>
      <c r="O842" s="1" t="s">
        <v>55</v>
      </c>
      <c r="P842" s="82">
        <v>1</v>
      </c>
      <c r="Q842" s="1" t="s">
        <v>76</v>
      </c>
      <c r="R842" s="81" t="s">
        <v>427</v>
      </c>
      <c r="S842" s="1">
        <v>3</v>
      </c>
      <c r="T842" s="1" t="s">
        <v>78</v>
      </c>
      <c r="U842" s="1" t="s">
        <v>658</v>
      </c>
      <c r="V842" s="1" t="s">
        <v>655</v>
      </c>
      <c r="W842" s="1">
        <v>7</v>
      </c>
      <c r="X842" s="1" t="s">
        <v>170</v>
      </c>
      <c r="Y842" s="1" t="s">
        <v>645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1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34.63933033</v>
      </c>
      <c r="CN842" s="83">
        <v>13.867652720000001</v>
      </c>
    </row>
    <row r="843" spans="1:92" s="3" customFormat="1" x14ac:dyDescent="0.25">
      <c r="A843" s="72">
        <v>884</v>
      </c>
      <c r="B843" s="81" t="s">
        <v>1022</v>
      </c>
      <c r="C843" s="1" t="s">
        <v>83</v>
      </c>
      <c r="D843" s="1" t="s">
        <v>73</v>
      </c>
      <c r="E843" s="1" t="s">
        <v>74</v>
      </c>
      <c r="F843" s="1" t="s">
        <v>561</v>
      </c>
      <c r="G843" s="1" t="s">
        <v>303</v>
      </c>
      <c r="H843" s="1" t="s">
        <v>64</v>
      </c>
      <c r="I843" s="1" t="s">
        <v>558</v>
      </c>
      <c r="J843" s="9" t="s">
        <v>544</v>
      </c>
      <c r="K843" s="10">
        <v>0.63590016666666604</v>
      </c>
      <c r="L843" s="1" t="s">
        <v>610</v>
      </c>
      <c r="M843" s="1" t="s">
        <v>544</v>
      </c>
      <c r="N843" s="1" t="s">
        <v>646</v>
      </c>
      <c r="O843" s="1" t="s">
        <v>64</v>
      </c>
      <c r="P843" s="82">
        <v>1</v>
      </c>
      <c r="Q843" s="1" t="s">
        <v>76</v>
      </c>
      <c r="R843" s="81" t="s">
        <v>447</v>
      </c>
      <c r="S843" s="1">
        <v>3</v>
      </c>
      <c r="T843" s="1" t="s">
        <v>120</v>
      </c>
      <c r="U843" s="1" t="s">
        <v>658</v>
      </c>
      <c r="V843" s="1" t="s">
        <v>655</v>
      </c>
      <c r="W843" s="1">
        <v>80</v>
      </c>
      <c r="X843" s="1" t="s">
        <v>170</v>
      </c>
      <c r="Y843" s="1" t="s">
        <v>646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1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-51.984373789999999</v>
      </c>
      <c r="CN843" s="83">
        <v>31.649876039999999</v>
      </c>
    </row>
    <row r="844" spans="1:92" s="3" customFormat="1" x14ac:dyDescent="0.25">
      <c r="A844" s="72">
        <v>885</v>
      </c>
      <c r="B844" s="81" t="s">
        <v>970</v>
      </c>
      <c r="C844" s="1" t="s">
        <v>83</v>
      </c>
      <c r="D844" s="1" t="s">
        <v>73</v>
      </c>
      <c r="E844" s="1" t="s">
        <v>99</v>
      </c>
      <c r="F844" s="1" t="s">
        <v>128</v>
      </c>
      <c r="G844" s="1" t="s">
        <v>303</v>
      </c>
      <c r="H844" s="1" t="s">
        <v>570</v>
      </c>
      <c r="I844" s="1"/>
      <c r="J844" s="9" t="s">
        <v>544</v>
      </c>
      <c r="K844" s="10">
        <v>0.58324033333333303</v>
      </c>
      <c r="L844" s="1" t="s">
        <v>76</v>
      </c>
      <c r="M844" s="1" t="s">
        <v>506</v>
      </c>
      <c r="N844" s="1" t="s">
        <v>645</v>
      </c>
      <c r="O844" s="1" t="s">
        <v>55</v>
      </c>
      <c r="P844" s="82">
        <v>0.995</v>
      </c>
      <c r="Q844" s="1" t="s">
        <v>76</v>
      </c>
      <c r="R844" s="81" t="s">
        <v>427</v>
      </c>
      <c r="S844" s="1">
        <v>3</v>
      </c>
      <c r="T844" s="1" t="s">
        <v>78</v>
      </c>
      <c r="U844" s="1" t="s">
        <v>658</v>
      </c>
      <c r="V844" s="1" t="s">
        <v>655</v>
      </c>
      <c r="W844" s="1">
        <v>36</v>
      </c>
      <c r="X844" s="1" t="s">
        <v>423</v>
      </c>
      <c r="Y844" s="1" t="s">
        <v>645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0.995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57.290945239999999</v>
      </c>
      <c r="CN844" s="83">
        <v>17.718045579999998</v>
      </c>
    </row>
    <row r="845" spans="1:92" s="3" customFormat="1" x14ac:dyDescent="0.25">
      <c r="A845" s="72">
        <v>886</v>
      </c>
      <c r="B845" s="81" t="s">
        <v>1018</v>
      </c>
      <c r="C845" s="1" t="s">
        <v>83</v>
      </c>
      <c r="D845" s="1" t="s">
        <v>73</v>
      </c>
      <c r="E845" s="1" t="s">
        <v>99</v>
      </c>
      <c r="F845" s="1" t="s">
        <v>128</v>
      </c>
      <c r="G845" s="1" t="s">
        <v>250</v>
      </c>
      <c r="H845" s="1" t="s">
        <v>570</v>
      </c>
      <c r="I845" s="1"/>
      <c r="J845" s="9" t="s">
        <v>544</v>
      </c>
      <c r="K845" s="10">
        <v>0.59038499999999905</v>
      </c>
      <c r="L845" s="1" t="s">
        <v>641</v>
      </c>
      <c r="M845" s="1" t="s">
        <v>76</v>
      </c>
      <c r="N845" s="1" t="s">
        <v>649</v>
      </c>
      <c r="O845" s="1" t="s">
        <v>55</v>
      </c>
      <c r="P845" s="82">
        <v>0.84499999999999997</v>
      </c>
      <c r="Q845" s="1" t="s">
        <v>76</v>
      </c>
      <c r="R845" s="81" t="s">
        <v>114</v>
      </c>
      <c r="S845" s="1">
        <v>3</v>
      </c>
      <c r="T845" s="1" t="s">
        <v>120</v>
      </c>
      <c r="U845" s="1" t="s">
        <v>659</v>
      </c>
      <c r="V845" s="1" t="s">
        <v>655</v>
      </c>
      <c r="W845" s="1">
        <v>29</v>
      </c>
      <c r="X845" s="1" t="s">
        <v>423</v>
      </c>
      <c r="Y845" s="1" t="s">
        <v>649</v>
      </c>
      <c r="Z845" s="1">
        <v>1E-3</v>
      </c>
      <c r="AA845" s="1">
        <v>1E-3</v>
      </c>
      <c r="AB845" s="1">
        <v>1E-3</v>
      </c>
      <c r="AC845" s="1">
        <v>3.0000000000000001E-3</v>
      </c>
      <c r="AD845" s="1">
        <v>1E-3</v>
      </c>
      <c r="AE845" s="1">
        <v>1E-3</v>
      </c>
      <c r="AF845" s="1">
        <v>1E-3</v>
      </c>
      <c r="AG845" s="1">
        <v>0</v>
      </c>
      <c r="AH845" s="1">
        <v>2E-3</v>
      </c>
      <c r="AI845" s="1">
        <v>0</v>
      </c>
      <c r="AJ845" s="1">
        <v>1E-3</v>
      </c>
      <c r="AK845" s="1">
        <v>6.0000000000000001E-3</v>
      </c>
      <c r="AL845" s="1">
        <v>1.4999999999999999E-2</v>
      </c>
      <c r="AM845" s="1">
        <v>3.0000000000000001E-3</v>
      </c>
      <c r="AN845" s="1">
        <v>2E-3</v>
      </c>
      <c r="AO845" s="1">
        <v>1E-3</v>
      </c>
      <c r="AP845" s="1">
        <v>1E-3</v>
      </c>
      <c r="AQ845" s="1">
        <v>0</v>
      </c>
      <c r="AR845" s="1">
        <v>2E-3</v>
      </c>
      <c r="AS845" s="1">
        <v>2E-3</v>
      </c>
      <c r="AT845" s="1">
        <v>1E-3</v>
      </c>
      <c r="AU845" s="1">
        <v>1E-3</v>
      </c>
      <c r="AV845" s="1">
        <v>1E-3</v>
      </c>
      <c r="AW845" s="1">
        <v>3.0000000000000001E-3</v>
      </c>
      <c r="AX845" s="1">
        <v>2E-3</v>
      </c>
      <c r="AY845" s="1">
        <v>1E-3</v>
      </c>
      <c r="AZ845" s="1">
        <v>2E-3</v>
      </c>
      <c r="BA845" s="1">
        <v>2E-3</v>
      </c>
      <c r="BB845" s="1">
        <v>2E-3</v>
      </c>
      <c r="BC845" s="1">
        <v>1E-3</v>
      </c>
      <c r="BD845" s="1">
        <v>2E-3</v>
      </c>
      <c r="BE845" s="1">
        <v>1E-3</v>
      </c>
      <c r="BF845" s="1">
        <v>0</v>
      </c>
      <c r="BG845" s="1">
        <v>0</v>
      </c>
      <c r="BH845" s="1">
        <v>0</v>
      </c>
      <c r="BI845" s="1">
        <v>1E-3</v>
      </c>
      <c r="BJ845" s="1">
        <v>0</v>
      </c>
      <c r="BK845" s="1">
        <v>0</v>
      </c>
      <c r="BL845" s="1">
        <v>1.2E-2</v>
      </c>
      <c r="BM845" s="1">
        <v>1E-3</v>
      </c>
      <c r="BN845" s="1">
        <v>1E-3</v>
      </c>
      <c r="BO845" s="1">
        <v>1E-3</v>
      </c>
      <c r="BP845" s="1">
        <v>0</v>
      </c>
      <c r="BQ845" s="1">
        <v>2E-3</v>
      </c>
      <c r="BR845" s="1">
        <v>1E-3</v>
      </c>
      <c r="BS845" s="1">
        <v>2E-3</v>
      </c>
      <c r="BT845" s="1">
        <v>0</v>
      </c>
      <c r="BU845" s="1">
        <v>0</v>
      </c>
      <c r="BV845" s="1">
        <v>1E-3</v>
      </c>
      <c r="BW845" s="1">
        <v>1E-3</v>
      </c>
      <c r="BX845" s="1">
        <v>0.84499999999999997</v>
      </c>
      <c r="BY845" s="1">
        <v>2E-3</v>
      </c>
      <c r="BZ845" s="1">
        <v>3.0000000000000001E-3</v>
      </c>
      <c r="CA845" s="1">
        <v>1E-3</v>
      </c>
      <c r="CB845" s="1">
        <v>0</v>
      </c>
      <c r="CC845" s="1">
        <v>1E-3</v>
      </c>
      <c r="CD845" s="1">
        <v>0</v>
      </c>
      <c r="CE845" s="1">
        <v>1E-3</v>
      </c>
      <c r="CF845" s="1">
        <v>1E-3</v>
      </c>
      <c r="CG845" s="1">
        <v>2E-3</v>
      </c>
      <c r="CH845" s="1">
        <v>1E-3</v>
      </c>
      <c r="CI845" s="1">
        <v>1E-3</v>
      </c>
      <c r="CJ845" s="1">
        <v>2E-3</v>
      </c>
      <c r="CK845" s="1">
        <v>4.9000000000000002E-2</v>
      </c>
      <c r="CL845" s="1">
        <v>3.0000000000000001E-3</v>
      </c>
      <c r="CM845" s="1">
        <v>66.796606699999998</v>
      </c>
      <c r="CN845" s="83">
        <v>-3.0915519709999999</v>
      </c>
    </row>
    <row r="846" spans="1:92" s="3" customFormat="1" x14ac:dyDescent="0.25">
      <c r="A846" s="72">
        <v>887</v>
      </c>
      <c r="B846" s="81" t="s">
        <v>1189</v>
      </c>
      <c r="C846" s="1" t="s">
        <v>83</v>
      </c>
      <c r="D846" s="1" t="s">
        <v>73</v>
      </c>
      <c r="E846" s="1" t="s">
        <v>74</v>
      </c>
      <c r="F846" s="1" t="s">
        <v>97</v>
      </c>
      <c r="G846" s="1" t="s">
        <v>76</v>
      </c>
      <c r="H846" s="1" t="s">
        <v>97</v>
      </c>
      <c r="I846" s="1"/>
      <c r="J846" s="9" t="s">
        <v>506</v>
      </c>
      <c r="K846" s="10">
        <v>0.55679383333333299</v>
      </c>
      <c r="L846" s="1" t="s">
        <v>641</v>
      </c>
      <c r="M846" s="1" t="s">
        <v>76</v>
      </c>
      <c r="N846" s="1" t="s">
        <v>644</v>
      </c>
      <c r="O846" s="1" t="s">
        <v>53</v>
      </c>
      <c r="P846" s="82">
        <v>0.316</v>
      </c>
      <c r="Q846" s="1" t="s">
        <v>76</v>
      </c>
      <c r="R846" s="81" t="s">
        <v>104</v>
      </c>
      <c r="S846" s="1" t="s">
        <v>76</v>
      </c>
      <c r="T846" s="1" t="s">
        <v>78</v>
      </c>
      <c r="U846" s="1" t="s">
        <v>658</v>
      </c>
      <c r="V846" s="1" t="s">
        <v>655</v>
      </c>
      <c r="W846" s="1">
        <v>38</v>
      </c>
      <c r="X846" s="1" t="s">
        <v>423</v>
      </c>
      <c r="Y846" s="1" t="s">
        <v>644</v>
      </c>
      <c r="Z846" s="1">
        <v>1E-3</v>
      </c>
      <c r="AA846" s="1">
        <v>4.0000000000000001E-3</v>
      </c>
      <c r="AB846" s="1">
        <v>3.0000000000000001E-3</v>
      </c>
      <c r="AC846" s="1">
        <v>3.2000000000000001E-2</v>
      </c>
      <c r="AD846" s="1">
        <v>3.0000000000000001E-3</v>
      </c>
      <c r="AE846" s="1">
        <v>3.0000000000000001E-3</v>
      </c>
      <c r="AF846" s="1">
        <v>3.0000000000000001E-3</v>
      </c>
      <c r="AG846" s="1">
        <v>1E-3</v>
      </c>
      <c r="AH846" s="1">
        <v>1.4E-2</v>
      </c>
      <c r="AI846" s="1">
        <v>1E-3</v>
      </c>
      <c r="AJ846" s="1">
        <v>2E-3</v>
      </c>
      <c r="AK846" s="1">
        <v>2.5999999999999999E-2</v>
      </c>
      <c r="AL846" s="1">
        <v>1E-3</v>
      </c>
      <c r="AM846" s="1">
        <v>2E-3</v>
      </c>
      <c r="AN846" s="1">
        <v>2E-3</v>
      </c>
      <c r="AO846" s="1">
        <v>4.5999999999999999E-2</v>
      </c>
      <c r="AP846" s="1">
        <v>3.0000000000000001E-3</v>
      </c>
      <c r="AQ846" s="1">
        <v>3.0000000000000001E-3</v>
      </c>
      <c r="AR846" s="1">
        <v>2E-3</v>
      </c>
      <c r="AS846" s="1">
        <v>7.0999999999999994E-2</v>
      </c>
      <c r="AT846" s="1">
        <v>2.5999999999999999E-2</v>
      </c>
      <c r="AU846" s="1">
        <v>3.0000000000000001E-3</v>
      </c>
      <c r="AV846" s="1">
        <v>2E-3</v>
      </c>
      <c r="AW846" s="1">
        <v>0.01</v>
      </c>
      <c r="AX846" s="1">
        <v>3.0000000000000001E-3</v>
      </c>
      <c r="AY846" s="1">
        <v>6.0000000000000001E-3</v>
      </c>
      <c r="AZ846" s="1">
        <v>6.0000000000000001E-3</v>
      </c>
      <c r="BA846" s="1">
        <v>1.2999999999999999E-2</v>
      </c>
      <c r="BB846" s="1">
        <v>5.0000000000000001E-3</v>
      </c>
      <c r="BC846" s="1">
        <v>2E-3</v>
      </c>
      <c r="BD846" s="1">
        <v>2.1000000000000001E-2</v>
      </c>
      <c r="BE846" s="1">
        <v>2E-3</v>
      </c>
      <c r="BF846" s="1">
        <v>1E-3</v>
      </c>
      <c r="BG846" s="1">
        <v>5.0000000000000001E-3</v>
      </c>
      <c r="BH846" s="1">
        <v>4.0000000000000001E-3</v>
      </c>
      <c r="BI846" s="1">
        <v>4.0000000000000001E-3</v>
      </c>
      <c r="BJ846" s="1">
        <v>1E-3</v>
      </c>
      <c r="BK846" s="1">
        <v>2E-3</v>
      </c>
      <c r="BL846" s="1">
        <v>8.0000000000000002E-3</v>
      </c>
      <c r="BM846" s="1">
        <v>3.0000000000000001E-3</v>
      </c>
      <c r="BN846" s="1">
        <v>8.0000000000000002E-3</v>
      </c>
      <c r="BO846" s="1">
        <v>2E-3</v>
      </c>
      <c r="BP846" s="1">
        <v>1E-3</v>
      </c>
      <c r="BQ846" s="1">
        <v>8.9999999999999993E-3</v>
      </c>
      <c r="BR846" s="1">
        <v>4.0000000000000001E-3</v>
      </c>
      <c r="BS846" s="1">
        <v>2E-3</v>
      </c>
      <c r="BT846" s="1">
        <v>2E-3</v>
      </c>
      <c r="BU846" s="1">
        <v>1E-3</v>
      </c>
      <c r="BV846" s="1">
        <v>0.316</v>
      </c>
      <c r="BW846" s="1">
        <v>5.0000000000000001E-3</v>
      </c>
      <c r="BX846" s="1">
        <v>7.2999999999999995E-2</v>
      </c>
      <c r="BY846" s="1">
        <v>1.2999999999999999E-2</v>
      </c>
      <c r="BZ846" s="1">
        <v>5.0000000000000001E-3</v>
      </c>
      <c r="CA846" s="1">
        <v>4.0000000000000001E-3</v>
      </c>
      <c r="CB846" s="1">
        <v>1E-3</v>
      </c>
      <c r="CC846" s="1">
        <v>5.0000000000000001E-3</v>
      </c>
      <c r="CD846" s="1">
        <v>0</v>
      </c>
      <c r="CE846" s="1">
        <v>3.0000000000000001E-3</v>
      </c>
      <c r="CF846" s="1">
        <v>6.0000000000000001E-3</v>
      </c>
      <c r="CG846" s="1">
        <v>2.9000000000000001E-2</v>
      </c>
      <c r="CH846" s="1">
        <v>1.2E-2</v>
      </c>
      <c r="CI846" s="1">
        <v>8.0000000000000002E-3</v>
      </c>
      <c r="CJ846" s="1">
        <v>2.5000000000000001E-2</v>
      </c>
      <c r="CK846" s="1">
        <v>0.105</v>
      </c>
      <c r="CL846" s="1">
        <v>8.9999999999999993E-3</v>
      </c>
      <c r="CM846" s="1">
        <v>37.286931180000003</v>
      </c>
      <c r="CN846" s="83">
        <v>16.49504121</v>
      </c>
    </row>
    <row r="847" spans="1:92" s="3" customFormat="1" hidden="1" x14ac:dyDescent="0.25">
      <c r="A847" s="72">
        <v>888</v>
      </c>
      <c r="B847" s="81" t="s">
        <v>1703</v>
      </c>
      <c r="C847" s="1" t="s">
        <v>83</v>
      </c>
      <c r="D847" s="1" t="s">
        <v>73</v>
      </c>
      <c r="E847" s="1" t="s">
        <v>76</v>
      </c>
      <c r="F847" s="1" t="s">
        <v>426</v>
      </c>
      <c r="G847" s="1" t="s">
        <v>76</v>
      </c>
      <c r="H847" s="1" t="s">
        <v>537</v>
      </c>
      <c r="I847" s="1"/>
      <c r="J847" s="9" t="s">
        <v>544</v>
      </c>
      <c r="K847" s="10">
        <v>0.33005900000000099</v>
      </c>
      <c r="L847" s="1" t="s">
        <v>540</v>
      </c>
      <c r="M847" s="1" t="s">
        <v>76</v>
      </c>
      <c r="N847" s="1" t="s">
        <v>644</v>
      </c>
      <c r="O847" s="1" t="s">
        <v>39</v>
      </c>
      <c r="P847" s="82">
        <v>0.89200000000000002</v>
      </c>
      <c r="Q847" s="1" t="s">
        <v>76</v>
      </c>
      <c r="R847" s="81" t="s">
        <v>424</v>
      </c>
      <c r="S847" s="1" t="s">
        <v>76</v>
      </c>
      <c r="T847" s="1" t="s">
        <v>76</v>
      </c>
      <c r="U847" s="1" t="s">
        <v>76</v>
      </c>
      <c r="V847" s="1" t="s">
        <v>655</v>
      </c>
      <c r="W847" s="1" t="s">
        <v>269</v>
      </c>
      <c r="X847" s="1" t="s">
        <v>76</v>
      </c>
      <c r="Y847" s="1" t="s">
        <v>648</v>
      </c>
      <c r="Z847" s="1">
        <v>1E-3</v>
      </c>
      <c r="AA847" s="1">
        <v>1E-3</v>
      </c>
      <c r="AB847" s="1">
        <v>1E-3</v>
      </c>
      <c r="AC847" s="1">
        <v>1.7999999999999999E-2</v>
      </c>
      <c r="AD847" s="1">
        <v>1E-3</v>
      </c>
      <c r="AE847" s="1">
        <v>1E-3</v>
      </c>
      <c r="AF847" s="1">
        <v>1E-3</v>
      </c>
      <c r="AG847" s="1">
        <v>0</v>
      </c>
      <c r="AH847" s="1">
        <v>4.0000000000000001E-3</v>
      </c>
      <c r="AI847" s="1">
        <v>1E-3</v>
      </c>
      <c r="AJ847" s="1">
        <v>0</v>
      </c>
      <c r="AK847" s="1">
        <v>2E-3</v>
      </c>
      <c r="AL847" s="1">
        <v>0</v>
      </c>
      <c r="AM847" s="1">
        <v>1E-3</v>
      </c>
      <c r="AN847" s="1">
        <v>2E-3</v>
      </c>
      <c r="AO847" s="1">
        <v>2E-3</v>
      </c>
      <c r="AP847" s="1">
        <v>7.0000000000000001E-3</v>
      </c>
      <c r="AQ847" s="1">
        <v>0</v>
      </c>
      <c r="AR847" s="1">
        <v>0</v>
      </c>
      <c r="AS847" s="1">
        <v>3.0000000000000001E-3</v>
      </c>
      <c r="AT847" s="1">
        <v>2E-3</v>
      </c>
      <c r="AU847" s="1">
        <v>1E-3</v>
      </c>
      <c r="AV847" s="1">
        <v>1E-3</v>
      </c>
      <c r="AW847" s="1">
        <v>1E-3</v>
      </c>
      <c r="AX847" s="1">
        <v>1E-3</v>
      </c>
      <c r="AY847" s="1">
        <v>2E-3</v>
      </c>
      <c r="AZ847" s="1">
        <v>1E-3</v>
      </c>
      <c r="BA847" s="1">
        <v>4.0000000000000001E-3</v>
      </c>
      <c r="BB847" s="1">
        <v>1E-3</v>
      </c>
      <c r="BC847" s="1">
        <v>0</v>
      </c>
      <c r="BD847" s="1">
        <v>5.0000000000000001E-3</v>
      </c>
      <c r="BE847" s="1">
        <v>1E-3</v>
      </c>
      <c r="BF847" s="1">
        <v>2E-3</v>
      </c>
      <c r="BG847" s="1">
        <v>1E-3</v>
      </c>
      <c r="BH847" s="1">
        <v>0.89200000000000002</v>
      </c>
      <c r="BI847" s="1">
        <v>0</v>
      </c>
      <c r="BJ847" s="1">
        <v>0</v>
      </c>
      <c r="BK847" s="1">
        <v>0</v>
      </c>
      <c r="BL847" s="1">
        <v>1E-3</v>
      </c>
      <c r="BM847" s="1">
        <v>1E-3</v>
      </c>
      <c r="BN847" s="1">
        <v>1E-3</v>
      </c>
      <c r="BO847" s="1">
        <v>0</v>
      </c>
      <c r="BP847" s="1">
        <v>0</v>
      </c>
      <c r="BQ847" s="1">
        <v>2E-3</v>
      </c>
      <c r="BR847" s="1">
        <v>1E-3</v>
      </c>
      <c r="BS847" s="1">
        <v>0</v>
      </c>
      <c r="BT847" s="1">
        <v>0</v>
      </c>
      <c r="BU847" s="1">
        <v>1E-3</v>
      </c>
      <c r="BV847" s="1">
        <v>0</v>
      </c>
      <c r="BW847" s="1">
        <v>1E-3</v>
      </c>
      <c r="BX847" s="1">
        <v>4.0000000000000001E-3</v>
      </c>
      <c r="BY847" s="1">
        <v>3.0000000000000001E-3</v>
      </c>
      <c r="BZ847" s="1">
        <v>1E-3</v>
      </c>
      <c r="CA847" s="1">
        <v>1E-3</v>
      </c>
      <c r="CB847" s="1">
        <v>0</v>
      </c>
      <c r="CC847" s="1">
        <v>1E-3</v>
      </c>
      <c r="CD847" s="1">
        <v>0</v>
      </c>
      <c r="CE847" s="1">
        <v>1E-3</v>
      </c>
      <c r="CF847" s="1">
        <v>1E-3</v>
      </c>
      <c r="CG847" s="1">
        <v>1E-3</v>
      </c>
      <c r="CH847" s="1">
        <v>2E-3</v>
      </c>
      <c r="CI847" s="1">
        <v>2E-3</v>
      </c>
      <c r="CJ847" s="1">
        <v>2E-3</v>
      </c>
      <c r="CK847" s="1">
        <v>8.9999999999999993E-3</v>
      </c>
      <c r="CL847" s="1">
        <v>2E-3</v>
      </c>
      <c r="CM847" s="1">
        <v>-31.542635529999998</v>
      </c>
      <c r="CN847" s="83">
        <v>-66.197325930000005</v>
      </c>
    </row>
    <row r="848" spans="1:92" s="3" customFormat="1" hidden="1" x14ac:dyDescent="0.25">
      <c r="A848" s="72">
        <v>889</v>
      </c>
      <c r="B848" s="81" t="s">
        <v>1687</v>
      </c>
      <c r="C848" s="1" t="s">
        <v>83</v>
      </c>
      <c r="D848" s="1" t="s">
        <v>301</v>
      </c>
      <c r="E848" s="1" t="s">
        <v>99</v>
      </c>
      <c r="F848" s="1" t="s">
        <v>301</v>
      </c>
      <c r="G848" s="1" t="s">
        <v>76</v>
      </c>
      <c r="H848" s="1" t="s">
        <v>537</v>
      </c>
      <c r="I848" s="1"/>
      <c r="J848" s="9" t="s">
        <v>544</v>
      </c>
      <c r="K848" s="10">
        <v>0.30754466666666802</v>
      </c>
      <c r="L848" s="1" t="s">
        <v>76</v>
      </c>
      <c r="M848" s="1" t="s">
        <v>506</v>
      </c>
      <c r="N848" s="1" t="s">
        <v>645</v>
      </c>
      <c r="O848" s="1" t="s">
        <v>21</v>
      </c>
      <c r="P848" s="82">
        <v>0.99299999999999999</v>
      </c>
      <c r="Q848" s="1" t="s">
        <v>76</v>
      </c>
      <c r="R848" s="81" t="s">
        <v>269</v>
      </c>
      <c r="S848" s="1" t="s">
        <v>76</v>
      </c>
      <c r="T848" s="1" t="s">
        <v>269</v>
      </c>
      <c r="U848" s="1" t="s">
        <v>76</v>
      </c>
      <c r="V848" s="1" t="s">
        <v>656</v>
      </c>
      <c r="W848" s="1">
        <v>49</v>
      </c>
      <c r="X848" s="1" t="s">
        <v>167</v>
      </c>
      <c r="Y848" s="1" t="s">
        <v>645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0.99299999999999999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-64.210609250000005</v>
      </c>
      <c r="CN848" s="83">
        <v>-80.408059710000003</v>
      </c>
    </row>
    <row r="849" spans="1:92" s="3" customFormat="1" x14ac:dyDescent="0.25">
      <c r="A849" s="72">
        <v>890</v>
      </c>
      <c r="B849" s="81" t="s">
        <v>825</v>
      </c>
      <c r="C849" s="1" t="s">
        <v>83</v>
      </c>
      <c r="D849" s="1" t="s">
        <v>73</v>
      </c>
      <c r="E849" s="1" t="s">
        <v>74</v>
      </c>
      <c r="F849" s="1" t="s">
        <v>128</v>
      </c>
      <c r="G849" s="1" t="s">
        <v>168</v>
      </c>
      <c r="H849" s="1" t="s">
        <v>534</v>
      </c>
      <c r="I849" s="1"/>
      <c r="J849" s="9" t="s">
        <v>506</v>
      </c>
      <c r="K849" s="10">
        <v>0.49205133333333301</v>
      </c>
      <c r="L849" s="1" t="s">
        <v>641</v>
      </c>
      <c r="M849" s="1" t="s">
        <v>76</v>
      </c>
      <c r="N849" s="1" t="s">
        <v>644</v>
      </c>
      <c r="O849" s="1" t="s">
        <v>68</v>
      </c>
      <c r="P849" s="82">
        <v>0.86599999999999999</v>
      </c>
      <c r="Q849" s="1" t="s">
        <v>76</v>
      </c>
      <c r="R849" s="81" t="s">
        <v>169</v>
      </c>
      <c r="S849" s="1">
        <v>3</v>
      </c>
      <c r="T849" s="1" t="s">
        <v>120</v>
      </c>
      <c r="U849" s="1" t="s">
        <v>658</v>
      </c>
      <c r="V849" s="1" t="s">
        <v>654</v>
      </c>
      <c r="W849" s="1">
        <v>77</v>
      </c>
      <c r="X849" s="1" t="s">
        <v>423</v>
      </c>
      <c r="Y849" s="1" t="s">
        <v>644</v>
      </c>
      <c r="Z849" s="1">
        <v>2E-3</v>
      </c>
      <c r="AA849" s="1">
        <v>1E-3</v>
      </c>
      <c r="AB849" s="1">
        <v>1E-3</v>
      </c>
      <c r="AC849" s="1">
        <v>3.0000000000000001E-3</v>
      </c>
      <c r="AD849" s="1">
        <v>4.0000000000000001E-3</v>
      </c>
      <c r="AE849" s="1">
        <v>2E-3</v>
      </c>
      <c r="AF849" s="1">
        <v>1E-3</v>
      </c>
      <c r="AG849" s="1">
        <v>0</v>
      </c>
      <c r="AH849" s="1">
        <v>3.0000000000000001E-3</v>
      </c>
      <c r="AI849" s="1">
        <v>0</v>
      </c>
      <c r="AJ849" s="1">
        <v>1E-3</v>
      </c>
      <c r="AK849" s="1">
        <v>3.0000000000000001E-3</v>
      </c>
      <c r="AL849" s="1">
        <v>0</v>
      </c>
      <c r="AM849" s="1">
        <v>1E-3</v>
      </c>
      <c r="AN849" s="1">
        <v>1E-3</v>
      </c>
      <c r="AO849" s="1">
        <v>1E-3</v>
      </c>
      <c r="AP849" s="1">
        <v>1E-3</v>
      </c>
      <c r="AQ849" s="1">
        <v>1E-3</v>
      </c>
      <c r="AR849" s="1">
        <v>5.0000000000000001E-3</v>
      </c>
      <c r="AS849" s="1">
        <v>5.0000000000000001E-3</v>
      </c>
      <c r="AT849" s="1">
        <v>2E-3</v>
      </c>
      <c r="AU849" s="1">
        <v>3.0000000000000001E-3</v>
      </c>
      <c r="AV849" s="1">
        <v>1E-3</v>
      </c>
      <c r="AW849" s="1">
        <v>1E-3</v>
      </c>
      <c r="AX849" s="1">
        <v>3.0000000000000001E-3</v>
      </c>
      <c r="AY849" s="1">
        <v>1E-3</v>
      </c>
      <c r="AZ849" s="1">
        <v>3.0000000000000001E-3</v>
      </c>
      <c r="BA849" s="1">
        <v>4.0000000000000001E-3</v>
      </c>
      <c r="BB849" s="1">
        <v>1E-3</v>
      </c>
      <c r="BC849" s="1">
        <v>1E-3</v>
      </c>
      <c r="BD849" s="1">
        <v>4.0000000000000001E-3</v>
      </c>
      <c r="BE849" s="1">
        <v>2E-3</v>
      </c>
      <c r="BF849" s="1">
        <v>1E-3</v>
      </c>
      <c r="BG849" s="1">
        <v>1E-3</v>
      </c>
      <c r="BH849" s="1">
        <v>1E-3</v>
      </c>
      <c r="BI849" s="1">
        <v>1E-3</v>
      </c>
      <c r="BJ849" s="1">
        <v>0</v>
      </c>
      <c r="BK849" s="1">
        <v>1E-3</v>
      </c>
      <c r="BL849" s="1">
        <v>2E-3</v>
      </c>
      <c r="BM849" s="1">
        <v>1E-3</v>
      </c>
      <c r="BN849" s="1">
        <v>3.0000000000000001E-3</v>
      </c>
      <c r="BO849" s="1">
        <v>1E-3</v>
      </c>
      <c r="BP849" s="1">
        <v>1E-3</v>
      </c>
      <c r="BQ849" s="1">
        <v>2E-3</v>
      </c>
      <c r="BR849" s="1">
        <v>1E-3</v>
      </c>
      <c r="BS849" s="1">
        <v>4.0000000000000001E-3</v>
      </c>
      <c r="BT849" s="1">
        <v>0</v>
      </c>
      <c r="BU849" s="1">
        <v>1E-3</v>
      </c>
      <c r="BV849" s="1">
        <v>1E-3</v>
      </c>
      <c r="BW849" s="1">
        <v>1E-3</v>
      </c>
      <c r="BX849" s="1">
        <v>0.01</v>
      </c>
      <c r="BY849" s="1">
        <v>3.0000000000000001E-3</v>
      </c>
      <c r="BZ849" s="1">
        <v>8.9999999999999993E-3</v>
      </c>
      <c r="CA849" s="1">
        <v>3.0000000000000001E-3</v>
      </c>
      <c r="CB849" s="1">
        <v>5.0000000000000001E-3</v>
      </c>
      <c r="CC849" s="1">
        <v>2E-3</v>
      </c>
      <c r="CD849" s="1">
        <v>0</v>
      </c>
      <c r="CE849" s="1">
        <v>1E-3</v>
      </c>
      <c r="CF849" s="1">
        <v>1E-3</v>
      </c>
      <c r="CG849" s="1">
        <v>1E-3</v>
      </c>
      <c r="CH849" s="1">
        <v>3.0000000000000001E-3</v>
      </c>
      <c r="CI849" s="1">
        <v>1E-3</v>
      </c>
      <c r="CJ849" s="1">
        <v>3.0000000000000001E-3</v>
      </c>
      <c r="CK849" s="1">
        <v>0.86599999999999999</v>
      </c>
      <c r="CL849" s="1">
        <v>5.0000000000000001E-3</v>
      </c>
      <c r="CM849" s="1">
        <v>57.411436289999997</v>
      </c>
      <c r="CN849" s="83">
        <v>-52.722493729999997</v>
      </c>
    </row>
    <row r="850" spans="1:92" s="3" customFormat="1" x14ac:dyDescent="0.25">
      <c r="A850" s="72">
        <v>891</v>
      </c>
      <c r="B850" s="81" t="s">
        <v>769</v>
      </c>
      <c r="C850" s="1" t="s">
        <v>83</v>
      </c>
      <c r="D850" s="1" t="s">
        <v>73</v>
      </c>
      <c r="E850" s="1" t="s">
        <v>99</v>
      </c>
      <c r="F850" s="1" t="s">
        <v>128</v>
      </c>
      <c r="G850" s="1" t="s">
        <v>303</v>
      </c>
      <c r="H850" s="1" t="s">
        <v>570</v>
      </c>
      <c r="I850" s="1"/>
      <c r="J850" s="9" t="s">
        <v>544</v>
      </c>
      <c r="K850" s="10">
        <v>0.53655033333333302</v>
      </c>
      <c r="L850" s="1" t="s">
        <v>76</v>
      </c>
      <c r="M850" s="1" t="s">
        <v>506</v>
      </c>
      <c r="N850" s="1" t="s">
        <v>645</v>
      </c>
      <c r="O850" s="1" t="s">
        <v>55</v>
      </c>
      <c r="P850" s="82">
        <v>0.99299999999999999</v>
      </c>
      <c r="Q850" s="1" t="s">
        <v>76</v>
      </c>
      <c r="R850" s="81" t="s">
        <v>427</v>
      </c>
      <c r="S850" s="1">
        <v>3</v>
      </c>
      <c r="T850" s="1" t="s">
        <v>78</v>
      </c>
      <c r="U850" s="1" t="s">
        <v>658</v>
      </c>
      <c r="V850" s="1" t="s">
        <v>655</v>
      </c>
      <c r="W850" s="1">
        <v>22</v>
      </c>
      <c r="X850" s="1" t="s">
        <v>423</v>
      </c>
      <c r="Y850" s="1" t="s">
        <v>645</v>
      </c>
      <c r="Z850" s="1">
        <v>0</v>
      </c>
      <c r="AA850" s="1">
        <v>0</v>
      </c>
      <c r="AB850" s="1">
        <v>0</v>
      </c>
      <c r="AC850" s="1">
        <v>1E-3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0.99299999999999999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1E-3</v>
      </c>
      <c r="CL850" s="1">
        <v>0</v>
      </c>
      <c r="CM850" s="1">
        <v>50.111077420000001</v>
      </c>
      <c r="CN850" s="83">
        <v>16.213245529999998</v>
      </c>
    </row>
    <row r="851" spans="1:92" s="3" customFormat="1" x14ac:dyDescent="0.25">
      <c r="A851" s="72">
        <v>892</v>
      </c>
      <c r="B851" s="81" t="s">
        <v>813</v>
      </c>
      <c r="C851" s="1" t="s">
        <v>83</v>
      </c>
      <c r="D851" s="1" t="s">
        <v>73</v>
      </c>
      <c r="E851" s="1" t="s">
        <v>74</v>
      </c>
      <c r="F851" s="1" t="s">
        <v>128</v>
      </c>
      <c r="G851" s="1" t="s">
        <v>303</v>
      </c>
      <c r="H851" s="1" t="s">
        <v>570</v>
      </c>
      <c r="I851" s="1"/>
      <c r="J851" s="9" t="s">
        <v>544</v>
      </c>
      <c r="K851" s="10">
        <v>0.28703683333333402</v>
      </c>
      <c r="L851" s="1" t="s">
        <v>641</v>
      </c>
      <c r="M851" s="1" t="s">
        <v>76</v>
      </c>
      <c r="N851" s="1" t="s">
        <v>644</v>
      </c>
      <c r="O851" s="1" t="s">
        <v>37</v>
      </c>
      <c r="P851" s="82">
        <v>0.253</v>
      </c>
      <c r="Q851" s="1" t="s">
        <v>76</v>
      </c>
      <c r="R851" s="81" t="s">
        <v>151</v>
      </c>
      <c r="S851" s="1">
        <v>3</v>
      </c>
      <c r="T851" s="1" t="s">
        <v>78</v>
      </c>
      <c r="U851" s="1" t="s">
        <v>658</v>
      </c>
      <c r="V851" s="1" t="s">
        <v>655</v>
      </c>
      <c r="W851" s="1">
        <v>9</v>
      </c>
      <c r="X851" s="1" t="s">
        <v>423</v>
      </c>
      <c r="Y851" s="1" t="s">
        <v>644</v>
      </c>
      <c r="Z851" s="1">
        <v>0.15</v>
      </c>
      <c r="AA851" s="1">
        <v>3.0000000000000001E-3</v>
      </c>
      <c r="AB851" s="1">
        <v>3.0000000000000001E-3</v>
      </c>
      <c r="AC851" s="1">
        <v>0.02</v>
      </c>
      <c r="AD851" s="1">
        <v>8.9999999999999993E-3</v>
      </c>
      <c r="AE851" s="1">
        <v>3.0000000000000001E-3</v>
      </c>
      <c r="AF851" s="1">
        <v>4.0000000000000001E-3</v>
      </c>
      <c r="AG851" s="1">
        <v>0</v>
      </c>
      <c r="AH851" s="1">
        <v>1.7999999999999999E-2</v>
      </c>
      <c r="AI851" s="1">
        <v>3.0000000000000001E-3</v>
      </c>
      <c r="AJ851" s="1">
        <v>2E-3</v>
      </c>
      <c r="AK851" s="1">
        <v>3.0000000000000001E-3</v>
      </c>
      <c r="AL851" s="1">
        <v>0</v>
      </c>
      <c r="AM851" s="1">
        <v>2E-3</v>
      </c>
      <c r="AN851" s="1">
        <v>7.6999999999999999E-2</v>
      </c>
      <c r="AO851" s="1">
        <v>2E-3</v>
      </c>
      <c r="AP851" s="1">
        <v>2E-3</v>
      </c>
      <c r="AQ851" s="1">
        <v>2E-3</v>
      </c>
      <c r="AR851" s="1">
        <v>8.9999999999999993E-3</v>
      </c>
      <c r="AS851" s="1">
        <v>5.0000000000000001E-3</v>
      </c>
      <c r="AT851" s="1">
        <v>3.0000000000000001E-3</v>
      </c>
      <c r="AU851" s="1">
        <v>4.0000000000000001E-3</v>
      </c>
      <c r="AV851" s="1">
        <v>5.0000000000000001E-3</v>
      </c>
      <c r="AW851" s="1">
        <v>2E-3</v>
      </c>
      <c r="AX851" s="1">
        <v>5.0000000000000001E-3</v>
      </c>
      <c r="AY851" s="1">
        <v>6.0000000000000001E-3</v>
      </c>
      <c r="AZ851" s="1">
        <v>8.9999999999999993E-3</v>
      </c>
      <c r="BA851" s="1">
        <v>1.0999999999999999E-2</v>
      </c>
      <c r="BB851" s="1">
        <v>2E-3</v>
      </c>
      <c r="BC851" s="1">
        <v>2E-3</v>
      </c>
      <c r="BD851" s="1">
        <v>1.4E-2</v>
      </c>
      <c r="BE851" s="1">
        <v>2E-3</v>
      </c>
      <c r="BF851" s="1">
        <v>0.253</v>
      </c>
      <c r="BG851" s="1">
        <v>0</v>
      </c>
      <c r="BH851" s="1">
        <v>4.0000000000000001E-3</v>
      </c>
      <c r="BI851" s="1">
        <v>1E-3</v>
      </c>
      <c r="BJ851" s="1">
        <v>4.0000000000000001E-3</v>
      </c>
      <c r="BK851" s="1">
        <v>1E-3</v>
      </c>
      <c r="BL851" s="1">
        <v>2E-3</v>
      </c>
      <c r="BM851" s="1">
        <v>2E-3</v>
      </c>
      <c r="BN851" s="1">
        <v>3.0000000000000001E-3</v>
      </c>
      <c r="BO851" s="1">
        <v>2E-3</v>
      </c>
      <c r="BP851" s="1">
        <v>4.0000000000000001E-3</v>
      </c>
      <c r="BQ851" s="1">
        <v>3.0000000000000001E-3</v>
      </c>
      <c r="BR851" s="1">
        <v>2E-3</v>
      </c>
      <c r="BS851" s="1">
        <v>8.9999999999999993E-3</v>
      </c>
      <c r="BT851" s="1">
        <v>2E-3</v>
      </c>
      <c r="BU851" s="1">
        <v>0.14299999999999999</v>
      </c>
      <c r="BV851" s="1">
        <v>1E-3</v>
      </c>
      <c r="BW851" s="1">
        <v>2E-3</v>
      </c>
      <c r="BX851" s="1">
        <v>1.4999999999999999E-2</v>
      </c>
      <c r="BY851" s="1">
        <v>7.0000000000000001E-3</v>
      </c>
      <c r="BZ851" s="1">
        <v>7.0000000000000001E-3</v>
      </c>
      <c r="CA851" s="1">
        <v>4.0000000000000001E-3</v>
      </c>
      <c r="CB851" s="1">
        <v>2E-3</v>
      </c>
      <c r="CC851" s="1">
        <v>3.0000000000000001E-3</v>
      </c>
      <c r="CD851" s="1">
        <v>0</v>
      </c>
      <c r="CE851" s="1">
        <v>2E-3</v>
      </c>
      <c r="CF851" s="1">
        <v>3.0000000000000001E-3</v>
      </c>
      <c r="CG851" s="1">
        <v>4.0000000000000001E-3</v>
      </c>
      <c r="CH851" s="1">
        <v>3.0000000000000001E-3</v>
      </c>
      <c r="CI851" s="1">
        <v>4.0000000000000001E-3</v>
      </c>
      <c r="CJ851" s="1">
        <v>4.0000000000000001E-3</v>
      </c>
      <c r="CK851" s="1">
        <v>7.0000000000000007E-2</v>
      </c>
      <c r="CL851" s="1">
        <v>5.0999999999999997E-2</v>
      </c>
      <c r="CM851" s="1">
        <v>-26.318392790000001</v>
      </c>
      <c r="CN851" s="83">
        <v>-43.199217240000003</v>
      </c>
    </row>
    <row r="852" spans="1:92" s="3" customFormat="1" x14ac:dyDescent="0.25">
      <c r="A852" s="72">
        <v>893</v>
      </c>
      <c r="B852" s="81" t="s">
        <v>1016</v>
      </c>
      <c r="C852" s="1" t="s">
        <v>83</v>
      </c>
      <c r="D852" s="1" t="s">
        <v>73</v>
      </c>
      <c r="E852" s="1" t="s">
        <v>99</v>
      </c>
      <c r="F852" s="1" t="s">
        <v>128</v>
      </c>
      <c r="G852" s="1" t="s">
        <v>250</v>
      </c>
      <c r="H852" s="1" t="s">
        <v>570</v>
      </c>
      <c r="I852" s="1"/>
      <c r="J852" s="9" t="s">
        <v>544</v>
      </c>
      <c r="K852" s="10">
        <v>0.26884433333333402</v>
      </c>
      <c r="L852" s="1" t="s">
        <v>641</v>
      </c>
      <c r="M852" s="1" t="s">
        <v>76</v>
      </c>
      <c r="N852" s="1" t="s">
        <v>644</v>
      </c>
      <c r="O852" s="1" t="s">
        <v>39</v>
      </c>
      <c r="P852" s="82">
        <v>0.44500000000000001</v>
      </c>
      <c r="Q852" s="1" t="s">
        <v>76</v>
      </c>
      <c r="R852" s="81" t="s">
        <v>87</v>
      </c>
      <c r="S852" s="1">
        <v>3</v>
      </c>
      <c r="T852" s="1" t="s">
        <v>78</v>
      </c>
      <c r="U852" s="1" t="s">
        <v>658</v>
      </c>
      <c r="V852" s="1" t="s">
        <v>655</v>
      </c>
      <c r="W852" s="1">
        <v>39</v>
      </c>
      <c r="X852" s="1" t="s">
        <v>423</v>
      </c>
      <c r="Y852" s="1" t="s">
        <v>644</v>
      </c>
      <c r="Z852" s="1">
        <v>2E-3</v>
      </c>
      <c r="AA852" s="1">
        <v>3.0000000000000001E-3</v>
      </c>
      <c r="AB852" s="1">
        <v>2E-3</v>
      </c>
      <c r="AC852" s="1">
        <v>0.06</v>
      </c>
      <c r="AD852" s="1">
        <v>4.0000000000000001E-3</v>
      </c>
      <c r="AE852" s="1">
        <v>4.0000000000000001E-3</v>
      </c>
      <c r="AF852" s="1">
        <v>2E-3</v>
      </c>
      <c r="AG852" s="1">
        <v>0</v>
      </c>
      <c r="AH852" s="1">
        <v>1.2999999999999999E-2</v>
      </c>
      <c r="AI852" s="1">
        <v>8.0000000000000002E-3</v>
      </c>
      <c r="AJ852" s="1">
        <v>1E-3</v>
      </c>
      <c r="AK852" s="1">
        <v>5.0000000000000001E-3</v>
      </c>
      <c r="AL852" s="1">
        <v>0</v>
      </c>
      <c r="AM852" s="1">
        <v>2E-3</v>
      </c>
      <c r="AN852" s="1">
        <v>2.8000000000000001E-2</v>
      </c>
      <c r="AO852" s="1">
        <v>4.0000000000000001E-3</v>
      </c>
      <c r="AP852" s="1">
        <v>8.0000000000000002E-3</v>
      </c>
      <c r="AQ852" s="1">
        <v>1E-3</v>
      </c>
      <c r="AR852" s="1">
        <v>1E-3</v>
      </c>
      <c r="AS852" s="1">
        <v>7.0000000000000001E-3</v>
      </c>
      <c r="AT852" s="1">
        <v>5.0000000000000001E-3</v>
      </c>
      <c r="AU852" s="1">
        <v>2E-3</v>
      </c>
      <c r="AV852" s="1">
        <v>2E-3</v>
      </c>
      <c r="AW852" s="1">
        <v>4.0000000000000001E-3</v>
      </c>
      <c r="AX852" s="1">
        <v>2E-3</v>
      </c>
      <c r="AY852" s="1">
        <v>4.0000000000000001E-3</v>
      </c>
      <c r="AZ852" s="1">
        <v>4.0000000000000001E-3</v>
      </c>
      <c r="BA852" s="1">
        <v>0.01</v>
      </c>
      <c r="BB852" s="1">
        <v>2E-3</v>
      </c>
      <c r="BC852" s="1">
        <v>2E-3</v>
      </c>
      <c r="BD852" s="1">
        <v>1.4999999999999999E-2</v>
      </c>
      <c r="BE852" s="1">
        <v>2E-3</v>
      </c>
      <c r="BF852" s="1">
        <v>0.16800000000000001</v>
      </c>
      <c r="BG852" s="1">
        <v>1E-3</v>
      </c>
      <c r="BH852" s="1">
        <v>0.44500000000000001</v>
      </c>
      <c r="BI852" s="1">
        <v>1E-3</v>
      </c>
      <c r="BJ852" s="1">
        <v>1E-3</v>
      </c>
      <c r="BK852" s="1">
        <v>1E-3</v>
      </c>
      <c r="BL852" s="1">
        <v>4.0000000000000001E-3</v>
      </c>
      <c r="BM852" s="1">
        <v>3.0000000000000001E-3</v>
      </c>
      <c r="BN852" s="1">
        <v>4.0000000000000001E-3</v>
      </c>
      <c r="BO852" s="1">
        <v>1E-3</v>
      </c>
      <c r="BP852" s="1">
        <v>1E-3</v>
      </c>
      <c r="BQ852" s="1">
        <v>5.0000000000000001E-3</v>
      </c>
      <c r="BR852" s="1">
        <v>4.0000000000000001E-3</v>
      </c>
      <c r="BS852" s="1">
        <v>2E-3</v>
      </c>
      <c r="BT852" s="1">
        <v>1E-3</v>
      </c>
      <c r="BU852" s="1">
        <v>3.0000000000000001E-3</v>
      </c>
      <c r="BV852" s="1">
        <v>1E-3</v>
      </c>
      <c r="BW852" s="1">
        <v>3.0000000000000001E-3</v>
      </c>
      <c r="BX852" s="1">
        <v>6.9000000000000006E-2</v>
      </c>
      <c r="BY852" s="1">
        <v>8.0000000000000002E-3</v>
      </c>
      <c r="BZ852" s="1">
        <v>4.0000000000000001E-3</v>
      </c>
      <c r="CA852" s="1">
        <v>3.0000000000000001E-3</v>
      </c>
      <c r="CB852" s="1">
        <v>1E-3</v>
      </c>
      <c r="CC852" s="1">
        <v>3.0000000000000001E-3</v>
      </c>
      <c r="CD852" s="1">
        <v>0</v>
      </c>
      <c r="CE852" s="1">
        <v>2E-3</v>
      </c>
      <c r="CF852" s="1">
        <v>5.0000000000000001E-3</v>
      </c>
      <c r="CG852" s="1">
        <v>4.0000000000000001E-3</v>
      </c>
      <c r="CH852" s="1">
        <v>5.0000000000000001E-3</v>
      </c>
      <c r="CI852" s="1">
        <v>6.0000000000000001E-3</v>
      </c>
      <c r="CJ852" s="1">
        <v>7.0000000000000001E-3</v>
      </c>
      <c r="CK852" s="1">
        <v>1.7999999999999999E-2</v>
      </c>
      <c r="CL852" s="1">
        <v>7.0000000000000001E-3</v>
      </c>
      <c r="CM852" s="1">
        <v>-17.596071649999999</v>
      </c>
      <c r="CN852" s="83">
        <v>-57.484785170000002</v>
      </c>
    </row>
    <row r="853" spans="1:92" s="3" customFormat="1" x14ac:dyDescent="0.25">
      <c r="A853" s="72">
        <v>894</v>
      </c>
      <c r="B853" s="81" t="s">
        <v>1024</v>
      </c>
      <c r="C853" s="1" t="s">
        <v>83</v>
      </c>
      <c r="D853" s="1" t="s">
        <v>73</v>
      </c>
      <c r="E853" s="1" t="s">
        <v>74</v>
      </c>
      <c r="F853" s="1" t="s">
        <v>128</v>
      </c>
      <c r="G853" s="1" t="s">
        <v>303</v>
      </c>
      <c r="H853" s="1" t="s">
        <v>570</v>
      </c>
      <c r="I853" s="1"/>
      <c r="J853" s="9" t="s">
        <v>544</v>
      </c>
      <c r="K853" s="10">
        <v>0.38056766666666703</v>
      </c>
      <c r="L853" s="1" t="s">
        <v>76</v>
      </c>
      <c r="M853" s="1" t="s">
        <v>506</v>
      </c>
      <c r="N853" s="1" t="s">
        <v>645</v>
      </c>
      <c r="O853" s="1" t="s">
        <v>55</v>
      </c>
      <c r="P853" s="82">
        <v>0.98899999999999999</v>
      </c>
      <c r="Q853" s="1" t="s">
        <v>76</v>
      </c>
      <c r="R853" s="81" t="s">
        <v>436</v>
      </c>
      <c r="S853" s="1">
        <v>3</v>
      </c>
      <c r="T853" s="1" t="s">
        <v>78</v>
      </c>
      <c r="U853" s="1" t="s">
        <v>658</v>
      </c>
      <c r="V853" s="1" t="s">
        <v>654</v>
      </c>
      <c r="W853" s="1">
        <v>60</v>
      </c>
      <c r="X853" s="1" t="s">
        <v>167</v>
      </c>
      <c r="Y853" s="1" t="s">
        <v>645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0.98899999999999999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8.0000000000000002E-3</v>
      </c>
      <c r="CL853" s="1">
        <v>0</v>
      </c>
      <c r="CM853" s="1">
        <v>40.87875073</v>
      </c>
      <c r="CN853" s="83">
        <v>-12.35488249</v>
      </c>
    </row>
    <row r="854" spans="1:92" s="3" customFormat="1" x14ac:dyDescent="0.25">
      <c r="A854" s="72">
        <v>895</v>
      </c>
      <c r="B854" s="81" t="s">
        <v>1348</v>
      </c>
      <c r="C854" s="1" t="s">
        <v>83</v>
      </c>
      <c r="D854" s="1" t="s">
        <v>73</v>
      </c>
      <c r="E854" s="1" t="s">
        <v>74</v>
      </c>
      <c r="F854" s="1" t="s">
        <v>97</v>
      </c>
      <c r="G854" s="1" t="s">
        <v>76</v>
      </c>
      <c r="H854" s="1" t="s">
        <v>97</v>
      </c>
      <c r="I854" s="1"/>
      <c r="J854" s="9" t="s">
        <v>506</v>
      </c>
      <c r="K854" s="10">
        <v>0.63986766666666695</v>
      </c>
      <c r="L854" s="1" t="s">
        <v>641</v>
      </c>
      <c r="M854" s="1" t="s">
        <v>76</v>
      </c>
      <c r="N854" s="1" t="s">
        <v>644</v>
      </c>
      <c r="O854" s="1" t="s">
        <v>68</v>
      </c>
      <c r="P854" s="82">
        <v>9.4E-2</v>
      </c>
      <c r="Q854" s="1" t="s">
        <v>76</v>
      </c>
      <c r="R854" s="81" t="s">
        <v>95</v>
      </c>
      <c r="S854" s="1" t="s">
        <v>76</v>
      </c>
      <c r="T854" s="1" t="s">
        <v>78</v>
      </c>
      <c r="U854" s="1" t="s">
        <v>659</v>
      </c>
      <c r="V854" s="1" t="s">
        <v>655</v>
      </c>
      <c r="W854" s="1">
        <v>38</v>
      </c>
      <c r="X854" s="1" t="s">
        <v>423</v>
      </c>
      <c r="Y854" s="1" t="s">
        <v>644</v>
      </c>
      <c r="Z854" s="1">
        <v>2E-3</v>
      </c>
      <c r="AA854" s="1">
        <v>8.0000000000000002E-3</v>
      </c>
      <c r="AB854" s="1">
        <v>5.0000000000000001E-3</v>
      </c>
      <c r="AC854" s="1">
        <v>5.8999999999999997E-2</v>
      </c>
      <c r="AD854" s="1">
        <v>5.0000000000000001E-3</v>
      </c>
      <c r="AE854" s="1">
        <v>5.0000000000000001E-3</v>
      </c>
      <c r="AF854" s="1">
        <v>6.0000000000000001E-3</v>
      </c>
      <c r="AG854" s="1">
        <v>1E-3</v>
      </c>
      <c r="AH854" s="1">
        <v>2.1000000000000001E-2</v>
      </c>
      <c r="AI854" s="1">
        <v>2E-3</v>
      </c>
      <c r="AJ854" s="1">
        <v>2E-3</v>
      </c>
      <c r="AK854" s="1">
        <v>3.2000000000000001E-2</v>
      </c>
      <c r="AL854" s="1">
        <v>1E-3</v>
      </c>
      <c r="AM854" s="1">
        <v>2E-3</v>
      </c>
      <c r="AN854" s="1">
        <v>3.0000000000000001E-3</v>
      </c>
      <c r="AO854" s="1">
        <v>7.2999999999999995E-2</v>
      </c>
      <c r="AP854" s="1">
        <v>6.0000000000000001E-3</v>
      </c>
      <c r="AQ854" s="1">
        <v>5.0000000000000001E-3</v>
      </c>
      <c r="AR854" s="1">
        <v>2E-3</v>
      </c>
      <c r="AS854" s="1">
        <v>7.8E-2</v>
      </c>
      <c r="AT854" s="1">
        <v>0.04</v>
      </c>
      <c r="AU854" s="1">
        <v>6.0000000000000001E-3</v>
      </c>
      <c r="AV854" s="1">
        <v>3.0000000000000001E-3</v>
      </c>
      <c r="AW854" s="1">
        <v>1.9E-2</v>
      </c>
      <c r="AX854" s="1">
        <v>5.0000000000000001E-3</v>
      </c>
      <c r="AY854" s="1">
        <v>8.9999999999999993E-3</v>
      </c>
      <c r="AZ854" s="1">
        <v>1.2E-2</v>
      </c>
      <c r="BA854" s="1">
        <v>2.1999999999999999E-2</v>
      </c>
      <c r="BB854" s="1">
        <v>7.0000000000000001E-3</v>
      </c>
      <c r="BC854" s="1">
        <v>3.0000000000000001E-3</v>
      </c>
      <c r="BD854" s="1">
        <v>3.2000000000000001E-2</v>
      </c>
      <c r="BE854" s="1">
        <v>4.0000000000000001E-3</v>
      </c>
      <c r="BF854" s="1">
        <v>2E-3</v>
      </c>
      <c r="BG854" s="1">
        <v>8.0000000000000002E-3</v>
      </c>
      <c r="BH854" s="1">
        <v>7.0000000000000001E-3</v>
      </c>
      <c r="BI854" s="1">
        <v>5.0000000000000001E-3</v>
      </c>
      <c r="BJ854" s="1">
        <v>2E-3</v>
      </c>
      <c r="BK854" s="1">
        <v>3.0000000000000001E-3</v>
      </c>
      <c r="BL854" s="1">
        <v>1.4E-2</v>
      </c>
      <c r="BM854" s="1">
        <v>6.0000000000000001E-3</v>
      </c>
      <c r="BN854" s="1">
        <v>1.4E-2</v>
      </c>
      <c r="BO854" s="1">
        <v>3.0000000000000001E-3</v>
      </c>
      <c r="BP854" s="1">
        <v>2E-3</v>
      </c>
      <c r="BQ854" s="1">
        <v>1.4999999999999999E-2</v>
      </c>
      <c r="BR854" s="1">
        <v>6.0000000000000001E-3</v>
      </c>
      <c r="BS854" s="1">
        <v>3.0000000000000001E-3</v>
      </c>
      <c r="BT854" s="1">
        <v>3.0000000000000001E-3</v>
      </c>
      <c r="BU854" s="1">
        <v>2E-3</v>
      </c>
      <c r="BV854" s="1">
        <v>6.2E-2</v>
      </c>
      <c r="BW854" s="1">
        <v>8.9999999999999993E-3</v>
      </c>
      <c r="BX854" s="1">
        <v>8.6999999999999994E-2</v>
      </c>
      <c r="BY854" s="1">
        <v>2.4E-2</v>
      </c>
      <c r="BZ854" s="1">
        <v>8.9999999999999993E-3</v>
      </c>
      <c r="CA854" s="1">
        <v>6.0000000000000001E-3</v>
      </c>
      <c r="CB854" s="1">
        <v>1E-3</v>
      </c>
      <c r="CC854" s="1">
        <v>8.0000000000000002E-3</v>
      </c>
      <c r="CD854" s="1">
        <v>0</v>
      </c>
      <c r="CE854" s="1">
        <v>5.0000000000000001E-3</v>
      </c>
      <c r="CF854" s="1">
        <v>1.2E-2</v>
      </c>
      <c r="CG854" s="1">
        <v>1.9E-2</v>
      </c>
      <c r="CH854" s="1">
        <v>2.1999999999999999E-2</v>
      </c>
      <c r="CI854" s="1">
        <v>1.2999999999999999E-2</v>
      </c>
      <c r="CJ854" s="1">
        <v>0.04</v>
      </c>
      <c r="CK854" s="1">
        <v>9.4E-2</v>
      </c>
      <c r="CL854" s="1">
        <v>1.4E-2</v>
      </c>
      <c r="CM854" s="1">
        <v>59.122307030000002</v>
      </c>
      <c r="CN854" s="83">
        <v>29.24111997</v>
      </c>
    </row>
    <row r="855" spans="1:92" s="3" customFormat="1" x14ac:dyDescent="0.25">
      <c r="A855" s="72">
        <v>896</v>
      </c>
      <c r="B855" s="81" t="s">
        <v>1553</v>
      </c>
      <c r="C855" s="1" t="s">
        <v>83</v>
      </c>
      <c r="D855" s="1" t="s">
        <v>73</v>
      </c>
      <c r="E855" s="1" t="s">
        <v>74</v>
      </c>
      <c r="F855" s="1" t="s">
        <v>93</v>
      </c>
      <c r="G855" s="1" t="s">
        <v>568</v>
      </c>
      <c r="H855" s="1" t="s">
        <v>34</v>
      </c>
      <c r="I855" s="1"/>
      <c r="J855" s="9" t="s">
        <v>544</v>
      </c>
      <c r="K855" s="10">
        <v>0.39429983333333402</v>
      </c>
      <c r="L855" s="1" t="s">
        <v>76</v>
      </c>
      <c r="M855" s="1" t="s">
        <v>506</v>
      </c>
      <c r="N855" s="1" t="s">
        <v>645</v>
      </c>
      <c r="O855" s="1" t="s">
        <v>34</v>
      </c>
      <c r="P855" s="82">
        <v>0.999</v>
      </c>
      <c r="Q855" s="1" t="s">
        <v>76</v>
      </c>
      <c r="R855" s="81" t="s">
        <v>217</v>
      </c>
      <c r="S855" s="1">
        <v>3</v>
      </c>
      <c r="T855" s="1" t="s">
        <v>120</v>
      </c>
      <c r="U855" s="1" t="s">
        <v>660</v>
      </c>
      <c r="V855" s="1" t="s">
        <v>655</v>
      </c>
      <c r="W855" s="1">
        <v>14</v>
      </c>
      <c r="X855" s="1" t="s">
        <v>96</v>
      </c>
      <c r="Y855" s="1" t="s">
        <v>645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1E-3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0.999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46.631429300000001</v>
      </c>
      <c r="CN855" s="83">
        <v>-1.700560528</v>
      </c>
    </row>
    <row r="856" spans="1:92" s="3" customFormat="1" hidden="1" x14ac:dyDescent="0.25">
      <c r="A856" s="72">
        <v>897</v>
      </c>
      <c r="B856" s="81" t="s">
        <v>1688</v>
      </c>
      <c r="C856" s="1" t="s">
        <v>83</v>
      </c>
      <c r="D856" s="1" t="s">
        <v>301</v>
      </c>
      <c r="E856" s="1" t="s">
        <v>74</v>
      </c>
      <c r="F856" s="1" t="s">
        <v>301</v>
      </c>
      <c r="G856" s="1" t="s">
        <v>76</v>
      </c>
      <c r="H856" s="1" t="s">
        <v>537</v>
      </c>
      <c r="I856" s="1"/>
      <c r="J856" s="9" t="s">
        <v>544</v>
      </c>
      <c r="K856" s="10">
        <v>0.306261000000001</v>
      </c>
      <c r="L856" s="1" t="s">
        <v>76</v>
      </c>
      <c r="M856" s="1" t="s">
        <v>506</v>
      </c>
      <c r="N856" s="1" t="s">
        <v>645</v>
      </c>
      <c r="O856" s="1" t="s">
        <v>21</v>
      </c>
      <c r="P856" s="82">
        <v>0.996</v>
      </c>
      <c r="Q856" s="1" t="s">
        <v>76</v>
      </c>
      <c r="R856" s="81" t="s">
        <v>269</v>
      </c>
      <c r="S856" s="1" t="s">
        <v>76</v>
      </c>
      <c r="T856" s="1" t="s">
        <v>269</v>
      </c>
      <c r="U856" s="1" t="s">
        <v>76</v>
      </c>
      <c r="V856" s="1" t="s">
        <v>656</v>
      </c>
      <c r="W856" s="1">
        <v>26</v>
      </c>
      <c r="X856" s="1" t="s">
        <v>167</v>
      </c>
      <c r="Y856" s="1" t="s">
        <v>645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0.996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-65.671909290000002</v>
      </c>
      <c r="CN856" s="83">
        <v>-80.172202519999999</v>
      </c>
    </row>
    <row r="857" spans="1:92" s="3" customFormat="1" x14ac:dyDescent="0.25">
      <c r="A857" s="72">
        <v>898</v>
      </c>
      <c r="B857" s="81" t="s">
        <v>802</v>
      </c>
      <c r="C857" s="1" t="s">
        <v>83</v>
      </c>
      <c r="D857" s="1" t="s">
        <v>73</v>
      </c>
      <c r="E857" s="1" t="s">
        <v>99</v>
      </c>
      <c r="F857" s="1" t="s">
        <v>128</v>
      </c>
      <c r="G857" s="1" t="s">
        <v>166</v>
      </c>
      <c r="H857" s="1" t="s">
        <v>535</v>
      </c>
      <c r="I857" s="1"/>
      <c r="J857" s="9" t="s">
        <v>506</v>
      </c>
      <c r="K857" s="10">
        <v>0.30358533333333398</v>
      </c>
      <c r="L857" s="1" t="s">
        <v>589</v>
      </c>
      <c r="M857" s="1" t="s">
        <v>506</v>
      </c>
      <c r="N857" s="1" t="s">
        <v>647</v>
      </c>
      <c r="O857" s="1" t="s">
        <v>69</v>
      </c>
      <c r="P857" s="82">
        <v>0.90500000000000003</v>
      </c>
      <c r="Q857" s="1" t="s">
        <v>76</v>
      </c>
      <c r="R857" s="81" t="s">
        <v>87</v>
      </c>
      <c r="S857" s="1">
        <v>1</v>
      </c>
      <c r="T857" s="1" t="s">
        <v>78</v>
      </c>
      <c r="U857" s="1" t="s">
        <v>659</v>
      </c>
      <c r="V857" s="1" t="s">
        <v>655</v>
      </c>
      <c r="W857" s="1">
        <v>49</v>
      </c>
      <c r="X857" s="1" t="s">
        <v>167</v>
      </c>
      <c r="Y857" s="1" t="s">
        <v>647</v>
      </c>
      <c r="Z857" s="1">
        <v>3.0000000000000001E-3</v>
      </c>
      <c r="AA857" s="1">
        <v>0</v>
      </c>
      <c r="AB857" s="1">
        <v>0</v>
      </c>
      <c r="AC857" s="1">
        <v>0</v>
      </c>
      <c r="AD857" s="1">
        <v>1E-3</v>
      </c>
      <c r="AE857" s="1">
        <v>1E-3</v>
      </c>
      <c r="AF857" s="1">
        <v>1E-3</v>
      </c>
      <c r="AG857" s="1">
        <v>0</v>
      </c>
      <c r="AH857" s="1">
        <v>1E-3</v>
      </c>
      <c r="AI857" s="1">
        <v>0</v>
      </c>
      <c r="AJ857" s="1">
        <v>4.0000000000000001E-3</v>
      </c>
      <c r="AK857" s="1">
        <v>0</v>
      </c>
      <c r="AL857" s="1">
        <v>0</v>
      </c>
      <c r="AM857" s="1">
        <v>1E-3</v>
      </c>
      <c r="AN857" s="1">
        <v>6.0000000000000001E-3</v>
      </c>
      <c r="AO857" s="1">
        <v>0</v>
      </c>
      <c r="AP857" s="1">
        <v>0</v>
      </c>
      <c r="AQ857" s="1">
        <v>0</v>
      </c>
      <c r="AR857" s="1">
        <v>3.0000000000000001E-3</v>
      </c>
      <c r="AS857" s="1">
        <v>1E-3</v>
      </c>
      <c r="AT857" s="1">
        <v>0</v>
      </c>
      <c r="AU857" s="1">
        <v>1E-3</v>
      </c>
      <c r="AV857" s="1">
        <v>1E-3</v>
      </c>
      <c r="AW857" s="1">
        <v>0</v>
      </c>
      <c r="AX857" s="1">
        <v>3.0000000000000001E-3</v>
      </c>
      <c r="AY857" s="1">
        <v>1E-3</v>
      </c>
      <c r="AZ857" s="1">
        <v>3.0000000000000001E-3</v>
      </c>
      <c r="BA857" s="1">
        <v>2E-3</v>
      </c>
      <c r="BB857" s="1">
        <v>0</v>
      </c>
      <c r="BC857" s="1">
        <v>0</v>
      </c>
      <c r="BD857" s="1">
        <v>2E-3</v>
      </c>
      <c r="BE857" s="1">
        <v>0</v>
      </c>
      <c r="BF857" s="1">
        <v>1E-3</v>
      </c>
      <c r="BG857" s="1">
        <v>0</v>
      </c>
      <c r="BH857" s="1">
        <v>0</v>
      </c>
      <c r="BI857" s="1">
        <v>0</v>
      </c>
      <c r="BJ857" s="1">
        <v>5.0000000000000001E-3</v>
      </c>
      <c r="BK857" s="1">
        <v>0</v>
      </c>
      <c r="BL857" s="1">
        <v>0</v>
      </c>
      <c r="BM857" s="1">
        <v>0</v>
      </c>
      <c r="BN857" s="1">
        <v>0</v>
      </c>
      <c r="BO857" s="1">
        <v>1E-3</v>
      </c>
      <c r="BP857" s="1">
        <v>4.0000000000000001E-3</v>
      </c>
      <c r="BQ857" s="1">
        <v>0</v>
      </c>
      <c r="BR857" s="1">
        <v>0</v>
      </c>
      <c r="BS857" s="1">
        <v>2E-3</v>
      </c>
      <c r="BT857" s="1">
        <v>0</v>
      </c>
      <c r="BU857" s="1">
        <v>2.1000000000000001E-2</v>
      </c>
      <c r="BV857" s="1">
        <v>0</v>
      </c>
      <c r="BW857" s="1">
        <v>0</v>
      </c>
      <c r="BX857" s="1">
        <v>2E-3</v>
      </c>
      <c r="BY857" s="1">
        <v>1E-3</v>
      </c>
      <c r="BZ857" s="1">
        <v>3.0000000000000001E-3</v>
      </c>
      <c r="CA857" s="1">
        <v>0</v>
      </c>
      <c r="CB857" s="1">
        <v>0</v>
      </c>
      <c r="CC857" s="1">
        <v>1E-3</v>
      </c>
      <c r="CD857" s="1">
        <v>0</v>
      </c>
      <c r="CE857" s="1">
        <v>0</v>
      </c>
      <c r="CF857" s="1">
        <v>0</v>
      </c>
      <c r="CG857" s="1">
        <v>1E-3</v>
      </c>
      <c r="CH857" s="1">
        <v>1E-3</v>
      </c>
      <c r="CI857" s="1">
        <v>0</v>
      </c>
      <c r="CJ857" s="1">
        <v>1E-3</v>
      </c>
      <c r="CK857" s="1">
        <v>1.0999999999999999E-2</v>
      </c>
      <c r="CL857" s="1">
        <v>0.90500000000000003</v>
      </c>
      <c r="CM857" s="1">
        <v>-43.708880389999997</v>
      </c>
      <c r="CN857" s="83">
        <v>-20.768657260000001</v>
      </c>
    </row>
    <row r="858" spans="1:92" s="3" customFormat="1" x14ac:dyDescent="0.25">
      <c r="A858" s="72">
        <v>899</v>
      </c>
      <c r="B858" s="81" t="s">
        <v>1653</v>
      </c>
      <c r="C858" s="1" t="s">
        <v>83</v>
      </c>
      <c r="D858" s="1" t="s">
        <v>73</v>
      </c>
      <c r="E858" s="1" t="s">
        <v>99</v>
      </c>
      <c r="F858" s="1" t="s">
        <v>128</v>
      </c>
      <c r="G858" s="1" t="s">
        <v>166</v>
      </c>
      <c r="H858" s="1" t="s">
        <v>535</v>
      </c>
      <c r="I858" s="1"/>
      <c r="J858" s="9" t="s">
        <v>506</v>
      </c>
      <c r="K858" s="10">
        <v>0.47970849999999998</v>
      </c>
      <c r="L858" s="1" t="s">
        <v>614</v>
      </c>
      <c r="M858" s="1" t="s">
        <v>506</v>
      </c>
      <c r="N858" s="1" t="s">
        <v>647</v>
      </c>
      <c r="O858" s="1" t="s">
        <v>55</v>
      </c>
      <c r="P858" s="82">
        <v>0.999</v>
      </c>
      <c r="Q858" s="1" t="s">
        <v>76</v>
      </c>
      <c r="R858" s="81" t="s">
        <v>87</v>
      </c>
      <c r="S858" s="1">
        <v>3</v>
      </c>
      <c r="T858" s="1" t="s">
        <v>78</v>
      </c>
      <c r="U858" s="1" t="s">
        <v>658</v>
      </c>
      <c r="V858" s="1" t="s">
        <v>655</v>
      </c>
      <c r="W858" s="1">
        <v>34</v>
      </c>
      <c r="X858" s="1" t="s">
        <v>167</v>
      </c>
      <c r="Y858" s="1" t="s">
        <v>647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0.999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68.016531290000003</v>
      </c>
      <c r="CN858" s="83">
        <v>24.126247509999999</v>
      </c>
    </row>
    <row r="859" spans="1:92" s="3" customFormat="1" x14ac:dyDescent="0.25">
      <c r="A859" s="72">
        <v>900</v>
      </c>
      <c r="B859" s="81" t="s">
        <v>778</v>
      </c>
      <c r="C859" s="1" t="s">
        <v>83</v>
      </c>
      <c r="D859" s="1" t="s">
        <v>73</v>
      </c>
      <c r="E859" s="1" t="s">
        <v>99</v>
      </c>
      <c r="F859" s="1" t="s">
        <v>128</v>
      </c>
      <c r="G859" s="1" t="s">
        <v>172</v>
      </c>
      <c r="H859" s="1" t="s">
        <v>533</v>
      </c>
      <c r="I859" s="1"/>
      <c r="J859" s="9" t="s">
        <v>506</v>
      </c>
      <c r="K859" s="10">
        <v>0.46955350000000001</v>
      </c>
      <c r="L859" s="1" t="s">
        <v>584</v>
      </c>
      <c r="M859" s="1" t="s">
        <v>506</v>
      </c>
      <c r="N859" s="1" t="s">
        <v>647</v>
      </c>
      <c r="O859" s="1" t="s">
        <v>33</v>
      </c>
      <c r="P859" s="82">
        <v>0.996</v>
      </c>
      <c r="Q859" s="1" t="s">
        <v>76</v>
      </c>
      <c r="R859" s="81" t="s">
        <v>151</v>
      </c>
      <c r="S859" s="1">
        <v>1</v>
      </c>
      <c r="T859" s="1" t="s">
        <v>78</v>
      </c>
      <c r="U859" s="1" t="s">
        <v>658</v>
      </c>
      <c r="V859" s="1" t="s">
        <v>655</v>
      </c>
      <c r="W859" s="1">
        <v>22</v>
      </c>
      <c r="X859" s="1" t="s">
        <v>1725</v>
      </c>
      <c r="Y859" s="1" t="s">
        <v>647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0.996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1E-3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0.16504828299999999</v>
      </c>
      <c r="CN859" s="83">
        <v>24.29202956</v>
      </c>
    </row>
    <row r="860" spans="1:92" s="3" customFormat="1" x14ac:dyDescent="0.25">
      <c r="A860" s="72">
        <v>720</v>
      </c>
      <c r="B860" s="81" t="s">
        <v>1605</v>
      </c>
      <c r="C860" s="1" t="s">
        <v>83</v>
      </c>
      <c r="D860" s="1" t="s">
        <v>73</v>
      </c>
      <c r="E860" s="1" t="s">
        <v>74</v>
      </c>
      <c r="F860" s="1" t="s">
        <v>665</v>
      </c>
      <c r="G860" s="1" t="s">
        <v>76</v>
      </c>
      <c r="H860" s="1" t="s">
        <v>48</v>
      </c>
      <c r="I860" s="1"/>
      <c r="J860" s="9" t="s">
        <v>544</v>
      </c>
      <c r="K860" s="10">
        <v>0.40826066666666699</v>
      </c>
      <c r="L860" s="1" t="s">
        <v>638</v>
      </c>
      <c r="M860" s="1" t="s">
        <v>506</v>
      </c>
      <c r="N860" s="1" t="s">
        <v>647</v>
      </c>
      <c r="O860" s="1" t="s">
        <v>68</v>
      </c>
      <c r="P860" s="82">
        <v>0.98699999999999999</v>
      </c>
      <c r="Q860" s="1" t="s">
        <v>76</v>
      </c>
      <c r="R860" s="81" t="s">
        <v>129</v>
      </c>
      <c r="S860" s="1">
        <v>3</v>
      </c>
      <c r="T860" s="1" t="s">
        <v>120</v>
      </c>
      <c r="U860" s="1" t="s">
        <v>658</v>
      </c>
      <c r="V860" s="1" t="s">
        <v>655</v>
      </c>
      <c r="W860" s="1">
        <v>41</v>
      </c>
      <c r="X860" s="1" t="s">
        <v>76</v>
      </c>
      <c r="Y860" s="1" t="s">
        <v>647</v>
      </c>
      <c r="Z860" s="1">
        <v>1E-3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1E-3</v>
      </c>
      <c r="AV860" s="1">
        <v>0</v>
      </c>
      <c r="AW860" s="1">
        <v>0</v>
      </c>
      <c r="AX860" s="1">
        <v>1E-3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1E-3</v>
      </c>
      <c r="BR860" s="1">
        <v>0</v>
      </c>
      <c r="BS860" s="1">
        <v>2E-3</v>
      </c>
      <c r="BT860" s="1">
        <v>0</v>
      </c>
      <c r="BU860" s="1">
        <v>0</v>
      </c>
      <c r="BV860" s="1">
        <v>0</v>
      </c>
      <c r="BW860" s="1">
        <v>0</v>
      </c>
      <c r="BX860" s="1">
        <v>1E-3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0.98699999999999999</v>
      </c>
      <c r="CL860" s="1">
        <v>1E-3</v>
      </c>
      <c r="CM860" s="1">
        <v>19.53864244</v>
      </c>
      <c r="CN860" s="83">
        <v>-20.496218379999998</v>
      </c>
    </row>
    <row r="861" spans="1:92" s="3" customFormat="1" x14ac:dyDescent="0.25">
      <c r="A861" s="72">
        <v>902</v>
      </c>
      <c r="B861" s="81" t="s">
        <v>823</v>
      </c>
      <c r="C861" s="1" t="s">
        <v>83</v>
      </c>
      <c r="D861" s="1" t="s">
        <v>73</v>
      </c>
      <c r="E861" s="1" t="s">
        <v>74</v>
      </c>
      <c r="F861" s="1" t="s">
        <v>128</v>
      </c>
      <c r="G861" s="1" t="s">
        <v>448</v>
      </c>
      <c r="H861" s="1" t="s">
        <v>534</v>
      </c>
      <c r="I861" s="1"/>
      <c r="J861" s="9" t="s">
        <v>506</v>
      </c>
      <c r="K861" s="10">
        <v>0.62479816666666599</v>
      </c>
      <c r="L861" s="1" t="s">
        <v>592</v>
      </c>
      <c r="M861" s="1" t="s">
        <v>506</v>
      </c>
      <c r="N861" s="1" t="s">
        <v>647</v>
      </c>
      <c r="O861" s="1" t="s">
        <v>55</v>
      </c>
      <c r="P861" s="82">
        <v>0.91800000000000004</v>
      </c>
      <c r="Q861" s="1" t="s">
        <v>76</v>
      </c>
      <c r="R861" s="81" t="s">
        <v>449</v>
      </c>
      <c r="S861" s="1">
        <v>2</v>
      </c>
      <c r="T861" s="1" t="s">
        <v>120</v>
      </c>
      <c r="U861" s="1" t="s">
        <v>658</v>
      </c>
      <c r="V861" s="1" t="s">
        <v>655</v>
      </c>
      <c r="W861" s="1">
        <v>35</v>
      </c>
      <c r="X861" s="1" t="s">
        <v>450</v>
      </c>
      <c r="Y861" s="1" t="s">
        <v>647</v>
      </c>
      <c r="Z861" s="1">
        <v>0</v>
      </c>
      <c r="AA861" s="1">
        <v>0</v>
      </c>
      <c r="AB861" s="1">
        <v>0</v>
      </c>
      <c r="AC861" s="1">
        <v>1E-3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1E-3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1E-3</v>
      </c>
      <c r="BC861" s="1">
        <v>0</v>
      </c>
      <c r="BD861" s="1">
        <v>1E-3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1E-3</v>
      </c>
      <c r="BM861" s="1">
        <v>0</v>
      </c>
      <c r="BN861" s="1">
        <v>0</v>
      </c>
      <c r="BO861" s="1">
        <v>0</v>
      </c>
      <c r="BP861" s="1">
        <v>0</v>
      </c>
      <c r="BQ861" s="1">
        <v>6.7000000000000004E-2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0.91800000000000004</v>
      </c>
      <c r="BY861" s="1">
        <v>0</v>
      </c>
      <c r="BZ861" s="1">
        <v>1E-3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27.580613979999999</v>
      </c>
      <c r="CN861" s="83">
        <v>45.23028351</v>
      </c>
    </row>
    <row r="862" spans="1:92" s="3" customFormat="1" x14ac:dyDescent="0.25">
      <c r="A862" s="72">
        <v>903</v>
      </c>
      <c r="B862" s="81" t="s">
        <v>1651</v>
      </c>
      <c r="C862" s="1" t="s">
        <v>83</v>
      </c>
      <c r="D862" s="1" t="s">
        <v>73</v>
      </c>
      <c r="E862" s="1" t="s">
        <v>99</v>
      </c>
      <c r="F862" s="1" t="s">
        <v>97</v>
      </c>
      <c r="G862" s="1" t="s">
        <v>76</v>
      </c>
      <c r="H862" s="1" t="s">
        <v>97</v>
      </c>
      <c r="I862" s="1"/>
      <c r="J862" s="9" t="s">
        <v>506</v>
      </c>
      <c r="K862" s="10">
        <v>0.53793500000000005</v>
      </c>
      <c r="L862" s="1" t="s">
        <v>641</v>
      </c>
      <c r="M862" s="1" t="s">
        <v>76</v>
      </c>
      <c r="N862" s="1" t="s">
        <v>644</v>
      </c>
      <c r="O862" s="1" t="s">
        <v>63</v>
      </c>
      <c r="P862" s="82">
        <v>0.67400000000000004</v>
      </c>
      <c r="Q862" s="1" t="s">
        <v>76</v>
      </c>
      <c r="R862" s="81" t="s">
        <v>77</v>
      </c>
      <c r="S862" s="1" t="s">
        <v>76</v>
      </c>
      <c r="T862" s="1" t="s">
        <v>78</v>
      </c>
      <c r="U862" s="1" t="s">
        <v>658</v>
      </c>
      <c r="V862" s="1" t="s">
        <v>655</v>
      </c>
      <c r="W862" s="1">
        <v>68</v>
      </c>
      <c r="X862" s="1" t="s">
        <v>423</v>
      </c>
      <c r="Y862" s="1" t="s">
        <v>644</v>
      </c>
      <c r="Z862" s="1">
        <v>1E-3</v>
      </c>
      <c r="AA862" s="1">
        <v>5.0000000000000001E-3</v>
      </c>
      <c r="AB862" s="1">
        <v>2E-3</v>
      </c>
      <c r="AC862" s="1">
        <v>8.9999999999999993E-3</v>
      </c>
      <c r="AD862" s="1">
        <v>2E-3</v>
      </c>
      <c r="AE862" s="1">
        <v>3.0000000000000001E-3</v>
      </c>
      <c r="AF862" s="1">
        <v>3.0000000000000001E-3</v>
      </c>
      <c r="AG862" s="1">
        <v>0</v>
      </c>
      <c r="AH862" s="1">
        <v>1.0999999999999999E-2</v>
      </c>
      <c r="AI862" s="1">
        <v>1E-3</v>
      </c>
      <c r="AJ862" s="1">
        <v>1E-3</v>
      </c>
      <c r="AK862" s="1">
        <v>3.6999999999999998E-2</v>
      </c>
      <c r="AL862" s="1">
        <v>0</v>
      </c>
      <c r="AM862" s="1">
        <v>1E-3</v>
      </c>
      <c r="AN862" s="1">
        <v>2E-3</v>
      </c>
      <c r="AO862" s="1">
        <v>4.0000000000000001E-3</v>
      </c>
      <c r="AP862" s="1">
        <v>2E-3</v>
      </c>
      <c r="AQ862" s="1">
        <v>1E-3</v>
      </c>
      <c r="AR862" s="1">
        <v>2E-3</v>
      </c>
      <c r="AS862" s="1">
        <v>1.2999999999999999E-2</v>
      </c>
      <c r="AT862" s="1">
        <v>8.0000000000000002E-3</v>
      </c>
      <c r="AU862" s="1">
        <v>2E-3</v>
      </c>
      <c r="AV862" s="1">
        <v>1E-3</v>
      </c>
      <c r="AW862" s="1">
        <v>1.7000000000000001E-2</v>
      </c>
      <c r="AX862" s="1">
        <v>3.0000000000000001E-3</v>
      </c>
      <c r="AY862" s="1">
        <v>4.0000000000000001E-3</v>
      </c>
      <c r="AZ862" s="1">
        <v>5.0000000000000001E-3</v>
      </c>
      <c r="BA862" s="1">
        <v>1.6E-2</v>
      </c>
      <c r="BB862" s="1">
        <v>2E-3</v>
      </c>
      <c r="BC862" s="1">
        <v>1E-3</v>
      </c>
      <c r="BD862" s="1">
        <v>0.01</v>
      </c>
      <c r="BE862" s="1">
        <v>2E-3</v>
      </c>
      <c r="BF862" s="1">
        <v>1E-3</v>
      </c>
      <c r="BG862" s="1">
        <v>7.0000000000000001E-3</v>
      </c>
      <c r="BH862" s="1">
        <v>2E-3</v>
      </c>
      <c r="BI862" s="1">
        <v>2E-3</v>
      </c>
      <c r="BJ862" s="1">
        <v>1E-3</v>
      </c>
      <c r="BK862" s="1">
        <v>1E-3</v>
      </c>
      <c r="BL862" s="1">
        <v>6.0000000000000001E-3</v>
      </c>
      <c r="BM862" s="1">
        <v>2E-3</v>
      </c>
      <c r="BN862" s="1">
        <v>4.0000000000000001E-3</v>
      </c>
      <c r="BO862" s="1">
        <v>1E-3</v>
      </c>
      <c r="BP862" s="1">
        <v>1E-3</v>
      </c>
      <c r="BQ862" s="1">
        <v>8.0000000000000002E-3</v>
      </c>
      <c r="BR862" s="1">
        <v>2E-3</v>
      </c>
      <c r="BS862" s="1">
        <v>1E-3</v>
      </c>
      <c r="BT862" s="1">
        <v>2E-3</v>
      </c>
      <c r="BU862" s="1">
        <v>3.0000000000000001E-3</v>
      </c>
      <c r="BV862" s="1">
        <v>2E-3</v>
      </c>
      <c r="BW862" s="1">
        <v>3.0000000000000001E-3</v>
      </c>
      <c r="BX862" s="1">
        <v>0.01</v>
      </c>
      <c r="BY862" s="1">
        <v>6.0000000000000001E-3</v>
      </c>
      <c r="BZ862" s="1">
        <v>5.0000000000000001E-3</v>
      </c>
      <c r="CA862" s="1">
        <v>4.0000000000000001E-3</v>
      </c>
      <c r="CB862" s="1">
        <v>1E-3</v>
      </c>
      <c r="CC862" s="1">
        <v>2E-3</v>
      </c>
      <c r="CD862" s="1">
        <v>0</v>
      </c>
      <c r="CE862" s="1">
        <v>2E-3</v>
      </c>
      <c r="CF862" s="1">
        <v>0.67400000000000004</v>
      </c>
      <c r="CG862" s="1">
        <v>8.9999999999999993E-3</v>
      </c>
      <c r="CH862" s="1">
        <v>1.0999999999999999E-2</v>
      </c>
      <c r="CI862" s="1">
        <v>4.0000000000000001E-3</v>
      </c>
      <c r="CJ862" s="1">
        <v>1.6E-2</v>
      </c>
      <c r="CK862" s="1">
        <v>2.1000000000000001E-2</v>
      </c>
      <c r="CL862" s="1">
        <v>1.2999999999999999E-2</v>
      </c>
      <c r="CM862" s="1">
        <v>-61.757223930000002</v>
      </c>
      <c r="CN862" s="83">
        <v>-2.396287917</v>
      </c>
    </row>
    <row r="863" spans="1:92" s="3" customFormat="1" x14ac:dyDescent="0.25">
      <c r="A863" s="72">
        <v>904</v>
      </c>
      <c r="B863" s="81" t="s">
        <v>1554</v>
      </c>
      <c r="C863" s="1" t="s">
        <v>83</v>
      </c>
      <c r="D863" s="1" t="s">
        <v>73</v>
      </c>
      <c r="E863" s="1" t="s">
        <v>74</v>
      </c>
      <c r="F863" s="1" t="s">
        <v>93</v>
      </c>
      <c r="G863" s="1" t="s">
        <v>568</v>
      </c>
      <c r="H863" s="1" t="s">
        <v>34</v>
      </c>
      <c r="I863" s="1"/>
      <c r="J863" s="9" t="s">
        <v>544</v>
      </c>
      <c r="K863" s="10">
        <v>0.46930566666666701</v>
      </c>
      <c r="L863" s="1" t="s">
        <v>76</v>
      </c>
      <c r="M863" s="1" t="s">
        <v>506</v>
      </c>
      <c r="N863" s="1" t="s">
        <v>645</v>
      </c>
      <c r="O863" s="1" t="s">
        <v>34</v>
      </c>
      <c r="P863" s="82">
        <v>0.999</v>
      </c>
      <c r="Q863" s="1" t="s">
        <v>76</v>
      </c>
      <c r="R863" s="81" t="s">
        <v>217</v>
      </c>
      <c r="S863" s="1">
        <v>3</v>
      </c>
      <c r="T863" s="1" t="s">
        <v>120</v>
      </c>
      <c r="U863" s="1" t="s">
        <v>660</v>
      </c>
      <c r="V863" s="1" t="s">
        <v>655</v>
      </c>
      <c r="W863" s="1">
        <v>14</v>
      </c>
      <c r="X863" s="1" t="s">
        <v>96</v>
      </c>
      <c r="Y863" s="1" t="s">
        <v>645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1E-3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0.999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52.0756175</v>
      </c>
      <c r="CN863" s="83">
        <v>-1.1306710339999999</v>
      </c>
    </row>
    <row r="864" spans="1:92" s="3" customFormat="1" hidden="1" x14ac:dyDescent="0.25">
      <c r="A864" s="72">
        <v>905</v>
      </c>
      <c r="B864" s="81" t="s">
        <v>1689</v>
      </c>
      <c r="C864" s="1" t="s">
        <v>83</v>
      </c>
      <c r="D864" s="1" t="s">
        <v>301</v>
      </c>
      <c r="E864" s="1" t="s">
        <v>74</v>
      </c>
      <c r="F864" s="1" t="s">
        <v>301</v>
      </c>
      <c r="G864" s="1" t="s">
        <v>76</v>
      </c>
      <c r="H864" s="1" t="s">
        <v>537</v>
      </c>
      <c r="I864" s="1"/>
      <c r="J864" s="9" t="s">
        <v>544</v>
      </c>
      <c r="K864" s="10">
        <v>0.321461833333334</v>
      </c>
      <c r="L864" s="1" t="s">
        <v>76</v>
      </c>
      <c r="M864" s="1" t="s">
        <v>506</v>
      </c>
      <c r="N864" s="1" t="s">
        <v>645</v>
      </c>
      <c r="O864" s="1" t="s">
        <v>21</v>
      </c>
      <c r="P864" s="82">
        <v>0.98599999999999999</v>
      </c>
      <c r="Q864" s="1" t="s">
        <v>76</v>
      </c>
      <c r="R864" s="81" t="s">
        <v>269</v>
      </c>
      <c r="S864" s="1" t="s">
        <v>76</v>
      </c>
      <c r="T864" s="1" t="s">
        <v>269</v>
      </c>
      <c r="U864" s="1" t="s">
        <v>76</v>
      </c>
      <c r="V864" s="1" t="s">
        <v>656</v>
      </c>
      <c r="W864" s="1">
        <v>57</v>
      </c>
      <c r="X864" s="1" t="s">
        <v>421</v>
      </c>
      <c r="Y864" s="1" t="s">
        <v>645</v>
      </c>
      <c r="Z864" s="1">
        <v>0</v>
      </c>
      <c r="AA864" s="1">
        <v>0</v>
      </c>
      <c r="AB864" s="1">
        <v>0</v>
      </c>
      <c r="AC864" s="1">
        <v>1E-3</v>
      </c>
      <c r="AD864" s="1">
        <v>0</v>
      </c>
      <c r="AE864" s="1">
        <v>0</v>
      </c>
      <c r="AF864" s="1">
        <v>0</v>
      </c>
      <c r="AG864" s="1">
        <v>0</v>
      </c>
      <c r="AH864" s="1">
        <v>1E-3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0.98599999999999999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1E-3</v>
      </c>
      <c r="BB864" s="1">
        <v>0</v>
      </c>
      <c r="BC864" s="1">
        <v>0</v>
      </c>
      <c r="BD864" s="1">
        <v>1E-3</v>
      </c>
      <c r="BE864" s="1">
        <v>0</v>
      </c>
      <c r="BF864" s="1">
        <v>0</v>
      </c>
      <c r="BG864" s="1">
        <v>0</v>
      </c>
      <c r="BH864" s="1">
        <v>1E-3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1E-3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1E-3</v>
      </c>
      <c r="CL864" s="1">
        <v>0</v>
      </c>
      <c r="CM864" s="1">
        <v>-65.457678459999997</v>
      </c>
      <c r="CN864" s="83">
        <v>-77.541417899999999</v>
      </c>
    </row>
    <row r="865" spans="1:92" s="3" customFormat="1" x14ac:dyDescent="0.25">
      <c r="A865" s="72">
        <v>906</v>
      </c>
      <c r="B865" s="81" t="s">
        <v>1025</v>
      </c>
      <c r="C865" s="1" t="s">
        <v>83</v>
      </c>
      <c r="D865" s="1" t="s">
        <v>73</v>
      </c>
      <c r="E865" s="1" t="s">
        <v>74</v>
      </c>
      <c r="F865" s="1" t="s">
        <v>128</v>
      </c>
      <c r="G865" s="1" t="s">
        <v>166</v>
      </c>
      <c r="H865" s="1" t="s">
        <v>535</v>
      </c>
      <c r="I865" s="1"/>
      <c r="J865" s="9" t="s">
        <v>506</v>
      </c>
      <c r="K865" s="10">
        <v>0.44844200000000001</v>
      </c>
      <c r="L865" s="1" t="s">
        <v>641</v>
      </c>
      <c r="M865" s="1" t="s">
        <v>76</v>
      </c>
      <c r="N865" s="1" t="s">
        <v>644</v>
      </c>
      <c r="O865" s="1" t="s">
        <v>55</v>
      </c>
      <c r="P865" s="82">
        <v>0.23599999999999999</v>
      </c>
      <c r="Q865" s="1" t="s">
        <v>76</v>
      </c>
      <c r="R865" s="81" t="s">
        <v>87</v>
      </c>
      <c r="S865" s="1">
        <v>1</v>
      </c>
      <c r="T865" s="1" t="s">
        <v>78</v>
      </c>
      <c r="U865" s="1" t="s">
        <v>658</v>
      </c>
      <c r="V865" s="1" t="s">
        <v>655</v>
      </c>
      <c r="W865" s="1">
        <v>24</v>
      </c>
      <c r="X865" s="1" t="s">
        <v>451</v>
      </c>
      <c r="Y865" s="1" t="s">
        <v>644</v>
      </c>
      <c r="Z865" s="1">
        <v>3.0000000000000001E-3</v>
      </c>
      <c r="AA865" s="1">
        <v>4.0000000000000001E-3</v>
      </c>
      <c r="AB865" s="1">
        <v>3.0000000000000001E-3</v>
      </c>
      <c r="AC865" s="1">
        <v>8.9999999999999993E-3</v>
      </c>
      <c r="AD865" s="1">
        <v>4.0000000000000001E-3</v>
      </c>
      <c r="AE865" s="1">
        <v>1.0999999999999999E-2</v>
      </c>
      <c r="AF865" s="1">
        <v>4.0000000000000001E-3</v>
      </c>
      <c r="AG865" s="1">
        <v>0</v>
      </c>
      <c r="AH865" s="1">
        <v>1.2E-2</v>
      </c>
      <c r="AI865" s="1">
        <v>1E-3</v>
      </c>
      <c r="AJ865" s="1">
        <v>0.05</v>
      </c>
      <c r="AK865" s="1">
        <v>1.4999999999999999E-2</v>
      </c>
      <c r="AL865" s="1">
        <v>1E-3</v>
      </c>
      <c r="AM865" s="1">
        <v>3.0000000000000001E-3</v>
      </c>
      <c r="AN865" s="1">
        <v>1.7999999999999999E-2</v>
      </c>
      <c r="AO865" s="1">
        <v>3.0000000000000001E-3</v>
      </c>
      <c r="AP865" s="1">
        <v>2E-3</v>
      </c>
      <c r="AQ865" s="1">
        <v>2E-3</v>
      </c>
      <c r="AR865" s="1">
        <v>1.2999999999999999E-2</v>
      </c>
      <c r="AS865" s="1">
        <v>8.9999999999999993E-3</v>
      </c>
      <c r="AT865" s="1">
        <v>4.0000000000000001E-3</v>
      </c>
      <c r="AU865" s="1">
        <v>8.0000000000000002E-3</v>
      </c>
      <c r="AV865" s="1">
        <v>3.0000000000000001E-3</v>
      </c>
      <c r="AW865" s="1">
        <v>4.0000000000000001E-3</v>
      </c>
      <c r="AX865" s="1">
        <v>5.0000000000000001E-3</v>
      </c>
      <c r="AY865" s="1">
        <v>5.0000000000000001E-3</v>
      </c>
      <c r="AZ865" s="1">
        <v>8.0000000000000002E-3</v>
      </c>
      <c r="BA865" s="1">
        <v>1.0999999999999999E-2</v>
      </c>
      <c r="BB865" s="1">
        <v>0.104</v>
      </c>
      <c r="BC865" s="1">
        <v>2E-3</v>
      </c>
      <c r="BD865" s="1">
        <v>1.4999999999999999E-2</v>
      </c>
      <c r="BE865" s="1">
        <v>2E-3</v>
      </c>
      <c r="BF865" s="1">
        <v>2E-3</v>
      </c>
      <c r="BG865" s="1">
        <v>2E-3</v>
      </c>
      <c r="BH865" s="1">
        <v>2E-3</v>
      </c>
      <c r="BI865" s="1">
        <v>2E-3</v>
      </c>
      <c r="BJ865" s="1">
        <v>2E-3</v>
      </c>
      <c r="BK865" s="1">
        <v>2E-3</v>
      </c>
      <c r="BL865" s="1">
        <v>4.0000000000000001E-3</v>
      </c>
      <c r="BM865" s="1">
        <v>2E-3</v>
      </c>
      <c r="BN865" s="1">
        <v>4.0000000000000001E-3</v>
      </c>
      <c r="BO865" s="1">
        <v>9.2999999999999999E-2</v>
      </c>
      <c r="BP865" s="1">
        <v>2E-3</v>
      </c>
      <c r="BQ865" s="1">
        <v>6.0000000000000001E-3</v>
      </c>
      <c r="BR865" s="1">
        <v>3.0000000000000001E-3</v>
      </c>
      <c r="BS865" s="1">
        <v>0.01</v>
      </c>
      <c r="BT865" s="1">
        <v>2E-3</v>
      </c>
      <c r="BU865" s="1">
        <v>4.0000000000000001E-3</v>
      </c>
      <c r="BV865" s="1">
        <v>1.4999999999999999E-2</v>
      </c>
      <c r="BW865" s="1">
        <v>6.0000000000000001E-3</v>
      </c>
      <c r="BX865" s="1">
        <v>0.23599999999999999</v>
      </c>
      <c r="BY865" s="1">
        <v>7.0000000000000001E-3</v>
      </c>
      <c r="BZ865" s="1">
        <v>8.0000000000000002E-3</v>
      </c>
      <c r="CA865" s="1">
        <v>3.0000000000000001E-3</v>
      </c>
      <c r="CB865" s="1">
        <v>2E-3</v>
      </c>
      <c r="CC865" s="1">
        <v>4.0000000000000001E-3</v>
      </c>
      <c r="CD865" s="1">
        <v>0</v>
      </c>
      <c r="CE865" s="1">
        <v>3.0000000000000001E-3</v>
      </c>
      <c r="CF865" s="1">
        <v>3.0000000000000001E-3</v>
      </c>
      <c r="CG865" s="1">
        <v>4.0000000000000001E-3</v>
      </c>
      <c r="CH865" s="1">
        <v>6.0000000000000001E-3</v>
      </c>
      <c r="CI865" s="1">
        <v>4.0000000000000001E-3</v>
      </c>
      <c r="CJ865" s="1">
        <v>6.0000000000000001E-3</v>
      </c>
      <c r="CK865" s="1">
        <v>0.182</v>
      </c>
      <c r="CL865" s="1">
        <v>2.5000000000000001E-2</v>
      </c>
      <c r="CM865" s="1">
        <v>-0.65127985099999997</v>
      </c>
      <c r="CN865" s="83">
        <v>21.628957490000001</v>
      </c>
    </row>
    <row r="866" spans="1:92" s="3" customFormat="1" x14ac:dyDescent="0.25">
      <c r="A866" s="72">
        <v>723</v>
      </c>
      <c r="B866" s="81" t="s">
        <v>1673</v>
      </c>
      <c r="C866" s="1" t="s">
        <v>83</v>
      </c>
      <c r="D866" s="1" t="s">
        <v>73</v>
      </c>
      <c r="E866" s="1" t="s">
        <v>99</v>
      </c>
      <c r="F866" s="1" t="s">
        <v>665</v>
      </c>
      <c r="G866" s="1" t="s">
        <v>76</v>
      </c>
      <c r="H866" s="1" t="s">
        <v>48</v>
      </c>
      <c r="I866" s="1"/>
      <c r="J866" s="9" t="s">
        <v>544</v>
      </c>
      <c r="K866" s="10">
        <v>0.45847650000000001</v>
      </c>
      <c r="L866" s="1" t="s">
        <v>541</v>
      </c>
      <c r="M866" s="1" t="s">
        <v>506</v>
      </c>
      <c r="N866" s="1" t="s">
        <v>647</v>
      </c>
      <c r="O866" s="1" t="s">
        <v>59</v>
      </c>
      <c r="P866" s="82">
        <v>1</v>
      </c>
      <c r="Q866" s="1" t="s">
        <v>76</v>
      </c>
      <c r="R866" s="81" t="s">
        <v>229</v>
      </c>
      <c r="S866" s="1">
        <v>3</v>
      </c>
      <c r="T866" s="1" t="s">
        <v>120</v>
      </c>
      <c r="U866" s="1" t="s">
        <v>658</v>
      </c>
      <c r="V866" s="1" t="s">
        <v>655</v>
      </c>
      <c r="W866" s="1">
        <v>44</v>
      </c>
      <c r="X866" s="1" t="s">
        <v>76</v>
      </c>
      <c r="Y866" s="1" t="s">
        <v>647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1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-55.010682750000001</v>
      </c>
      <c r="CN866" s="83">
        <v>25.361796040000002</v>
      </c>
    </row>
    <row r="867" spans="1:92" s="3" customFormat="1" x14ac:dyDescent="0.25">
      <c r="A867" s="72">
        <v>908</v>
      </c>
      <c r="B867" s="81" t="s">
        <v>798</v>
      </c>
      <c r="C867" s="1" t="s">
        <v>83</v>
      </c>
      <c r="D867" s="1" t="s">
        <v>73</v>
      </c>
      <c r="E867" s="1" t="s">
        <v>74</v>
      </c>
      <c r="F867" s="1" t="s">
        <v>128</v>
      </c>
      <c r="G867" s="1" t="s">
        <v>310</v>
      </c>
      <c r="H867" s="1" t="s">
        <v>570</v>
      </c>
      <c r="I867" s="1"/>
      <c r="J867" s="9" t="s">
        <v>544</v>
      </c>
      <c r="K867" s="10">
        <v>0.30383016666666701</v>
      </c>
      <c r="L867" s="1" t="s">
        <v>641</v>
      </c>
      <c r="M867" s="1" t="s">
        <v>76</v>
      </c>
      <c r="N867" s="1" t="s">
        <v>644</v>
      </c>
      <c r="O867" s="1" t="s">
        <v>37</v>
      </c>
      <c r="P867" s="82">
        <v>0.81</v>
      </c>
      <c r="Q867" s="1" t="s">
        <v>76</v>
      </c>
      <c r="R867" s="81" t="s">
        <v>81</v>
      </c>
      <c r="S867" s="1">
        <v>3</v>
      </c>
      <c r="T867" s="1" t="s">
        <v>78</v>
      </c>
      <c r="U867" s="1" t="s">
        <v>658</v>
      </c>
      <c r="V867" s="1" t="s">
        <v>655</v>
      </c>
      <c r="W867" s="1">
        <v>11</v>
      </c>
      <c r="X867" s="1" t="s">
        <v>423</v>
      </c>
      <c r="Y867" s="1" t="s">
        <v>644</v>
      </c>
      <c r="Z867" s="1">
        <v>1E-3</v>
      </c>
      <c r="AA867" s="1">
        <v>1E-3</v>
      </c>
      <c r="AB867" s="1">
        <v>0</v>
      </c>
      <c r="AC867" s="1">
        <v>2.1999999999999999E-2</v>
      </c>
      <c r="AD867" s="1">
        <v>1E-3</v>
      </c>
      <c r="AE867" s="1">
        <v>2E-3</v>
      </c>
      <c r="AF867" s="1">
        <v>0</v>
      </c>
      <c r="AG867" s="1">
        <v>0</v>
      </c>
      <c r="AH867" s="1">
        <v>2E-3</v>
      </c>
      <c r="AI867" s="1">
        <v>3.0000000000000001E-3</v>
      </c>
      <c r="AJ867" s="1">
        <v>0</v>
      </c>
      <c r="AK867" s="1">
        <v>1E-3</v>
      </c>
      <c r="AL867" s="1">
        <v>0</v>
      </c>
      <c r="AM867" s="1">
        <v>0</v>
      </c>
      <c r="AN867" s="1">
        <v>2.9000000000000001E-2</v>
      </c>
      <c r="AO867" s="1">
        <v>1E-3</v>
      </c>
      <c r="AP867" s="1">
        <v>1E-3</v>
      </c>
      <c r="AQ867" s="1">
        <v>0</v>
      </c>
      <c r="AR867" s="1">
        <v>0</v>
      </c>
      <c r="AS867" s="1">
        <v>1E-3</v>
      </c>
      <c r="AT867" s="1">
        <v>1E-3</v>
      </c>
      <c r="AU867" s="1">
        <v>0</v>
      </c>
      <c r="AV867" s="1">
        <v>0</v>
      </c>
      <c r="AW867" s="1">
        <v>1E-3</v>
      </c>
      <c r="AX867" s="1">
        <v>0</v>
      </c>
      <c r="AY867" s="1">
        <v>1E-3</v>
      </c>
      <c r="AZ867" s="1">
        <v>1E-3</v>
      </c>
      <c r="BA867" s="1">
        <v>2E-3</v>
      </c>
      <c r="BB867" s="1">
        <v>0</v>
      </c>
      <c r="BC867" s="1">
        <v>0</v>
      </c>
      <c r="BD867" s="1">
        <v>3.0000000000000001E-3</v>
      </c>
      <c r="BE867" s="1">
        <v>1E-3</v>
      </c>
      <c r="BF867" s="1">
        <v>0.81</v>
      </c>
      <c r="BG867" s="1">
        <v>0</v>
      </c>
      <c r="BH867" s="1">
        <v>6.5000000000000002E-2</v>
      </c>
      <c r="BI867" s="1">
        <v>0</v>
      </c>
      <c r="BJ867" s="1">
        <v>0</v>
      </c>
      <c r="BK867" s="1">
        <v>0</v>
      </c>
      <c r="BL867" s="1">
        <v>1E-3</v>
      </c>
      <c r="BM867" s="1">
        <v>1E-3</v>
      </c>
      <c r="BN867" s="1">
        <v>1E-3</v>
      </c>
      <c r="BO867" s="1">
        <v>0</v>
      </c>
      <c r="BP867" s="1">
        <v>0</v>
      </c>
      <c r="BQ867" s="1">
        <v>1E-3</v>
      </c>
      <c r="BR867" s="1">
        <v>1E-3</v>
      </c>
      <c r="BS867" s="1">
        <v>0</v>
      </c>
      <c r="BT867" s="1">
        <v>0</v>
      </c>
      <c r="BU867" s="1">
        <v>0</v>
      </c>
      <c r="BV867" s="1">
        <v>0</v>
      </c>
      <c r="BW867" s="1">
        <v>1E-3</v>
      </c>
      <c r="BX867" s="1">
        <v>2.4E-2</v>
      </c>
      <c r="BY867" s="1">
        <v>2E-3</v>
      </c>
      <c r="BZ867" s="1">
        <v>1E-3</v>
      </c>
      <c r="CA867" s="1">
        <v>1E-3</v>
      </c>
      <c r="CB867" s="1">
        <v>0</v>
      </c>
      <c r="CC867" s="1">
        <v>1E-3</v>
      </c>
      <c r="CD867" s="1">
        <v>0</v>
      </c>
      <c r="CE867" s="1">
        <v>1E-3</v>
      </c>
      <c r="CF867" s="1">
        <v>1E-3</v>
      </c>
      <c r="CG867" s="1">
        <v>1E-3</v>
      </c>
      <c r="CH867" s="1">
        <v>1E-3</v>
      </c>
      <c r="CI867" s="1">
        <v>1E-3</v>
      </c>
      <c r="CJ867" s="1">
        <v>1E-3</v>
      </c>
      <c r="CK867" s="1">
        <v>5.0000000000000001E-3</v>
      </c>
      <c r="CL867" s="1">
        <v>2E-3</v>
      </c>
      <c r="CM867" s="1">
        <v>-7.1409425310000003</v>
      </c>
      <c r="CN867" s="83">
        <v>-43.805069209999999</v>
      </c>
    </row>
    <row r="868" spans="1:92" s="3" customFormat="1" x14ac:dyDescent="0.25">
      <c r="A868" s="72">
        <v>909</v>
      </c>
      <c r="B868" s="81" t="s">
        <v>1015</v>
      </c>
      <c r="C868" s="1" t="s">
        <v>83</v>
      </c>
      <c r="D868" s="1" t="s">
        <v>73</v>
      </c>
      <c r="E868" s="1" t="s">
        <v>74</v>
      </c>
      <c r="F868" s="1" t="s">
        <v>128</v>
      </c>
      <c r="G868" s="1" t="s">
        <v>175</v>
      </c>
      <c r="H868" s="1" t="s">
        <v>535</v>
      </c>
      <c r="I868" s="1"/>
      <c r="J868" s="9" t="s">
        <v>506</v>
      </c>
      <c r="K868" s="10">
        <v>0.41473900000000002</v>
      </c>
      <c r="L868" s="1" t="s">
        <v>641</v>
      </c>
      <c r="M868" s="1" t="s">
        <v>76</v>
      </c>
      <c r="N868" s="1" t="s">
        <v>644</v>
      </c>
      <c r="O868" s="1" t="s">
        <v>33</v>
      </c>
      <c r="P868" s="82">
        <v>0.19700000000000001</v>
      </c>
      <c r="Q868" s="1" t="s">
        <v>76</v>
      </c>
      <c r="R868" s="81" t="s">
        <v>81</v>
      </c>
      <c r="S868" s="1">
        <v>4</v>
      </c>
      <c r="T868" s="1" t="s">
        <v>78</v>
      </c>
      <c r="U868" s="1" t="s">
        <v>658</v>
      </c>
      <c r="V868" s="1" t="s">
        <v>655</v>
      </c>
      <c r="W868" s="1">
        <v>54</v>
      </c>
      <c r="X868" s="1" t="s">
        <v>167</v>
      </c>
      <c r="Y868" s="1" t="s">
        <v>644</v>
      </c>
      <c r="Z868" s="1">
        <v>3.0000000000000001E-3</v>
      </c>
      <c r="AA868" s="1">
        <v>5.0000000000000001E-3</v>
      </c>
      <c r="AB868" s="1">
        <v>4.0000000000000001E-3</v>
      </c>
      <c r="AC868" s="1">
        <v>1.0999999999999999E-2</v>
      </c>
      <c r="AD868" s="1">
        <v>4.0000000000000001E-3</v>
      </c>
      <c r="AE868" s="1">
        <v>0.01</v>
      </c>
      <c r="AF868" s="1">
        <v>5.0000000000000001E-3</v>
      </c>
      <c r="AG868" s="1">
        <v>1E-3</v>
      </c>
      <c r="AH868" s="1">
        <v>1.4E-2</v>
      </c>
      <c r="AI868" s="1">
        <v>1E-3</v>
      </c>
      <c r="AJ868" s="1">
        <v>0.04</v>
      </c>
      <c r="AK868" s="1">
        <v>1.7000000000000001E-2</v>
      </c>
      <c r="AL868" s="1">
        <v>1E-3</v>
      </c>
      <c r="AM868" s="1">
        <v>4.0000000000000001E-3</v>
      </c>
      <c r="AN868" s="1">
        <v>1.6E-2</v>
      </c>
      <c r="AO868" s="1">
        <v>3.0000000000000001E-3</v>
      </c>
      <c r="AP868" s="1">
        <v>2E-3</v>
      </c>
      <c r="AQ868" s="1">
        <v>2E-3</v>
      </c>
      <c r="AR868" s="1">
        <v>1.2E-2</v>
      </c>
      <c r="AS868" s="1">
        <v>1.0999999999999999E-2</v>
      </c>
      <c r="AT868" s="1">
        <v>5.0000000000000001E-3</v>
      </c>
      <c r="AU868" s="1">
        <v>0.01</v>
      </c>
      <c r="AV868" s="1">
        <v>3.0000000000000001E-3</v>
      </c>
      <c r="AW868" s="1">
        <v>4.0000000000000001E-3</v>
      </c>
      <c r="AX868" s="1">
        <v>5.0000000000000001E-3</v>
      </c>
      <c r="AY868" s="1">
        <v>6.0000000000000001E-3</v>
      </c>
      <c r="AZ868" s="1">
        <v>8.0000000000000002E-3</v>
      </c>
      <c r="BA868" s="1">
        <v>1.2999999999999999E-2</v>
      </c>
      <c r="BB868" s="1">
        <v>0.19700000000000001</v>
      </c>
      <c r="BC868" s="1">
        <v>2E-3</v>
      </c>
      <c r="BD868" s="1">
        <v>1.6E-2</v>
      </c>
      <c r="BE868" s="1">
        <v>2E-3</v>
      </c>
      <c r="BF868" s="1">
        <v>2E-3</v>
      </c>
      <c r="BG868" s="1">
        <v>2E-3</v>
      </c>
      <c r="BH868" s="1">
        <v>2E-3</v>
      </c>
      <c r="BI868" s="1">
        <v>2E-3</v>
      </c>
      <c r="BJ868" s="1">
        <v>2E-3</v>
      </c>
      <c r="BK868" s="1">
        <v>2E-3</v>
      </c>
      <c r="BL868" s="1">
        <v>5.0000000000000001E-3</v>
      </c>
      <c r="BM868" s="1">
        <v>3.0000000000000001E-3</v>
      </c>
      <c r="BN868" s="1">
        <v>4.0000000000000001E-3</v>
      </c>
      <c r="BO868" s="1">
        <v>0.08</v>
      </c>
      <c r="BP868" s="1">
        <v>2E-3</v>
      </c>
      <c r="BQ868" s="1">
        <v>8.0000000000000002E-3</v>
      </c>
      <c r="BR868" s="1">
        <v>3.0000000000000001E-3</v>
      </c>
      <c r="BS868" s="1">
        <v>1.2999999999999999E-2</v>
      </c>
      <c r="BT868" s="1">
        <v>2E-3</v>
      </c>
      <c r="BU868" s="1">
        <v>8.9999999999999993E-3</v>
      </c>
      <c r="BV868" s="1">
        <v>1.7000000000000001E-2</v>
      </c>
      <c r="BW868" s="1">
        <v>5.0000000000000001E-3</v>
      </c>
      <c r="BX868" s="1">
        <v>0.16700000000000001</v>
      </c>
      <c r="BY868" s="1">
        <v>8.0000000000000002E-3</v>
      </c>
      <c r="BZ868" s="1">
        <v>8.0000000000000002E-3</v>
      </c>
      <c r="CA868" s="1">
        <v>4.0000000000000001E-3</v>
      </c>
      <c r="CB868" s="1">
        <v>2E-3</v>
      </c>
      <c r="CC868" s="1">
        <v>4.0000000000000001E-3</v>
      </c>
      <c r="CD868" s="1">
        <v>0</v>
      </c>
      <c r="CE868" s="1">
        <v>3.0000000000000001E-3</v>
      </c>
      <c r="CF868" s="1">
        <v>3.0000000000000001E-3</v>
      </c>
      <c r="CG868" s="1">
        <v>5.0000000000000001E-3</v>
      </c>
      <c r="CH868" s="1">
        <v>6.0000000000000001E-3</v>
      </c>
      <c r="CI868" s="1">
        <v>5.0000000000000001E-3</v>
      </c>
      <c r="CJ868" s="1">
        <v>7.0000000000000001E-3</v>
      </c>
      <c r="CK868" s="1">
        <v>0.16400000000000001</v>
      </c>
      <c r="CL868" s="1">
        <v>1.4999999999999999E-2</v>
      </c>
      <c r="CM868" s="1">
        <v>0.49861730300000001</v>
      </c>
      <c r="CN868" s="83">
        <v>20.013426849999998</v>
      </c>
    </row>
    <row r="869" spans="1:92" s="3" customFormat="1" x14ac:dyDescent="0.25">
      <c r="A869" s="72">
        <v>910</v>
      </c>
      <c r="B869" s="81" t="s">
        <v>1017</v>
      </c>
      <c r="C869" s="1" t="s">
        <v>83</v>
      </c>
      <c r="D869" s="1" t="s">
        <v>73</v>
      </c>
      <c r="E869" s="1" t="s">
        <v>99</v>
      </c>
      <c r="F869" s="1" t="s">
        <v>128</v>
      </c>
      <c r="G869" s="1" t="s">
        <v>303</v>
      </c>
      <c r="H869" s="1" t="s">
        <v>570</v>
      </c>
      <c r="I869" s="1"/>
      <c r="J869" s="9" t="s">
        <v>544</v>
      </c>
      <c r="K869" s="10">
        <v>0.47901333333333301</v>
      </c>
      <c r="L869" s="1" t="s">
        <v>641</v>
      </c>
      <c r="M869" s="1" t="s">
        <v>76</v>
      </c>
      <c r="N869" s="1" t="s">
        <v>644</v>
      </c>
      <c r="O869" s="1" t="s">
        <v>68</v>
      </c>
      <c r="P869" s="82">
        <v>0.122</v>
      </c>
      <c r="Q869" s="1" t="s">
        <v>76</v>
      </c>
      <c r="R869" s="81" t="s">
        <v>427</v>
      </c>
      <c r="S869" s="1">
        <v>3</v>
      </c>
      <c r="T869" s="1" t="s">
        <v>78</v>
      </c>
      <c r="U869" s="1" t="s">
        <v>658</v>
      </c>
      <c r="V869" s="1" t="s">
        <v>655</v>
      </c>
      <c r="W869" s="1">
        <v>61</v>
      </c>
      <c r="X869" s="1" t="s">
        <v>452</v>
      </c>
      <c r="Y869" s="1" t="s">
        <v>644</v>
      </c>
      <c r="Z869" s="1">
        <v>2E-3</v>
      </c>
      <c r="AA869" s="1">
        <v>7.0000000000000001E-3</v>
      </c>
      <c r="AB869" s="1">
        <v>6.0000000000000001E-3</v>
      </c>
      <c r="AC869" s="1">
        <v>5.2999999999999999E-2</v>
      </c>
      <c r="AD869" s="1">
        <v>5.0000000000000001E-3</v>
      </c>
      <c r="AE869" s="1">
        <v>7.0000000000000001E-3</v>
      </c>
      <c r="AF869" s="1">
        <v>5.0000000000000001E-3</v>
      </c>
      <c r="AG869" s="1">
        <v>1E-3</v>
      </c>
      <c r="AH869" s="1">
        <v>3.2000000000000001E-2</v>
      </c>
      <c r="AI869" s="1">
        <v>2E-3</v>
      </c>
      <c r="AJ869" s="1">
        <v>3.0000000000000001E-3</v>
      </c>
      <c r="AK869" s="1">
        <v>3.3000000000000002E-2</v>
      </c>
      <c r="AL869" s="1">
        <v>1E-3</v>
      </c>
      <c r="AM869" s="1">
        <v>3.0000000000000001E-3</v>
      </c>
      <c r="AN869" s="1">
        <v>3.0000000000000001E-3</v>
      </c>
      <c r="AO869" s="1">
        <v>3.5000000000000003E-2</v>
      </c>
      <c r="AP869" s="1">
        <v>5.0000000000000001E-3</v>
      </c>
      <c r="AQ869" s="1">
        <v>6.0000000000000001E-3</v>
      </c>
      <c r="AR869" s="1">
        <v>2E-3</v>
      </c>
      <c r="AS869" s="1">
        <v>7.6999999999999999E-2</v>
      </c>
      <c r="AT869" s="1">
        <v>3.7999999999999999E-2</v>
      </c>
      <c r="AU869" s="1">
        <v>5.0000000000000001E-3</v>
      </c>
      <c r="AV869" s="1">
        <v>3.0000000000000001E-3</v>
      </c>
      <c r="AW869" s="1">
        <v>1.2999999999999999E-2</v>
      </c>
      <c r="AX869" s="1">
        <v>5.0000000000000001E-3</v>
      </c>
      <c r="AY869" s="1">
        <v>8.9999999999999993E-3</v>
      </c>
      <c r="AZ869" s="1">
        <v>0.01</v>
      </c>
      <c r="BA869" s="1">
        <v>2.1000000000000001E-2</v>
      </c>
      <c r="BB869" s="1">
        <v>7.0000000000000001E-3</v>
      </c>
      <c r="BC869" s="1">
        <v>3.0000000000000001E-3</v>
      </c>
      <c r="BD869" s="1">
        <v>3.7999999999999999E-2</v>
      </c>
      <c r="BE869" s="1">
        <v>4.0000000000000001E-3</v>
      </c>
      <c r="BF869" s="1">
        <v>2E-3</v>
      </c>
      <c r="BG869" s="1">
        <v>0.01</v>
      </c>
      <c r="BH869" s="1">
        <v>8.0000000000000002E-3</v>
      </c>
      <c r="BI869" s="1">
        <v>5.0000000000000001E-3</v>
      </c>
      <c r="BJ869" s="1">
        <v>2E-3</v>
      </c>
      <c r="BK869" s="1">
        <v>5.0000000000000001E-3</v>
      </c>
      <c r="BL869" s="1">
        <v>1.4E-2</v>
      </c>
      <c r="BM869" s="1">
        <v>6.0000000000000001E-3</v>
      </c>
      <c r="BN869" s="1">
        <v>0.02</v>
      </c>
      <c r="BO869" s="1">
        <v>3.0000000000000001E-3</v>
      </c>
      <c r="BP869" s="1">
        <v>2E-3</v>
      </c>
      <c r="BQ869" s="1">
        <v>1.4E-2</v>
      </c>
      <c r="BR869" s="1">
        <v>6.0000000000000001E-3</v>
      </c>
      <c r="BS869" s="1">
        <v>3.0000000000000001E-3</v>
      </c>
      <c r="BT869" s="1">
        <v>4.0000000000000001E-3</v>
      </c>
      <c r="BU869" s="1">
        <v>2E-3</v>
      </c>
      <c r="BV869" s="1">
        <v>8.5999999999999993E-2</v>
      </c>
      <c r="BW869" s="1">
        <v>7.0000000000000001E-3</v>
      </c>
      <c r="BX869" s="1">
        <v>2.9000000000000001E-2</v>
      </c>
      <c r="BY869" s="1">
        <v>2.8000000000000001E-2</v>
      </c>
      <c r="BZ869" s="1">
        <v>8.0000000000000002E-3</v>
      </c>
      <c r="CA869" s="1">
        <v>4.0000000000000001E-3</v>
      </c>
      <c r="CB869" s="1">
        <v>1E-3</v>
      </c>
      <c r="CC869" s="1">
        <v>6.0000000000000001E-3</v>
      </c>
      <c r="CD869" s="1">
        <v>1E-3</v>
      </c>
      <c r="CE869" s="1">
        <v>5.0000000000000001E-3</v>
      </c>
      <c r="CF869" s="1">
        <v>1.6E-2</v>
      </c>
      <c r="CG869" s="1">
        <v>2.5000000000000001E-2</v>
      </c>
      <c r="CH869" s="1">
        <v>2.4E-2</v>
      </c>
      <c r="CI869" s="1">
        <v>1.7999999999999999E-2</v>
      </c>
      <c r="CJ869" s="1">
        <v>5.8999999999999997E-2</v>
      </c>
      <c r="CK869" s="1">
        <v>0.122</v>
      </c>
      <c r="CL869" s="1">
        <v>1.4999999999999999E-2</v>
      </c>
      <c r="CM869" s="1">
        <v>-8.2564189040000002</v>
      </c>
      <c r="CN869" s="83">
        <v>-4.6346424720000003</v>
      </c>
    </row>
    <row r="870" spans="1:92" s="3" customFormat="1" x14ac:dyDescent="0.25">
      <c r="A870" s="72">
        <v>911</v>
      </c>
      <c r="B870" s="81" t="s">
        <v>1479</v>
      </c>
      <c r="C870" s="1" t="s">
        <v>83</v>
      </c>
      <c r="D870" s="1" t="s">
        <v>73</v>
      </c>
      <c r="E870" s="1" t="s">
        <v>74</v>
      </c>
      <c r="F870" s="1" t="s">
        <v>97</v>
      </c>
      <c r="G870" s="1" t="s">
        <v>453</v>
      </c>
      <c r="H870" s="1" t="s">
        <v>97</v>
      </c>
      <c r="I870" s="1"/>
      <c r="J870" s="9" t="s">
        <v>506</v>
      </c>
      <c r="K870" s="10">
        <v>0.40356566666666599</v>
      </c>
      <c r="L870" s="1" t="s">
        <v>641</v>
      </c>
      <c r="M870" s="1" t="s">
        <v>76</v>
      </c>
      <c r="N870" s="1" t="s">
        <v>644</v>
      </c>
      <c r="O870" s="1" t="s">
        <v>55</v>
      </c>
      <c r="P870" s="82">
        <v>0.36</v>
      </c>
      <c r="Q870" s="1" t="s">
        <v>76</v>
      </c>
      <c r="R870" s="81" t="s">
        <v>77</v>
      </c>
      <c r="S870" s="1" t="s">
        <v>76</v>
      </c>
      <c r="T870" s="1" t="s">
        <v>78</v>
      </c>
      <c r="U870" s="1" t="s">
        <v>658</v>
      </c>
      <c r="V870" s="1" t="s">
        <v>655</v>
      </c>
      <c r="W870" s="1">
        <v>5</v>
      </c>
      <c r="X870" s="1" t="s">
        <v>423</v>
      </c>
      <c r="Y870" s="1" t="s">
        <v>644</v>
      </c>
      <c r="Z870" s="1">
        <v>2E-3</v>
      </c>
      <c r="AA870" s="1">
        <v>3.0000000000000001E-3</v>
      </c>
      <c r="AB870" s="1">
        <v>3.0000000000000001E-3</v>
      </c>
      <c r="AC870" s="1">
        <v>1.4999999999999999E-2</v>
      </c>
      <c r="AD870" s="1">
        <v>3.0000000000000001E-3</v>
      </c>
      <c r="AE870" s="1">
        <v>5.0000000000000001E-3</v>
      </c>
      <c r="AF870" s="1">
        <v>3.0000000000000001E-3</v>
      </c>
      <c r="AG870" s="1">
        <v>0</v>
      </c>
      <c r="AH870" s="1">
        <v>1.0999999999999999E-2</v>
      </c>
      <c r="AI870" s="1">
        <v>1E-3</v>
      </c>
      <c r="AJ870" s="1">
        <v>1.4E-2</v>
      </c>
      <c r="AK870" s="1">
        <v>1.4E-2</v>
      </c>
      <c r="AL870" s="1">
        <v>0</v>
      </c>
      <c r="AM870" s="1">
        <v>2E-3</v>
      </c>
      <c r="AN870" s="1">
        <v>5.0000000000000001E-3</v>
      </c>
      <c r="AO870" s="1">
        <v>3.0000000000000001E-3</v>
      </c>
      <c r="AP870" s="1">
        <v>2E-3</v>
      </c>
      <c r="AQ870" s="1">
        <v>2E-3</v>
      </c>
      <c r="AR870" s="1">
        <v>3.0000000000000001E-3</v>
      </c>
      <c r="AS870" s="1">
        <v>0.01</v>
      </c>
      <c r="AT870" s="1">
        <v>5.0000000000000001E-3</v>
      </c>
      <c r="AU870" s="1">
        <v>5.0000000000000001E-3</v>
      </c>
      <c r="AV870" s="1">
        <v>2E-3</v>
      </c>
      <c r="AW870" s="1">
        <v>3.0000000000000001E-3</v>
      </c>
      <c r="AX870" s="1">
        <v>2E-3</v>
      </c>
      <c r="AY870" s="1">
        <v>4.0000000000000001E-3</v>
      </c>
      <c r="AZ870" s="1">
        <v>5.0000000000000001E-3</v>
      </c>
      <c r="BA870" s="1">
        <v>0.01</v>
      </c>
      <c r="BB870" s="1">
        <v>0.28799999999999998</v>
      </c>
      <c r="BC870" s="1">
        <v>2E-3</v>
      </c>
      <c r="BD870" s="1">
        <v>1.2999999999999999E-2</v>
      </c>
      <c r="BE870" s="1">
        <v>2E-3</v>
      </c>
      <c r="BF870" s="1">
        <v>1E-3</v>
      </c>
      <c r="BG870" s="1">
        <v>2E-3</v>
      </c>
      <c r="BH870" s="1">
        <v>2E-3</v>
      </c>
      <c r="BI870" s="1">
        <v>2E-3</v>
      </c>
      <c r="BJ870" s="1">
        <v>1E-3</v>
      </c>
      <c r="BK870" s="1">
        <v>1E-3</v>
      </c>
      <c r="BL870" s="1">
        <v>4.0000000000000001E-3</v>
      </c>
      <c r="BM870" s="1">
        <v>2E-3</v>
      </c>
      <c r="BN870" s="1">
        <v>4.0000000000000001E-3</v>
      </c>
      <c r="BO870" s="1">
        <v>1.2999999999999999E-2</v>
      </c>
      <c r="BP870" s="1">
        <v>1E-3</v>
      </c>
      <c r="BQ870" s="1">
        <v>6.0000000000000001E-3</v>
      </c>
      <c r="BR870" s="1">
        <v>3.0000000000000001E-3</v>
      </c>
      <c r="BS870" s="1">
        <v>4.0000000000000001E-3</v>
      </c>
      <c r="BT870" s="1">
        <v>2E-3</v>
      </c>
      <c r="BU870" s="1">
        <v>5.0000000000000001E-3</v>
      </c>
      <c r="BV870" s="1">
        <v>3.5999999999999997E-2</v>
      </c>
      <c r="BW870" s="1">
        <v>4.0000000000000001E-3</v>
      </c>
      <c r="BX870" s="1">
        <v>0.36</v>
      </c>
      <c r="BY870" s="1">
        <v>7.0000000000000001E-3</v>
      </c>
      <c r="BZ870" s="1">
        <v>5.0000000000000001E-3</v>
      </c>
      <c r="CA870" s="1">
        <v>2E-3</v>
      </c>
      <c r="CB870" s="1">
        <v>1E-3</v>
      </c>
      <c r="CC870" s="1">
        <v>4.0000000000000001E-3</v>
      </c>
      <c r="CD870" s="1">
        <v>0</v>
      </c>
      <c r="CE870" s="1">
        <v>2E-3</v>
      </c>
      <c r="CF870" s="1">
        <v>2E-3</v>
      </c>
      <c r="CG870" s="1">
        <v>4.0000000000000001E-3</v>
      </c>
      <c r="CH870" s="1">
        <v>6.0000000000000001E-3</v>
      </c>
      <c r="CI870" s="1">
        <v>5.0000000000000001E-3</v>
      </c>
      <c r="CJ870" s="1">
        <v>6.0000000000000001E-3</v>
      </c>
      <c r="CK870" s="1">
        <v>5.5E-2</v>
      </c>
      <c r="CL870" s="1">
        <v>6.0000000000000001E-3</v>
      </c>
      <c r="CM870" s="1">
        <v>-5.2891951180000003</v>
      </c>
      <c r="CN870" s="83">
        <v>6.3495643380000004</v>
      </c>
    </row>
    <row r="871" spans="1:92" s="3" customFormat="1" x14ac:dyDescent="0.25">
      <c r="A871" s="72">
        <v>912</v>
      </c>
      <c r="B871" s="81" t="s">
        <v>1630</v>
      </c>
      <c r="C871" s="1" t="s">
        <v>83</v>
      </c>
      <c r="D871" s="1" t="s">
        <v>73</v>
      </c>
      <c r="E871" s="1" t="s">
        <v>99</v>
      </c>
      <c r="F871" s="1" t="s">
        <v>155</v>
      </c>
      <c r="G871" s="1" t="s">
        <v>76</v>
      </c>
      <c r="H871" s="1" t="s">
        <v>156</v>
      </c>
      <c r="I871" s="1"/>
      <c r="J871" s="9" t="s">
        <v>506</v>
      </c>
      <c r="K871" s="10">
        <v>0.29431633333333301</v>
      </c>
      <c r="L871" s="1" t="s">
        <v>641</v>
      </c>
      <c r="M871" s="1" t="s">
        <v>76</v>
      </c>
      <c r="N871" s="1" t="s">
        <v>644</v>
      </c>
      <c r="O871" s="1" t="s">
        <v>15</v>
      </c>
      <c r="P871" s="82">
        <v>0.28199999999999997</v>
      </c>
      <c r="Q871" s="1" t="s">
        <v>76</v>
      </c>
      <c r="R871" s="81" t="s">
        <v>91</v>
      </c>
      <c r="S871" s="1" t="s">
        <v>76</v>
      </c>
      <c r="T871" s="1" t="s">
        <v>78</v>
      </c>
      <c r="U871" s="1" t="s">
        <v>658</v>
      </c>
      <c r="V871" s="1" t="s">
        <v>654</v>
      </c>
      <c r="W871" s="1">
        <v>37</v>
      </c>
      <c r="X871" s="1" t="s">
        <v>454</v>
      </c>
      <c r="Y871" s="1" t="s">
        <v>644</v>
      </c>
      <c r="Z871" s="1">
        <v>6.6000000000000003E-2</v>
      </c>
      <c r="AA871" s="1">
        <v>3.0000000000000001E-3</v>
      </c>
      <c r="AB871" s="1">
        <v>3.0000000000000001E-3</v>
      </c>
      <c r="AC871" s="1">
        <v>2.1000000000000001E-2</v>
      </c>
      <c r="AD871" s="1">
        <v>4.0000000000000001E-3</v>
      </c>
      <c r="AE871" s="1">
        <v>2.4E-2</v>
      </c>
      <c r="AF871" s="1">
        <v>4.0000000000000001E-3</v>
      </c>
      <c r="AG871" s="1">
        <v>0</v>
      </c>
      <c r="AH871" s="1">
        <v>4.1000000000000002E-2</v>
      </c>
      <c r="AI871" s="1">
        <v>2E-3</v>
      </c>
      <c r="AJ871" s="1">
        <v>0.28199999999999997</v>
      </c>
      <c r="AK871" s="1">
        <v>7.0000000000000001E-3</v>
      </c>
      <c r="AL871" s="1">
        <v>1E-3</v>
      </c>
      <c r="AM871" s="1">
        <v>3.0000000000000001E-3</v>
      </c>
      <c r="AN871" s="1">
        <v>0.17</v>
      </c>
      <c r="AO871" s="1">
        <v>2E-3</v>
      </c>
      <c r="AP871" s="1">
        <v>2E-3</v>
      </c>
      <c r="AQ871" s="1">
        <v>2E-3</v>
      </c>
      <c r="AR871" s="1">
        <v>8.0000000000000002E-3</v>
      </c>
      <c r="AS871" s="1">
        <v>8.9999999999999993E-3</v>
      </c>
      <c r="AT871" s="1">
        <v>4.0000000000000001E-3</v>
      </c>
      <c r="AU871" s="1">
        <v>4.0000000000000001E-3</v>
      </c>
      <c r="AV871" s="1">
        <v>4.0000000000000001E-3</v>
      </c>
      <c r="AW871" s="1">
        <v>3.0000000000000001E-3</v>
      </c>
      <c r="AX871" s="1">
        <v>2E-3</v>
      </c>
      <c r="AY871" s="1">
        <v>6.0000000000000001E-3</v>
      </c>
      <c r="AZ871" s="1">
        <v>8.0000000000000002E-3</v>
      </c>
      <c r="BA871" s="1">
        <v>1.0999999999999999E-2</v>
      </c>
      <c r="BB871" s="1">
        <v>6.0000000000000001E-3</v>
      </c>
      <c r="BC871" s="1">
        <v>2E-3</v>
      </c>
      <c r="BD871" s="1">
        <v>0.02</v>
      </c>
      <c r="BE871" s="1">
        <v>2E-3</v>
      </c>
      <c r="BF871" s="1">
        <v>1.2999999999999999E-2</v>
      </c>
      <c r="BG871" s="1">
        <v>1E-3</v>
      </c>
      <c r="BH871" s="1">
        <v>4.0000000000000001E-3</v>
      </c>
      <c r="BI871" s="1">
        <v>2E-3</v>
      </c>
      <c r="BJ871" s="1">
        <v>1E-3</v>
      </c>
      <c r="BK871" s="1">
        <v>1E-3</v>
      </c>
      <c r="BL871" s="1">
        <v>3.0000000000000001E-3</v>
      </c>
      <c r="BM871" s="1">
        <v>2E-3</v>
      </c>
      <c r="BN871" s="1">
        <v>3.0000000000000001E-3</v>
      </c>
      <c r="BO871" s="1">
        <v>1.9E-2</v>
      </c>
      <c r="BP871" s="1">
        <v>1E-3</v>
      </c>
      <c r="BQ871" s="1">
        <v>5.0000000000000001E-3</v>
      </c>
      <c r="BR871" s="1">
        <v>3.0000000000000001E-3</v>
      </c>
      <c r="BS871" s="1">
        <v>4.0000000000000001E-3</v>
      </c>
      <c r="BT871" s="1">
        <v>2E-3</v>
      </c>
      <c r="BU871" s="1">
        <v>1.2E-2</v>
      </c>
      <c r="BV871" s="1">
        <v>1.0999999999999999E-2</v>
      </c>
      <c r="BW871" s="1">
        <v>3.0000000000000001E-3</v>
      </c>
      <c r="BX871" s="1">
        <v>6.8000000000000005E-2</v>
      </c>
      <c r="BY871" s="1">
        <v>7.0000000000000001E-3</v>
      </c>
      <c r="BZ871" s="1">
        <v>5.0000000000000001E-3</v>
      </c>
      <c r="CA871" s="1">
        <v>4.0000000000000001E-3</v>
      </c>
      <c r="CB871" s="1">
        <v>2E-3</v>
      </c>
      <c r="CC871" s="1">
        <v>3.0000000000000001E-3</v>
      </c>
      <c r="CD871" s="1">
        <v>0</v>
      </c>
      <c r="CE871" s="1">
        <v>3.0000000000000001E-3</v>
      </c>
      <c r="CF871" s="1">
        <v>3.0000000000000001E-3</v>
      </c>
      <c r="CG871" s="1">
        <v>8.0000000000000002E-3</v>
      </c>
      <c r="CH871" s="1">
        <v>5.0000000000000001E-3</v>
      </c>
      <c r="CI871" s="1">
        <v>4.0000000000000001E-3</v>
      </c>
      <c r="CJ871" s="1">
        <v>6.0000000000000001E-3</v>
      </c>
      <c r="CK871" s="1">
        <v>6.0999999999999999E-2</v>
      </c>
      <c r="CL871" s="1">
        <v>4.0000000000000001E-3</v>
      </c>
      <c r="CM871" s="1">
        <v>-18.75028477</v>
      </c>
      <c r="CN871" s="83">
        <v>-11.710823250000001</v>
      </c>
    </row>
    <row r="872" spans="1:92" s="3" customFormat="1" x14ac:dyDescent="0.25">
      <c r="A872" s="72">
        <v>913</v>
      </c>
      <c r="B872" s="81" t="s">
        <v>1634</v>
      </c>
      <c r="C872" s="1" t="s">
        <v>83</v>
      </c>
      <c r="D872" s="1" t="s">
        <v>73</v>
      </c>
      <c r="E872" s="1" t="s">
        <v>99</v>
      </c>
      <c r="F872" s="1" t="s">
        <v>211</v>
      </c>
      <c r="G872" s="1" t="s">
        <v>76</v>
      </c>
      <c r="H872" s="1" t="s">
        <v>212</v>
      </c>
      <c r="I872" s="1"/>
      <c r="J872" s="9" t="s">
        <v>544</v>
      </c>
      <c r="K872" s="10">
        <v>0.4622735</v>
      </c>
      <c r="L872" s="1" t="s">
        <v>641</v>
      </c>
      <c r="M872" s="1" t="s">
        <v>76</v>
      </c>
      <c r="N872" s="1" t="s">
        <v>649</v>
      </c>
      <c r="O872" s="1" t="s">
        <v>68</v>
      </c>
      <c r="P872" s="82">
        <v>0.81399999999999995</v>
      </c>
      <c r="Q872" s="1" t="s">
        <v>76</v>
      </c>
      <c r="R872" s="81" t="s">
        <v>169</v>
      </c>
      <c r="S872" s="1">
        <v>3</v>
      </c>
      <c r="T872" s="1" t="s">
        <v>120</v>
      </c>
      <c r="U872" s="1" t="s">
        <v>658</v>
      </c>
      <c r="V872" s="1" t="s">
        <v>655</v>
      </c>
      <c r="W872" s="1">
        <v>28</v>
      </c>
      <c r="X872" s="1" t="s">
        <v>391</v>
      </c>
      <c r="Y872" s="1" t="s">
        <v>649</v>
      </c>
      <c r="Z872" s="1">
        <v>1E-3</v>
      </c>
      <c r="AA872" s="1">
        <v>1E-3</v>
      </c>
      <c r="AB872" s="1">
        <v>1E-3</v>
      </c>
      <c r="AC872" s="1">
        <v>2E-3</v>
      </c>
      <c r="AD872" s="1">
        <v>1E-3</v>
      </c>
      <c r="AE872" s="1">
        <v>0</v>
      </c>
      <c r="AF872" s="1">
        <v>1E-3</v>
      </c>
      <c r="AG872" s="1">
        <v>0</v>
      </c>
      <c r="AH872" s="1">
        <v>1E-3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1E-3</v>
      </c>
      <c r="AS872" s="1">
        <v>1E-3</v>
      </c>
      <c r="AT872" s="1">
        <v>0</v>
      </c>
      <c r="AU872" s="1">
        <v>1E-3</v>
      </c>
      <c r="AV872" s="1">
        <v>0</v>
      </c>
      <c r="AW872" s="1">
        <v>0</v>
      </c>
      <c r="AX872" s="1">
        <v>3.0000000000000001E-3</v>
      </c>
      <c r="AY872" s="1">
        <v>1E-3</v>
      </c>
      <c r="AZ872" s="1">
        <v>2E-3</v>
      </c>
      <c r="BA872" s="1">
        <v>2E-3</v>
      </c>
      <c r="BB872" s="1">
        <v>0</v>
      </c>
      <c r="BC872" s="1">
        <v>0</v>
      </c>
      <c r="BD872" s="1">
        <v>2E-3</v>
      </c>
      <c r="BE872" s="1">
        <v>1E-3</v>
      </c>
      <c r="BF872" s="1">
        <v>1E-3</v>
      </c>
      <c r="BG872" s="1">
        <v>0</v>
      </c>
      <c r="BH872" s="1">
        <v>0</v>
      </c>
      <c r="BI872" s="1">
        <v>0</v>
      </c>
      <c r="BJ872" s="1">
        <v>1E-3</v>
      </c>
      <c r="BK872" s="1">
        <v>0</v>
      </c>
      <c r="BL872" s="1">
        <v>1E-3</v>
      </c>
      <c r="BM872" s="1">
        <v>0</v>
      </c>
      <c r="BN872" s="1">
        <v>1E-3</v>
      </c>
      <c r="BO872" s="1">
        <v>0</v>
      </c>
      <c r="BP872" s="1">
        <v>1E-3</v>
      </c>
      <c r="BQ872" s="1">
        <v>1E-3</v>
      </c>
      <c r="BR872" s="1">
        <v>0</v>
      </c>
      <c r="BS872" s="1">
        <v>1E-3</v>
      </c>
      <c r="BT872" s="1">
        <v>0</v>
      </c>
      <c r="BU872" s="1">
        <v>3.0000000000000001E-3</v>
      </c>
      <c r="BV872" s="1">
        <v>0</v>
      </c>
      <c r="BW872" s="1">
        <v>0</v>
      </c>
      <c r="BX872" s="1">
        <v>1E-3</v>
      </c>
      <c r="BY872" s="1">
        <v>1E-3</v>
      </c>
      <c r="BZ872" s="1">
        <v>2E-3</v>
      </c>
      <c r="CA872" s="1">
        <v>0</v>
      </c>
      <c r="CB872" s="1">
        <v>1E-3</v>
      </c>
      <c r="CC872" s="1">
        <v>1E-3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1E-3</v>
      </c>
      <c r="CJ872" s="1">
        <v>1E-3</v>
      </c>
      <c r="CK872" s="1">
        <v>0.81399999999999995</v>
      </c>
      <c r="CL872" s="1">
        <v>0.14199999999999999</v>
      </c>
      <c r="CM872" s="1">
        <v>48.705595029999998</v>
      </c>
      <c r="CN872" s="83">
        <v>-73.505501539999997</v>
      </c>
    </row>
    <row r="873" spans="1:92" s="3" customFormat="1" x14ac:dyDescent="0.25">
      <c r="A873" s="72">
        <v>914</v>
      </c>
      <c r="B873" s="81" t="s">
        <v>1503</v>
      </c>
      <c r="C873" s="1" t="s">
        <v>83</v>
      </c>
      <c r="D873" s="1" t="s">
        <v>73</v>
      </c>
      <c r="E873" s="1" t="s">
        <v>99</v>
      </c>
      <c r="F873" s="1" t="s">
        <v>211</v>
      </c>
      <c r="G873" s="1" t="s">
        <v>76</v>
      </c>
      <c r="H873" s="1" t="s">
        <v>212</v>
      </c>
      <c r="I873" s="1"/>
      <c r="J873" s="9" t="s">
        <v>544</v>
      </c>
      <c r="K873" s="10">
        <v>0.43199416666666601</v>
      </c>
      <c r="L873" s="1" t="s">
        <v>76</v>
      </c>
      <c r="M873" s="1" t="s">
        <v>506</v>
      </c>
      <c r="N873" s="1" t="s">
        <v>645</v>
      </c>
      <c r="O873" s="1" t="s">
        <v>68</v>
      </c>
      <c r="P873" s="82">
        <v>0.98599999999999999</v>
      </c>
      <c r="Q873" s="1" t="s">
        <v>76</v>
      </c>
      <c r="R873" s="81" t="s">
        <v>169</v>
      </c>
      <c r="S873" s="1">
        <v>3</v>
      </c>
      <c r="T873" s="1" t="s">
        <v>120</v>
      </c>
      <c r="U873" s="1" t="s">
        <v>660</v>
      </c>
      <c r="V873" s="1" t="s">
        <v>655</v>
      </c>
      <c r="W873" s="1">
        <v>75</v>
      </c>
      <c r="X873" s="1" t="s">
        <v>446</v>
      </c>
      <c r="Y873" s="1" t="s">
        <v>645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8.0000000000000002E-3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0.98599999999999999</v>
      </c>
      <c r="CL873" s="1">
        <v>0</v>
      </c>
      <c r="CM873" s="1">
        <v>30.562497560000001</v>
      </c>
      <c r="CN873" s="83">
        <v>-49.029094139999998</v>
      </c>
    </row>
    <row r="874" spans="1:92" s="3" customFormat="1" x14ac:dyDescent="0.25">
      <c r="A874" s="72">
        <v>915</v>
      </c>
      <c r="B874" s="81" t="s">
        <v>1584</v>
      </c>
      <c r="C874" s="1" t="s">
        <v>83</v>
      </c>
      <c r="D874" s="1" t="s">
        <v>73</v>
      </c>
      <c r="E874" s="1" t="s">
        <v>99</v>
      </c>
      <c r="F874" s="1" t="s">
        <v>211</v>
      </c>
      <c r="G874" s="1" t="s">
        <v>76</v>
      </c>
      <c r="H874" s="1" t="s">
        <v>212</v>
      </c>
      <c r="I874" s="1"/>
      <c r="J874" s="9" t="s">
        <v>544</v>
      </c>
      <c r="K874" s="10">
        <v>0.47678416666666601</v>
      </c>
      <c r="L874" s="1" t="s">
        <v>641</v>
      </c>
      <c r="M874" s="1" t="s">
        <v>76</v>
      </c>
      <c r="N874" s="1" t="s">
        <v>649</v>
      </c>
      <c r="O874" s="1" t="s">
        <v>68</v>
      </c>
      <c r="P874" s="82">
        <v>0.61299999999999999</v>
      </c>
      <c r="Q874" s="1" t="s">
        <v>76</v>
      </c>
      <c r="R874" s="81" t="s">
        <v>169</v>
      </c>
      <c r="S874" s="1">
        <v>2</v>
      </c>
      <c r="T874" s="1" t="s">
        <v>120</v>
      </c>
      <c r="U874" s="1" t="s">
        <v>658</v>
      </c>
      <c r="V874" s="1" t="s">
        <v>655</v>
      </c>
      <c r="W874" s="1">
        <v>68</v>
      </c>
      <c r="X874" s="1" t="s">
        <v>391</v>
      </c>
      <c r="Y874" s="1" t="s">
        <v>649</v>
      </c>
      <c r="Z874" s="1">
        <v>3.0000000000000001E-3</v>
      </c>
      <c r="AA874" s="1">
        <v>1E-3</v>
      </c>
      <c r="AB874" s="1">
        <v>1E-3</v>
      </c>
      <c r="AC874" s="1">
        <v>3.0000000000000001E-3</v>
      </c>
      <c r="AD874" s="1">
        <v>2E-3</v>
      </c>
      <c r="AE874" s="1">
        <v>1E-3</v>
      </c>
      <c r="AF874" s="1">
        <v>2E-3</v>
      </c>
      <c r="AG874" s="1">
        <v>0</v>
      </c>
      <c r="AH874" s="1">
        <v>2E-3</v>
      </c>
      <c r="AI874" s="1">
        <v>0</v>
      </c>
      <c r="AJ874" s="1">
        <v>1E-3</v>
      </c>
      <c r="AK874" s="1">
        <v>1E-3</v>
      </c>
      <c r="AL874" s="1">
        <v>0</v>
      </c>
      <c r="AM874" s="1">
        <v>0</v>
      </c>
      <c r="AN874" s="1">
        <v>1E-3</v>
      </c>
      <c r="AO874" s="1">
        <v>1E-3</v>
      </c>
      <c r="AP874" s="1">
        <v>1E-3</v>
      </c>
      <c r="AQ874" s="1">
        <v>1E-3</v>
      </c>
      <c r="AR874" s="1">
        <v>2E-3</v>
      </c>
      <c r="AS874" s="1">
        <v>3.0000000000000001E-3</v>
      </c>
      <c r="AT874" s="1">
        <v>1E-3</v>
      </c>
      <c r="AU874" s="1">
        <v>2E-3</v>
      </c>
      <c r="AV874" s="1">
        <v>1E-3</v>
      </c>
      <c r="AW874" s="1">
        <v>1E-3</v>
      </c>
      <c r="AX874" s="1">
        <v>3.0000000000000001E-3</v>
      </c>
      <c r="AY874" s="1">
        <v>2E-3</v>
      </c>
      <c r="AZ874" s="1">
        <v>4.0000000000000001E-3</v>
      </c>
      <c r="BA874" s="1">
        <v>4.0000000000000001E-3</v>
      </c>
      <c r="BB874" s="1">
        <v>1E-3</v>
      </c>
      <c r="BC874" s="1">
        <v>0</v>
      </c>
      <c r="BD874" s="1">
        <v>4.0000000000000001E-3</v>
      </c>
      <c r="BE874" s="1">
        <v>1E-3</v>
      </c>
      <c r="BF874" s="1">
        <v>1E-3</v>
      </c>
      <c r="BG874" s="1">
        <v>0</v>
      </c>
      <c r="BH874" s="1">
        <v>0</v>
      </c>
      <c r="BI874" s="1">
        <v>1E-3</v>
      </c>
      <c r="BJ874" s="1">
        <v>2E-3</v>
      </c>
      <c r="BK874" s="1">
        <v>0</v>
      </c>
      <c r="BL874" s="1">
        <v>2E-3</v>
      </c>
      <c r="BM874" s="1">
        <v>1E-3</v>
      </c>
      <c r="BN874" s="1">
        <v>2E-3</v>
      </c>
      <c r="BO874" s="1">
        <v>0</v>
      </c>
      <c r="BP874" s="1">
        <v>1E-3</v>
      </c>
      <c r="BQ874" s="1">
        <v>2E-3</v>
      </c>
      <c r="BR874" s="1">
        <v>1E-3</v>
      </c>
      <c r="BS874" s="1">
        <v>2E-3</v>
      </c>
      <c r="BT874" s="1">
        <v>1E-3</v>
      </c>
      <c r="BU874" s="1">
        <v>1.6E-2</v>
      </c>
      <c r="BV874" s="1">
        <v>1E-3</v>
      </c>
      <c r="BW874" s="1">
        <v>1E-3</v>
      </c>
      <c r="BX874" s="1">
        <v>2E-3</v>
      </c>
      <c r="BY874" s="1">
        <v>2E-3</v>
      </c>
      <c r="BZ874" s="1">
        <v>4.0000000000000001E-3</v>
      </c>
      <c r="CA874" s="1">
        <v>1E-3</v>
      </c>
      <c r="CB874" s="1">
        <v>2E-3</v>
      </c>
      <c r="CC874" s="1">
        <v>2E-3</v>
      </c>
      <c r="CD874" s="1">
        <v>0</v>
      </c>
      <c r="CE874" s="1">
        <v>1E-3</v>
      </c>
      <c r="CF874" s="1">
        <v>1E-3</v>
      </c>
      <c r="CG874" s="1">
        <v>1E-3</v>
      </c>
      <c r="CH874" s="1">
        <v>1E-3</v>
      </c>
      <c r="CI874" s="1">
        <v>1E-3</v>
      </c>
      <c r="CJ874" s="1">
        <v>2E-3</v>
      </c>
      <c r="CK874" s="1">
        <v>0.61299999999999999</v>
      </c>
      <c r="CL874" s="1">
        <v>0.28499999999999998</v>
      </c>
      <c r="CM874" s="1">
        <v>47.025003519999999</v>
      </c>
      <c r="CN874" s="83">
        <v>-78.286063260000006</v>
      </c>
    </row>
    <row r="875" spans="1:92" s="3" customFormat="1" x14ac:dyDescent="0.25">
      <c r="A875" s="72">
        <v>916</v>
      </c>
      <c r="B875" s="81" t="s">
        <v>1582</v>
      </c>
      <c r="C875" s="1" t="s">
        <v>83</v>
      </c>
      <c r="D875" s="1" t="s">
        <v>73</v>
      </c>
      <c r="E875" s="1" t="s">
        <v>74</v>
      </c>
      <c r="F875" s="1" t="s">
        <v>211</v>
      </c>
      <c r="G875" s="1" t="s">
        <v>76</v>
      </c>
      <c r="H875" s="1" t="s">
        <v>212</v>
      </c>
      <c r="I875" s="1"/>
      <c r="J875" s="9" t="s">
        <v>544</v>
      </c>
      <c r="K875" s="10">
        <v>0.49812399999999901</v>
      </c>
      <c r="L875" s="1" t="s">
        <v>76</v>
      </c>
      <c r="M875" s="1" t="s">
        <v>506</v>
      </c>
      <c r="N875" s="1" t="s">
        <v>645</v>
      </c>
      <c r="O875" s="1" t="s">
        <v>68</v>
      </c>
      <c r="P875" s="82">
        <v>0.999</v>
      </c>
      <c r="Q875" s="1" t="s">
        <v>76</v>
      </c>
      <c r="R875" s="81" t="s">
        <v>171</v>
      </c>
      <c r="S875" s="1">
        <v>3</v>
      </c>
      <c r="T875" s="1" t="s">
        <v>120</v>
      </c>
      <c r="U875" s="1" t="s">
        <v>658</v>
      </c>
      <c r="V875" s="1" t="s">
        <v>655</v>
      </c>
      <c r="W875" s="1">
        <v>50</v>
      </c>
      <c r="X875" s="1" t="s">
        <v>391</v>
      </c>
      <c r="Y875" s="1" t="s">
        <v>645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0.999</v>
      </c>
      <c r="CL875" s="1">
        <v>1E-3</v>
      </c>
      <c r="CM875" s="1">
        <v>35.300058110000002</v>
      </c>
      <c r="CN875" s="83">
        <v>-74.426993170000003</v>
      </c>
    </row>
    <row r="876" spans="1:92" s="3" customFormat="1" x14ac:dyDescent="0.25">
      <c r="A876" s="72">
        <v>917</v>
      </c>
      <c r="B876" s="81" t="s">
        <v>1457</v>
      </c>
      <c r="C876" s="1" t="s">
        <v>83</v>
      </c>
      <c r="D876" s="1" t="s">
        <v>73</v>
      </c>
      <c r="E876" s="1" t="s">
        <v>74</v>
      </c>
      <c r="F876" s="1" t="s">
        <v>211</v>
      </c>
      <c r="G876" s="1" t="s">
        <v>76</v>
      </c>
      <c r="H876" s="1" t="s">
        <v>212</v>
      </c>
      <c r="I876" s="1"/>
      <c r="J876" s="9" t="s">
        <v>544</v>
      </c>
      <c r="K876" s="10">
        <v>0.48503683333333197</v>
      </c>
      <c r="L876" s="1" t="s">
        <v>641</v>
      </c>
      <c r="M876" s="1" t="s">
        <v>76</v>
      </c>
      <c r="N876" s="1" t="s">
        <v>649</v>
      </c>
      <c r="O876" s="1" t="s">
        <v>68</v>
      </c>
      <c r="P876" s="82">
        <v>0.65700000000000003</v>
      </c>
      <c r="Q876" s="1" t="s">
        <v>76</v>
      </c>
      <c r="R876" s="81" t="s">
        <v>222</v>
      </c>
      <c r="S876" s="1">
        <v>3</v>
      </c>
      <c r="T876" s="1" t="s">
        <v>120</v>
      </c>
      <c r="U876" s="1" t="s">
        <v>658</v>
      </c>
      <c r="V876" s="1" t="s">
        <v>655</v>
      </c>
      <c r="W876" s="1">
        <v>79</v>
      </c>
      <c r="X876" s="1" t="s">
        <v>76</v>
      </c>
      <c r="Y876" s="1" t="s">
        <v>649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1E-3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1E-3</v>
      </c>
      <c r="BV876" s="1">
        <v>0</v>
      </c>
      <c r="BW876" s="1">
        <v>0</v>
      </c>
      <c r="BX876" s="1">
        <v>0</v>
      </c>
      <c r="BY876" s="1">
        <v>0</v>
      </c>
      <c r="BZ876" s="1">
        <v>1E-3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0.65700000000000003</v>
      </c>
      <c r="CL876" s="1">
        <v>0.33400000000000002</v>
      </c>
      <c r="CM876" s="1">
        <v>33.90840017</v>
      </c>
      <c r="CN876" s="83">
        <v>-76.785332220000001</v>
      </c>
    </row>
    <row r="877" spans="1:92" s="3" customFormat="1" x14ac:dyDescent="0.25">
      <c r="A877" s="72">
        <v>918</v>
      </c>
      <c r="B877" s="81" t="s">
        <v>1640</v>
      </c>
      <c r="C877" s="1" t="s">
        <v>83</v>
      </c>
      <c r="D877" s="1" t="s">
        <v>73</v>
      </c>
      <c r="E877" s="1" t="s">
        <v>74</v>
      </c>
      <c r="F877" s="1" t="s">
        <v>211</v>
      </c>
      <c r="G877" s="1" t="s">
        <v>76</v>
      </c>
      <c r="H877" s="1" t="s">
        <v>212</v>
      </c>
      <c r="I877" s="1"/>
      <c r="J877" s="9" t="s">
        <v>544</v>
      </c>
      <c r="K877" s="10">
        <v>0.51305733333333303</v>
      </c>
      <c r="L877" s="1" t="s">
        <v>641</v>
      </c>
      <c r="M877" s="1" t="s">
        <v>76</v>
      </c>
      <c r="N877" s="1" t="s">
        <v>649</v>
      </c>
      <c r="O877" s="1" t="s">
        <v>68</v>
      </c>
      <c r="P877" s="82">
        <v>0.38</v>
      </c>
      <c r="Q877" s="1" t="s">
        <v>76</v>
      </c>
      <c r="R877" s="81" t="s">
        <v>336</v>
      </c>
      <c r="S877" s="1">
        <v>3</v>
      </c>
      <c r="T877" s="1" t="s">
        <v>120</v>
      </c>
      <c r="U877" s="1" t="s">
        <v>658</v>
      </c>
      <c r="V877" s="1" t="s">
        <v>655</v>
      </c>
      <c r="W877" s="1">
        <v>75</v>
      </c>
      <c r="X877" s="1" t="s">
        <v>76</v>
      </c>
      <c r="Y877" s="1" t="s">
        <v>649</v>
      </c>
      <c r="Z877" s="1">
        <v>3.0000000000000001E-3</v>
      </c>
      <c r="AA877" s="1">
        <v>6.0000000000000001E-3</v>
      </c>
      <c r="AB877" s="1">
        <v>6.0000000000000001E-3</v>
      </c>
      <c r="AC877" s="1">
        <v>3.1E-2</v>
      </c>
      <c r="AD877" s="1">
        <v>7.0000000000000001E-3</v>
      </c>
      <c r="AE877" s="1">
        <v>5.0000000000000001E-3</v>
      </c>
      <c r="AF877" s="1">
        <v>1.4E-2</v>
      </c>
      <c r="AG877" s="1">
        <v>1E-3</v>
      </c>
      <c r="AH877" s="1">
        <v>1.4999999999999999E-2</v>
      </c>
      <c r="AI877" s="1">
        <v>1E-3</v>
      </c>
      <c r="AJ877" s="1">
        <v>3.0000000000000001E-3</v>
      </c>
      <c r="AK877" s="1">
        <v>1.7999999999999999E-2</v>
      </c>
      <c r="AL877" s="1">
        <v>1E-3</v>
      </c>
      <c r="AM877" s="1">
        <v>2E-3</v>
      </c>
      <c r="AN877" s="1">
        <v>3.0000000000000001E-3</v>
      </c>
      <c r="AO877" s="1">
        <v>7.0000000000000001E-3</v>
      </c>
      <c r="AP877" s="1">
        <v>3.0000000000000001E-3</v>
      </c>
      <c r="AQ877" s="1">
        <v>3.0000000000000001E-3</v>
      </c>
      <c r="AR877" s="1">
        <v>5.0000000000000001E-3</v>
      </c>
      <c r="AS877" s="1">
        <v>3.3000000000000002E-2</v>
      </c>
      <c r="AT877" s="1">
        <v>1.4E-2</v>
      </c>
      <c r="AU877" s="1">
        <v>8.9999999999999993E-3</v>
      </c>
      <c r="AV877" s="1">
        <v>3.0000000000000001E-3</v>
      </c>
      <c r="AW877" s="1">
        <v>1.0999999999999999E-2</v>
      </c>
      <c r="AX877" s="1">
        <v>6.0000000000000001E-3</v>
      </c>
      <c r="AY877" s="1">
        <v>8.9999999999999993E-3</v>
      </c>
      <c r="AZ877" s="1">
        <v>1.6E-2</v>
      </c>
      <c r="BA877" s="1">
        <v>2.5999999999999999E-2</v>
      </c>
      <c r="BB877" s="1">
        <v>4.0000000000000001E-3</v>
      </c>
      <c r="BC877" s="1">
        <v>2E-3</v>
      </c>
      <c r="BD877" s="1">
        <v>0.02</v>
      </c>
      <c r="BE877" s="1">
        <v>8.0000000000000002E-3</v>
      </c>
      <c r="BF877" s="1">
        <v>2E-3</v>
      </c>
      <c r="BG877" s="1">
        <v>4.0000000000000001E-3</v>
      </c>
      <c r="BH877" s="1">
        <v>3.0000000000000001E-3</v>
      </c>
      <c r="BI877" s="1">
        <v>6.0000000000000001E-3</v>
      </c>
      <c r="BJ877" s="1">
        <v>2E-3</v>
      </c>
      <c r="BK877" s="1">
        <v>3.0000000000000001E-3</v>
      </c>
      <c r="BL877" s="1">
        <v>1.2E-2</v>
      </c>
      <c r="BM877" s="1">
        <v>4.0000000000000001E-3</v>
      </c>
      <c r="BN877" s="1">
        <v>1.7000000000000001E-2</v>
      </c>
      <c r="BO877" s="1">
        <v>3.0000000000000001E-3</v>
      </c>
      <c r="BP877" s="1">
        <v>3.0000000000000001E-3</v>
      </c>
      <c r="BQ877" s="1">
        <v>1.4999999999999999E-2</v>
      </c>
      <c r="BR877" s="1">
        <v>4.0000000000000001E-3</v>
      </c>
      <c r="BS877" s="1">
        <v>5.0000000000000001E-3</v>
      </c>
      <c r="BT877" s="1">
        <v>3.0000000000000001E-3</v>
      </c>
      <c r="BU877" s="1">
        <v>4.0000000000000001E-3</v>
      </c>
      <c r="BV877" s="1">
        <v>3.0000000000000001E-3</v>
      </c>
      <c r="BW877" s="1">
        <v>7.0000000000000001E-3</v>
      </c>
      <c r="BX877" s="1">
        <v>1.7999999999999999E-2</v>
      </c>
      <c r="BY877" s="1">
        <v>1.4999999999999999E-2</v>
      </c>
      <c r="BZ877" s="1">
        <v>1.2999999999999999E-2</v>
      </c>
      <c r="CA877" s="1">
        <v>5.0000000000000001E-3</v>
      </c>
      <c r="CB877" s="1">
        <v>8.9999999999999993E-3</v>
      </c>
      <c r="CC877" s="1">
        <v>1.7999999999999999E-2</v>
      </c>
      <c r="CD877" s="1">
        <v>1E-3</v>
      </c>
      <c r="CE877" s="1">
        <v>4.0000000000000001E-3</v>
      </c>
      <c r="CF877" s="1">
        <v>6.0000000000000001E-3</v>
      </c>
      <c r="CG877" s="1">
        <v>1.4E-2</v>
      </c>
      <c r="CH877" s="1">
        <v>1.2999999999999999E-2</v>
      </c>
      <c r="CI877" s="1">
        <v>1.0999999999999999E-2</v>
      </c>
      <c r="CJ877" s="1">
        <v>4.5999999999999999E-2</v>
      </c>
      <c r="CK877" s="1">
        <v>0.38</v>
      </c>
      <c r="CL877" s="1">
        <v>4.9000000000000002E-2</v>
      </c>
      <c r="CM877" s="1">
        <v>54.397016880000002</v>
      </c>
      <c r="CN877" s="83">
        <v>-70.672526669999996</v>
      </c>
    </row>
    <row r="878" spans="1:92" s="3" customFormat="1" x14ac:dyDescent="0.25">
      <c r="A878" s="72">
        <v>919</v>
      </c>
      <c r="B878" s="81" t="s">
        <v>1639</v>
      </c>
      <c r="C878" s="1" t="s">
        <v>83</v>
      </c>
      <c r="D878" s="1" t="s">
        <v>73</v>
      </c>
      <c r="E878" s="1" t="s">
        <v>74</v>
      </c>
      <c r="F878" s="1" t="s">
        <v>211</v>
      </c>
      <c r="G878" s="1" t="s">
        <v>76</v>
      </c>
      <c r="H878" s="1" t="s">
        <v>212</v>
      </c>
      <c r="I878" s="1"/>
      <c r="J878" s="9" t="s">
        <v>544</v>
      </c>
      <c r="K878" s="10">
        <v>0.47339750000000003</v>
      </c>
      <c r="L878" s="1" t="s">
        <v>76</v>
      </c>
      <c r="M878" s="1" t="s">
        <v>506</v>
      </c>
      <c r="N878" s="1" t="s">
        <v>645</v>
      </c>
      <c r="O878" s="1" t="s">
        <v>68</v>
      </c>
      <c r="P878" s="82">
        <v>0.94299999999999995</v>
      </c>
      <c r="Q878" s="1" t="s">
        <v>76</v>
      </c>
      <c r="R878" s="81" t="s">
        <v>169</v>
      </c>
      <c r="S878" s="1">
        <v>3</v>
      </c>
      <c r="T878" s="1" t="s">
        <v>120</v>
      </c>
      <c r="U878" s="1" t="s">
        <v>658</v>
      </c>
      <c r="V878" s="1" t="s">
        <v>655</v>
      </c>
      <c r="W878" s="1">
        <v>55</v>
      </c>
      <c r="X878" s="1" t="s">
        <v>76</v>
      </c>
      <c r="Y878" s="1" t="s">
        <v>645</v>
      </c>
      <c r="Z878" s="1">
        <v>1E-3</v>
      </c>
      <c r="AA878" s="1">
        <v>1E-3</v>
      </c>
      <c r="AB878" s="1">
        <v>1E-3</v>
      </c>
      <c r="AC878" s="1">
        <v>1E-3</v>
      </c>
      <c r="AD878" s="1">
        <v>1E-3</v>
      </c>
      <c r="AE878" s="1">
        <v>0</v>
      </c>
      <c r="AF878" s="1">
        <v>1E-3</v>
      </c>
      <c r="AG878" s="1">
        <v>0</v>
      </c>
      <c r="AH878" s="1">
        <v>1E-3</v>
      </c>
      <c r="AI878" s="1">
        <v>0</v>
      </c>
      <c r="AJ878" s="1">
        <v>0</v>
      </c>
      <c r="AK878" s="1">
        <v>1E-3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2E-3</v>
      </c>
      <c r="AS878" s="1">
        <v>1E-3</v>
      </c>
      <c r="AT878" s="1">
        <v>1E-3</v>
      </c>
      <c r="AU878" s="1">
        <v>2E-3</v>
      </c>
      <c r="AV878" s="1">
        <v>0</v>
      </c>
      <c r="AW878" s="1">
        <v>0</v>
      </c>
      <c r="AX878" s="1">
        <v>3.0000000000000001E-3</v>
      </c>
      <c r="AY878" s="1">
        <v>1E-3</v>
      </c>
      <c r="AZ878" s="1">
        <v>2E-3</v>
      </c>
      <c r="BA878" s="1">
        <v>2E-3</v>
      </c>
      <c r="BB878" s="1">
        <v>0</v>
      </c>
      <c r="BC878" s="1">
        <v>0</v>
      </c>
      <c r="BD878" s="1">
        <v>2E-3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1E-3</v>
      </c>
      <c r="BM878" s="1">
        <v>0</v>
      </c>
      <c r="BN878" s="1">
        <v>1E-3</v>
      </c>
      <c r="BO878" s="1">
        <v>0</v>
      </c>
      <c r="BP878" s="1">
        <v>3.0000000000000001E-3</v>
      </c>
      <c r="BQ878" s="1">
        <v>1E-3</v>
      </c>
      <c r="BR878" s="1">
        <v>0</v>
      </c>
      <c r="BS878" s="1">
        <v>2E-3</v>
      </c>
      <c r="BT878" s="1">
        <v>0</v>
      </c>
      <c r="BU878" s="1">
        <v>1E-3</v>
      </c>
      <c r="BV878" s="1">
        <v>0</v>
      </c>
      <c r="BW878" s="1">
        <v>1E-3</v>
      </c>
      <c r="BX878" s="1">
        <v>2E-3</v>
      </c>
      <c r="BY878" s="1">
        <v>1E-3</v>
      </c>
      <c r="BZ878" s="1">
        <v>3.0000000000000001E-3</v>
      </c>
      <c r="CA878" s="1">
        <v>1E-3</v>
      </c>
      <c r="CB878" s="1">
        <v>0</v>
      </c>
      <c r="CC878" s="1">
        <v>1E-3</v>
      </c>
      <c r="CD878" s="1">
        <v>0</v>
      </c>
      <c r="CE878" s="1">
        <v>0</v>
      </c>
      <c r="CF878" s="1">
        <v>0</v>
      </c>
      <c r="CG878" s="1">
        <v>0</v>
      </c>
      <c r="CH878" s="1">
        <v>1E-3</v>
      </c>
      <c r="CI878" s="1">
        <v>1E-3</v>
      </c>
      <c r="CJ878" s="1">
        <v>1E-3</v>
      </c>
      <c r="CK878" s="1">
        <v>0.94299999999999995</v>
      </c>
      <c r="CL878" s="1">
        <v>8.9999999999999993E-3</v>
      </c>
      <c r="CM878" s="1">
        <v>44.477197660000002</v>
      </c>
      <c r="CN878" s="83">
        <v>-76.872531350000003</v>
      </c>
    </row>
    <row r="879" spans="1:92" s="3" customFormat="1" x14ac:dyDescent="0.25">
      <c r="A879" s="72">
        <v>920</v>
      </c>
      <c r="B879" s="81" t="s">
        <v>1635</v>
      </c>
      <c r="C879" s="1" t="s">
        <v>83</v>
      </c>
      <c r="D879" s="1" t="s">
        <v>73</v>
      </c>
      <c r="E879" s="1" t="s">
        <v>74</v>
      </c>
      <c r="F879" s="1" t="s">
        <v>211</v>
      </c>
      <c r="G879" s="1" t="s">
        <v>76</v>
      </c>
      <c r="H879" s="1" t="s">
        <v>212</v>
      </c>
      <c r="I879" s="1"/>
      <c r="J879" s="9" t="s">
        <v>544</v>
      </c>
      <c r="K879" s="10">
        <v>0.326285833333334</v>
      </c>
      <c r="L879" s="1" t="s">
        <v>76</v>
      </c>
      <c r="M879" s="1" t="s">
        <v>506</v>
      </c>
      <c r="N879" s="1" t="s">
        <v>645</v>
      </c>
      <c r="O879" s="1" t="s">
        <v>68</v>
      </c>
      <c r="P879" s="82">
        <v>0.98799999999999999</v>
      </c>
      <c r="Q879" s="1" t="s">
        <v>76</v>
      </c>
      <c r="R879" s="81" t="s">
        <v>169</v>
      </c>
      <c r="S879" s="1">
        <v>3</v>
      </c>
      <c r="T879" s="1" t="s">
        <v>120</v>
      </c>
      <c r="U879" s="1" t="s">
        <v>658</v>
      </c>
      <c r="V879" s="1" t="s">
        <v>655</v>
      </c>
      <c r="W879" s="1">
        <v>48</v>
      </c>
      <c r="X879" s="1" t="s">
        <v>76</v>
      </c>
      <c r="Y879" s="1" t="s">
        <v>645</v>
      </c>
      <c r="Z879" s="1">
        <v>4.0000000000000001E-3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1E-3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1E-3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0.98799999999999999</v>
      </c>
      <c r="CL879" s="1">
        <v>4.0000000000000001E-3</v>
      </c>
      <c r="CM879" s="1">
        <v>-2.003971296</v>
      </c>
      <c r="CN879" s="83">
        <v>-65.861353480000005</v>
      </c>
    </row>
    <row r="880" spans="1:92" s="3" customFormat="1" x14ac:dyDescent="0.25">
      <c r="A880" s="72">
        <v>921</v>
      </c>
      <c r="B880" s="81" t="s">
        <v>1581</v>
      </c>
      <c r="C880" s="1" t="s">
        <v>83</v>
      </c>
      <c r="D880" s="1" t="s">
        <v>73</v>
      </c>
      <c r="E880" s="1" t="s">
        <v>99</v>
      </c>
      <c r="F880" s="1" t="s">
        <v>211</v>
      </c>
      <c r="G880" s="1" t="s">
        <v>76</v>
      </c>
      <c r="H880" s="1" t="s">
        <v>212</v>
      </c>
      <c r="I880" s="1"/>
      <c r="J880" s="9" t="s">
        <v>544</v>
      </c>
      <c r="K880" s="10">
        <v>0.42529216666666703</v>
      </c>
      <c r="L880" s="1" t="s">
        <v>641</v>
      </c>
      <c r="M880" s="1" t="s">
        <v>76</v>
      </c>
      <c r="N880" s="1" t="s">
        <v>649</v>
      </c>
      <c r="O880" s="1" t="s">
        <v>68</v>
      </c>
      <c r="P880" s="82">
        <v>0.749</v>
      </c>
      <c r="Q880" s="1" t="s">
        <v>76</v>
      </c>
      <c r="R880" s="81" t="s">
        <v>129</v>
      </c>
      <c r="S880" s="1">
        <v>2</v>
      </c>
      <c r="T880" s="1" t="s">
        <v>120</v>
      </c>
      <c r="U880" s="1" t="s">
        <v>659</v>
      </c>
      <c r="V880" s="1" t="s">
        <v>655</v>
      </c>
      <c r="W880" s="1">
        <v>77</v>
      </c>
      <c r="X880" s="1" t="s">
        <v>391</v>
      </c>
      <c r="Y880" s="1" t="s">
        <v>649</v>
      </c>
      <c r="Z880" s="1">
        <v>1E-3</v>
      </c>
      <c r="AA880" s="1">
        <v>2E-3</v>
      </c>
      <c r="AB880" s="1">
        <v>0</v>
      </c>
      <c r="AC880" s="1">
        <v>1E-3</v>
      </c>
      <c r="AD880" s="1">
        <v>1E-3</v>
      </c>
      <c r="AE880" s="1">
        <v>0</v>
      </c>
      <c r="AF880" s="1">
        <v>1E-3</v>
      </c>
      <c r="AG880" s="1">
        <v>0</v>
      </c>
      <c r="AH880" s="1">
        <v>1E-3</v>
      </c>
      <c r="AI880" s="1">
        <v>0</v>
      </c>
      <c r="AJ880" s="1">
        <v>0</v>
      </c>
      <c r="AK880" s="1">
        <v>0</v>
      </c>
      <c r="AL880" s="1">
        <v>2E-3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1E-3</v>
      </c>
      <c r="AS880" s="1">
        <v>1E-3</v>
      </c>
      <c r="AT880" s="1">
        <v>1E-3</v>
      </c>
      <c r="AU880" s="1">
        <v>1E-3</v>
      </c>
      <c r="AV880" s="1">
        <v>1E-3</v>
      </c>
      <c r="AW880" s="1">
        <v>1E-3</v>
      </c>
      <c r="AX880" s="1">
        <v>0.20799999999999999</v>
      </c>
      <c r="AY880" s="1">
        <v>1E-3</v>
      </c>
      <c r="AZ880" s="1">
        <v>1E-3</v>
      </c>
      <c r="BA880" s="1">
        <v>1E-3</v>
      </c>
      <c r="BB880" s="1">
        <v>0</v>
      </c>
      <c r="BC880" s="1">
        <v>1E-3</v>
      </c>
      <c r="BD880" s="1">
        <v>2E-3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3.0000000000000001E-3</v>
      </c>
      <c r="BM880" s="1">
        <v>1E-3</v>
      </c>
      <c r="BN880" s="1">
        <v>0</v>
      </c>
      <c r="BO880" s="1">
        <v>0</v>
      </c>
      <c r="BP880" s="1">
        <v>0</v>
      </c>
      <c r="BQ880" s="1">
        <v>1E-3</v>
      </c>
      <c r="BR880" s="1">
        <v>0</v>
      </c>
      <c r="BS880" s="1">
        <v>1E-3</v>
      </c>
      <c r="BT880" s="1">
        <v>0</v>
      </c>
      <c r="BU880" s="1">
        <v>1E-3</v>
      </c>
      <c r="BV880" s="1">
        <v>0</v>
      </c>
      <c r="BW880" s="1">
        <v>0</v>
      </c>
      <c r="BX880" s="1">
        <v>2E-3</v>
      </c>
      <c r="BY880" s="1">
        <v>1E-3</v>
      </c>
      <c r="BZ880" s="1">
        <v>2E-3</v>
      </c>
      <c r="CA880" s="1">
        <v>1E-3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1E-3</v>
      </c>
      <c r="CH880" s="1">
        <v>1E-3</v>
      </c>
      <c r="CI880" s="1">
        <v>1E-3</v>
      </c>
      <c r="CJ880" s="1">
        <v>1E-3</v>
      </c>
      <c r="CK880" s="1">
        <v>0.749</v>
      </c>
      <c r="CL880" s="1">
        <v>2E-3</v>
      </c>
      <c r="CM880" s="1">
        <v>21.275888569999999</v>
      </c>
      <c r="CN880" s="83">
        <v>-24.692921139999999</v>
      </c>
    </row>
    <row r="881" spans="1:92" s="3" customFormat="1" x14ac:dyDescent="0.25">
      <c r="A881" s="72">
        <v>922</v>
      </c>
      <c r="B881" s="81" t="s">
        <v>1579</v>
      </c>
      <c r="C881" s="1" t="s">
        <v>83</v>
      </c>
      <c r="D881" s="1" t="s">
        <v>73</v>
      </c>
      <c r="E881" s="1" t="s">
        <v>99</v>
      </c>
      <c r="F881" s="1" t="s">
        <v>211</v>
      </c>
      <c r="G881" s="1" t="s">
        <v>76</v>
      </c>
      <c r="H881" s="1" t="s">
        <v>212</v>
      </c>
      <c r="I881" s="1"/>
      <c r="J881" s="9" t="s">
        <v>544</v>
      </c>
      <c r="K881" s="10">
        <v>0.49825583333333301</v>
      </c>
      <c r="L881" s="1" t="s">
        <v>76</v>
      </c>
      <c r="M881" s="1" t="s">
        <v>506</v>
      </c>
      <c r="N881" s="1" t="s">
        <v>645</v>
      </c>
      <c r="O881" s="1" t="s">
        <v>68</v>
      </c>
      <c r="P881" s="82">
        <v>0.98299999999999998</v>
      </c>
      <c r="Q881" s="1" t="s">
        <v>76</v>
      </c>
      <c r="R881" s="81" t="s">
        <v>169</v>
      </c>
      <c r="S881" s="1">
        <v>3</v>
      </c>
      <c r="T881" s="1" t="s">
        <v>120</v>
      </c>
      <c r="U881" s="1" t="s">
        <v>659</v>
      </c>
      <c r="V881" s="1" t="s">
        <v>655</v>
      </c>
      <c r="W881" s="1">
        <v>50</v>
      </c>
      <c r="X881" s="1" t="s">
        <v>455</v>
      </c>
      <c r="Y881" s="1" t="s">
        <v>645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1E-3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1E-3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0.98299999999999998</v>
      </c>
      <c r="CL881" s="1">
        <v>5.0000000000000001E-3</v>
      </c>
      <c r="CM881" s="1">
        <v>30.08897545</v>
      </c>
      <c r="CN881" s="83">
        <v>-74.408628019999995</v>
      </c>
    </row>
    <row r="882" spans="1:92" s="3" customFormat="1" x14ac:dyDescent="0.25">
      <c r="A882" s="72">
        <v>923</v>
      </c>
      <c r="B882" s="81" t="s">
        <v>1571</v>
      </c>
      <c r="C882" s="1" t="s">
        <v>83</v>
      </c>
      <c r="D882" s="1" t="s">
        <v>73</v>
      </c>
      <c r="E882" s="1" t="s">
        <v>74</v>
      </c>
      <c r="F882" s="1" t="s">
        <v>211</v>
      </c>
      <c r="G882" s="1" t="s">
        <v>76</v>
      </c>
      <c r="H882" s="1" t="s">
        <v>212</v>
      </c>
      <c r="I882" s="1"/>
      <c r="J882" s="9" t="s">
        <v>544</v>
      </c>
      <c r="K882" s="10">
        <v>0.29689850000000001</v>
      </c>
      <c r="L882" s="1" t="s">
        <v>641</v>
      </c>
      <c r="M882" s="1" t="s">
        <v>76</v>
      </c>
      <c r="N882" s="1" t="s">
        <v>644</v>
      </c>
      <c r="O882" s="1" t="s">
        <v>37</v>
      </c>
      <c r="P882" s="82">
        <v>0.84799999999999998</v>
      </c>
      <c r="Q882" s="1" t="s">
        <v>76</v>
      </c>
      <c r="R882" s="81" t="s">
        <v>164</v>
      </c>
      <c r="S882" s="1">
        <v>2</v>
      </c>
      <c r="T882" s="1" t="s">
        <v>120</v>
      </c>
      <c r="U882" s="1" t="s">
        <v>658</v>
      </c>
      <c r="V882" s="1" t="s">
        <v>655</v>
      </c>
      <c r="W882" s="1">
        <v>66</v>
      </c>
      <c r="X882" s="1" t="s">
        <v>391</v>
      </c>
      <c r="Y882" s="1" t="s">
        <v>644</v>
      </c>
      <c r="Z882" s="1">
        <v>3.4000000000000002E-2</v>
      </c>
      <c r="AA882" s="1">
        <v>1E-3</v>
      </c>
      <c r="AB882" s="1">
        <v>0</v>
      </c>
      <c r="AC882" s="1">
        <v>1.4E-2</v>
      </c>
      <c r="AD882" s="1">
        <v>1E-3</v>
      </c>
      <c r="AE882" s="1">
        <v>1E-3</v>
      </c>
      <c r="AF882" s="1">
        <v>1E-3</v>
      </c>
      <c r="AG882" s="1">
        <v>0</v>
      </c>
      <c r="AH882" s="1">
        <v>7.0000000000000001E-3</v>
      </c>
      <c r="AI882" s="1">
        <v>4.0000000000000001E-3</v>
      </c>
      <c r="AJ882" s="1">
        <v>0</v>
      </c>
      <c r="AK882" s="1">
        <v>1E-3</v>
      </c>
      <c r="AL882" s="1">
        <v>0</v>
      </c>
      <c r="AM882" s="1">
        <v>0</v>
      </c>
      <c r="AN882" s="1">
        <v>2.8000000000000001E-2</v>
      </c>
      <c r="AO882" s="1">
        <v>0</v>
      </c>
      <c r="AP882" s="1">
        <v>1E-3</v>
      </c>
      <c r="AQ882" s="1">
        <v>0</v>
      </c>
      <c r="AR882" s="1">
        <v>0</v>
      </c>
      <c r="AS882" s="1">
        <v>1E-3</v>
      </c>
      <c r="AT882" s="1">
        <v>1E-3</v>
      </c>
      <c r="AU882" s="1">
        <v>1E-3</v>
      </c>
      <c r="AV882" s="1">
        <v>1E-3</v>
      </c>
      <c r="AW882" s="1">
        <v>0</v>
      </c>
      <c r="AX882" s="1">
        <v>1E-3</v>
      </c>
      <c r="AY882" s="1">
        <v>1E-3</v>
      </c>
      <c r="AZ882" s="1">
        <v>1E-3</v>
      </c>
      <c r="BA882" s="1">
        <v>2E-3</v>
      </c>
      <c r="BB882" s="1">
        <v>0</v>
      </c>
      <c r="BC882" s="1">
        <v>0</v>
      </c>
      <c r="BD882" s="1">
        <v>4.0000000000000001E-3</v>
      </c>
      <c r="BE882" s="1">
        <v>0</v>
      </c>
      <c r="BF882" s="1">
        <v>0.84799999999999998</v>
      </c>
      <c r="BG882" s="1">
        <v>0</v>
      </c>
      <c r="BH882" s="1">
        <v>5.0000000000000001E-3</v>
      </c>
      <c r="BI882" s="1">
        <v>0</v>
      </c>
      <c r="BJ882" s="1">
        <v>0</v>
      </c>
      <c r="BK882" s="1">
        <v>0</v>
      </c>
      <c r="BL882" s="1">
        <v>1E-3</v>
      </c>
      <c r="BM882" s="1">
        <v>0</v>
      </c>
      <c r="BN882" s="1">
        <v>0</v>
      </c>
      <c r="BO882" s="1">
        <v>0</v>
      </c>
      <c r="BP882" s="1">
        <v>0</v>
      </c>
      <c r="BQ882" s="1">
        <v>1E-3</v>
      </c>
      <c r="BR882" s="1">
        <v>1E-3</v>
      </c>
      <c r="BS882" s="1">
        <v>1E-3</v>
      </c>
      <c r="BT882" s="1">
        <v>0</v>
      </c>
      <c r="BU882" s="1">
        <v>3.0000000000000001E-3</v>
      </c>
      <c r="BV882" s="1">
        <v>0</v>
      </c>
      <c r="BW882" s="1">
        <v>0</v>
      </c>
      <c r="BX882" s="1">
        <v>6.0000000000000001E-3</v>
      </c>
      <c r="BY882" s="1">
        <v>1E-3</v>
      </c>
      <c r="BZ882" s="1">
        <v>1E-3</v>
      </c>
      <c r="CA882" s="1">
        <v>1E-3</v>
      </c>
      <c r="CB882" s="1">
        <v>0</v>
      </c>
      <c r="CC882" s="1">
        <v>0</v>
      </c>
      <c r="CD882" s="1">
        <v>0</v>
      </c>
      <c r="CE882" s="1">
        <v>1E-3</v>
      </c>
      <c r="CF882" s="1">
        <v>1E-3</v>
      </c>
      <c r="CG882" s="1">
        <v>1E-3</v>
      </c>
      <c r="CH882" s="1">
        <v>1E-3</v>
      </c>
      <c r="CI882" s="1">
        <v>1E-3</v>
      </c>
      <c r="CJ882" s="1">
        <v>1E-3</v>
      </c>
      <c r="CK882" s="1">
        <v>1.6E-2</v>
      </c>
      <c r="CL882" s="1">
        <v>2E-3</v>
      </c>
      <c r="CM882" s="1">
        <v>-10.342237300000001</v>
      </c>
      <c r="CN882" s="83">
        <v>-57.218308280000002</v>
      </c>
    </row>
    <row r="883" spans="1:92" s="3" customFormat="1" x14ac:dyDescent="0.25">
      <c r="A883" s="72">
        <v>924</v>
      </c>
      <c r="B883" s="81" t="s">
        <v>1506</v>
      </c>
      <c r="C883" s="1" t="s">
        <v>83</v>
      </c>
      <c r="D883" s="1" t="s">
        <v>73</v>
      </c>
      <c r="E883" s="1" t="s">
        <v>99</v>
      </c>
      <c r="F883" s="1" t="s">
        <v>211</v>
      </c>
      <c r="G883" s="1" t="s">
        <v>76</v>
      </c>
      <c r="H883" s="1" t="s">
        <v>212</v>
      </c>
      <c r="I883" s="1"/>
      <c r="J883" s="9" t="s">
        <v>544</v>
      </c>
      <c r="K883" s="10">
        <v>0.45455683333333302</v>
      </c>
      <c r="L883" s="1" t="s">
        <v>641</v>
      </c>
      <c r="M883" s="1" t="s">
        <v>76</v>
      </c>
      <c r="N883" s="1" t="s">
        <v>649</v>
      </c>
      <c r="O883" s="1" t="s">
        <v>68</v>
      </c>
      <c r="P883" s="82">
        <v>0.124</v>
      </c>
      <c r="Q883" s="1" t="s">
        <v>76</v>
      </c>
      <c r="R883" s="81" t="s">
        <v>169</v>
      </c>
      <c r="S883" s="1">
        <v>2</v>
      </c>
      <c r="T883" s="1" t="s">
        <v>120</v>
      </c>
      <c r="U883" s="1" t="s">
        <v>658</v>
      </c>
      <c r="V883" s="1" t="s">
        <v>655</v>
      </c>
      <c r="W883" s="1">
        <v>82</v>
      </c>
      <c r="X883" s="1" t="s">
        <v>391</v>
      </c>
      <c r="Y883" s="1" t="s">
        <v>649</v>
      </c>
      <c r="Z883" s="1">
        <v>3.0000000000000001E-3</v>
      </c>
      <c r="AA883" s="1">
        <v>7.0000000000000001E-3</v>
      </c>
      <c r="AB883" s="1">
        <v>1.0999999999999999E-2</v>
      </c>
      <c r="AC883" s="1">
        <v>5.0999999999999997E-2</v>
      </c>
      <c r="AD883" s="1">
        <v>8.0000000000000002E-3</v>
      </c>
      <c r="AE883" s="1">
        <v>1.2E-2</v>
      </c>
      <c r="AF883" s="1">
        <v>1.0999999999999999E-2</v>
      </c>
      <c r="AG883" s="1">
        <v>1E-3</v>
      </c>
      <c r="AH883" s="1">
        <v>3.7999999999999999E-2</v>
      </c>
      <c r="AI883" s="1">
        <v>2E-3</v>
      </c>
      <c r="AJ883" s="1">
        <v>3.0000000000000001E-3</v>
      </c>
      <c r="AK883" s="1">
        <v>4.1000000000000002E-2</v>
      </c>
      <c r="AL883" s="1">
        <v>1E-3</v>
      </c>
      <c r="AM883" s="1">
        <v>3.0000000000000001E-3</v>
      </c>
      <c r="AN883" s="1">
        <v>5.0000000000000001E-3</v>
      </c>
      <c r="AO883" s="1">
        <v>0.01</v>
      </c>
      <c r="AP883" s="1">
        <v>6.0000000000000001E-3</v>
      </c>
      <c r="AQ883" s="1">
        <v>4.0000000000000001E-3</v>
      </c>
      <c r="AR883" s="1">
        <v>3.0000000000000001E-3</v>
      </c>
      <c r="AS883" s="1">
        <v>5.2999999999999999E-2</v>
      </c>
      <c r="AT883" s="1">
        <v>1.9E-2</v>
      </c>
      <c r="AU883" s="1">
        <v>8.0000000000000002E-3</v>
      </c>
      <c r="AV883" s="1">
        <v>4.0000000000000001E-3</v>
      </c>
      <c r="AW883" s="1">
        <v>1.6E-2</v>
      </c>
      <c r="AX883" s="1">
        <v>7.0000000000000001E-3</v>
      </c>
      <c r="AY883" s="1">
        <v>1.0999999999999999E-2</v>
      </c>
      <c r="AZ883" s="1">
        <v>1.7000000000000001E-2</v>
      </c>
      <c r="BA883" s="1">
        <v>4.4999999999999998E-2</v>
      </c>
      <c r="BB883" s="1">
        <v>6.0000000000000001E-3</v>
      </c>
      <c r="BC883" s="1">
        <v>3.0000000000000001E-3</v>
      </c>
      <c r="BD883" s="1">
        <v>4.3999999999999997E-2</v>
      </c>
      <c r="BE883" s="1">
        <v>7.0000000000000001E-3</v>
      </c>
      <c r="BF883" s="1">
        <v>4.0000000000000001E-3</v>
      </c>
      <c r="BG883" s="1">
        <v>1.2E-2</v>
      </c>
      <c r="BH883" s="1">
        <v>6.0000000000000001E-3</v>
      </c>
      <c r="BI883" s="1">
        <v>7.0000000000000001E-3</v>
      </c>
      <c r="BJ883" s="1">
        <v>3.0000000000000001E-3</v>
      </c>
      <c r="BK883" s="1">
        <v>5.0000000000000001E-3</v>
      </c>
      <c r="BL883" s="1">
        <v>1.4999999999999999E-2</v>
      </c>
      <c r="BM883" s="1">
        <v>7.0000000000000001E-3</v>
      </c>
      <c r="BN883" s="1">
        <v>2.1999999999999999E-2</v>
      </c>
      <c r="BO883" s="1">
        <v>4.0000000000000001E-3</v>
      </c>
      <c r="BP883" s="1">
        <v>2E-3</v>
      </c>
      <c r="BQ883" s="1">
        <v>1.7999999999999999E-2</v>
      </c>
      <c r="BR883" s="1">
        <v>7.0000000000000001E-3</v>
      </c>
      <c r="BS883" s="1">
        <v>4.0000000000000001E-3</v>
      </c>
      <c r="BT883" s="1">
        <v>7.0000000000000001E-3</v>
      </c>
      <c r="BU883" s="1">
        <v>4.0000000000000001E-3</v>
      </c>
      <c r="BV883" s="1">
        <v>5.0000000000000001E-3</v>
      </c>
      <c r="BW883" s="1">
        <v>8.9999999999999993E-3</v>
      </c>
      <c r="BX883" s="1">
        <v>1.9E-2</v>
      </c>
      <c r="BY883" s="1">
        <v>2.3E-2</v>
      </c>
      <c r="BZ883" s="1">
        <v>1.2E-2</v>
      </c>
      <c r="CA883" s="1">
        <v>7.0000000000000001E-3</v>
      </c>
      <c r="CB883" s="1">
        <v>3.0000000000000001E-3</v>
      </c>
      <c r="CC883" s="1">
        <v>1.0999999999999999E-2</v>
      </c>
      <c r="CD883" s="1">
        <v>1E-3</v>
      </c>
      <c r="CE883" s="1">
        <v>5.0000000000000001E-3</v>
      </c>
      <c r="CF883" s="1">
        <v>8.9999999999999993E-3</v>
      </c>
      <c r="CG883" s="1">
        <v>2.4E-2</v>
      </c>
      <c r="CH883" s="1">
        <v>2.3E-2</v>
      </c>
      <c r="CI883" s="1">
        <v>3.4000000000000002E-2</v>
      </c>
      <c r="CJ883" s="1">
        <v>6.5000000000000002E-2</v>
      </c>
      <c r="CK883" s="1">
        <v>0.124</v>
      </c>
      <c r="CL883" s="1">
        <v>3.7999999999999999E-2</v>
      </c>
      <c r="CM883" s="1">
        <v>49.612478400000001</v>
      </c>
      <c r="CN883" s="83">
        <v>-70.616364430000004</v>
      </c>
    </row>
    <row r="884" spans="1:92" s="3" customFormat="1" x14ac:dyDescent="0.25">
      <c r="A884" s="72">
        <v>925</v>
      </c>
      <c r="B884" s="81" t="s">
        <v>1505</v>
      </c>
      <c r="C884" s="1" t="s">
        <v>83</v>
      </c>
      <c r="D884" s="1" t="s">
        <v>73</v>
      </c>
      <c r="E884" s="1" t="s">
        <v>74</v>
      </c>
      <c r="F884" s="1" t="s">
        <v>211</v>
      </c>
      <c r="G884" s="1" t="s">
        <v>76</v>
      </c>
      <c r="H884" s="1" t="s">
        <v>212</v>
      </c>
      <c r="I884" s="1"/>
      <c r="J884" s="9" t="s">
        <v>544</v>
      </c>
      <c r="K884" s="10">
        <v>0.56814149999999997</v>
      </c>
      <c r="L884" s="1" t="s">
        <v>641</v>
      </c>
      <c r="M884" s="1" t="s">
        <v>76</v>
      </c>
      <c r="N884" s="1" t="s">
        <v>649</v>
      </c>
      <c r="O884" s="1" t="s">
        <v>68</v>
      </c>
      <c r="P884" s="82">
        <v>0.76100000000000001</v>
      </c>
      <c r="Q884" s="1" t="s">
        <v>76</v>
      </c>
      <c r="R884" s="81" t="s">
        <v>169</v>
      </c>
      <c r="S884" s="1">
        <v>3</v>
      </c>
      <c r="T884" s="1" t="s">
        <v>120</v>
      </c>
      <c r="U884" s="1" t="s">
        <v>658</v>
      </c>
      <c r="V884" s="1" t="s">
        <v>655</v>
      </c>
      <c r="W884" s="1">
        <v>70</v>
      </c>
      <c r="X884" s="1" t="s">
        <v>76</v>
      </c>
      <c r="Y884" s="1" t="s">
        <v>649</v>
      </c>
      <c r="Z884" s="1">
        <v>1E-3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1E-3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1E-3</v>
      </c>
      <c r="AY884" s="1">
        <v>0</v>
      </c>
      <c r="AZ884" s="1">
        <v>1E-3</v>
      </c>
      <c r="BA884" s="1">
        <v>1E-3</v>
      </c>
      <c r="BB884" s="1">
        <v>0</v>
      </c>
      <c r="BC884" s="1">
        <v>0</v>
      </c>
      <c r="BD884" s="1">
        <v>1E-3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1E-3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1E-3</v>
      </c>
      <c r="BV884" s="1">
        <v>0</v>
      </c>
      <c r="BW884" s="1">
        <v>0</v>
      </c>
      <c r="BX884" s="1">
        <v>1E-3</v>
      </c>
      <c r="BY884" s="1">
        <v>0</v>
      </c>
      <c r="BZ884" s="1">
        <v>2E-3</v>
      </c>
      <c r="CA884" s="1">
        <v>0</v>
      </c>
      <c r="CB884" s="1">
        <v>1E-3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0.76100000000000001</v>
      </c>
      <c r="CL884" s="1">
        <v>0.22</v>
      </c>
      <c r="CM884" s="1">
        <v>34.184122010000003</v>
      </c>
      <c r="CN884" s="83">
        <v>-75.192126500000001</v>
      </c>
    </row>
    <row r="885" spans="1:92" s="3" customFormat="1" x14ac:dyDescent="0.25">
      <c r="A885" s="72">
        <v>926</v>
      </c>
      <c r="B885" s="81" t="s">
        <v>1636</v>
      </c>
      <c r="C885" s="1" t="s">
        <v>83</v>
      </c>
      <c r="D885" s="1" t="s">
        <v>73</v>
      </c>
      <c r="E885" s="1" t="s">
        <v>74</v>
      </c>
      <c r="F885" s="1" t="s">
        <v>211</v>
      </c>
      <c r="G885" s="1" t="s">
        <v>76</v>
      </c>
      <c r="H885" s="1" t="s">
        <v>212</v>
      </c>
      <c r="I885" s="1"/>
      <c r="J885" s="9" t="s">
        <v>544</v>
      </c>
      <c r="K885" s="10">
        <v>0.31855050000000001</v>
      </c>
      <c r="L885" s="1" t="s">
        <v>641</v>
      </c>
      <c r="M885" s="1" t="s">
        <v>76</v>
      </c>
      <c r="N885" s="1" t="s">
        <v>649</v>
      </c>
      <c r="O885" s="1" t="s">
        <v>68</v>
      </c>
      <c r="P885" s="82">
        <v>0.36199999999999999</v>
      </c>
      <c r="Q885" s="1" t="s">
        <v>76</v>
      </c>
      <c r="R885" s="81" t="s">
        <v>169</v>
      </c>
      <c r="S885" s="1">
        <v>3</v>
      </c>
      <c r="T885" s="1" t="s">
        <v>120</v>
      </c>
      <c r="U885" s="1" t="s">
        <v>658</v>
      </c>
      <c r="V885" s="1" t="s">
        <v>654</v>
      </c>
      <c r="W885" s="1">
        <v>86</v>
      </c>
      <c r="X885" s="1" t="s">
        <v>456</v>
      </c>
      <c r="Y885" s="1" t="s">
        <v>649</v>
      </c>
      <c r="Z885" s="1">
        <v>0.107</v>
      </c>
      <c r="AA885" s="1">
        <v>2E-3</v>
      </c>
      <c r="AB885" s="1">
        <v>1E-3</v>
      </c>
      <c r="AC885" s="1">
        <v>1.4999999999999999E-2</v>
      </c>
      <c r="AD885" s="1">
        <v>3.0000000000000001E-3</v>
      </c>
      <c r="AE885" s="1">
        <v>2E-3</v>
      </c>
      <c r="AF885" s="1">
        <v>1E-3</v>
      </c>
      <c r="AG885" s="1">
        <v>0</v>
      </c>
      <c r="AH885" s="1">
        <v>1.4999999999999999E-2</v>
      </c>
      <c r="AI885" s="1">
        <v>4.0000000000000001E-3</v>
      </c>
      <c r="AJ885" s="1">
        <v>1E-3</v>
      </c>
      <c r="AK885" s="1">
        <v>1E-3</v>
      </c>
      <c r="AL885" s="1">
        <v>0</v>
      </c>
      <c r="AM885" s="1">
        <v>1E-3</v>
      </c>
      <c r="AN885" s="1">
        <v>2.9000000000000001E-2</v>
      </c>
      <c r="AO885" s="1">
        <v>1E-3</v>
      </c>
      <c r="AP885" s="1">
        <v>1E-3</v>
      </c>
      <c r="AQ885" s="1">
        <v>1E-3</v>
      </c>
      <c r="AR885" s="1">
        <v>1E-3</v>
      </c>
      <c r="AS885" s="1">
        <v>2E-3</v>
      </c>
      <c r="AT885" s="1">
        <v>2E-3</v>
      </c>
      <c r="AU885" s="1">
        <v>2E-3</v>
      </c>
      <c r="AV885" s="1">
        <v>2E-3</v>
      </c>
      <c r="AW885" s="1">
        <v>1E-3</v>
      </c>
      <c r="AX885" s="1">
        <v>1.2999999999999999E-2</v>
      </c>
      <c r="AY885" s="1">
        <v>3.0000000000000001E-3</v>
      </c>
      <c r="AZ885" s="1">
        <v>3.0000000000000001E-3</v>
      </c>
      <c r="BA885" s="1">
        <v>5.0000000000000001E-3</v>
      </c>
      <c r="BB885" s="1">
        <v>1E-3</v>
      </c>
      <c r="BC885" s="1">
        <v>1E-3</v>
      </c>
      <c r="BD885" s="1">
        <v>7.0000000000000001E-3</v>
      </c>
      <c r="BE885" s="1">
        <v>1E-3</v>
      </c>
      <c r="BF885" s="1">
        <v>0.33300000000000002</v>
      </c>
      <c r="BG885" s="1">
        <v>0</v>
      </c>
      <c r="BH885" s="1">
        <v>6.0000000000000001E-3</v>
      </c>
      <c r="BI885" s="1">
        <v>1E-3</v>
      </c>
      <c r="BJ885" s="1">
        <v>1E-3</v>
      </c>
      <c r="BK885" s="1">
        <v>1E-3</v>
      </c>
      <c r="BL885" s="1">
        <v>2E-3</v>
      </c>
      <c r="BM885" s="1">
        <v>1E-3</v>
      </c>
      <c r="BN885" s="1">
        <v>1E-3</v>
      </c>
      <c r="BO885" s="1">
        <v>1E-3</v>
      </c>
      <c r="BP885" s="1">
        <v>1E-3</v>
      </c>
      <c r="BQ885" s="1">
        <v>2E-3</v>
      </c>
      <c r="BR885" s="1">
        <v>2E-3</v>
      </c>
      <c r="BS885" s="1">
        <v>2E-3</v>
      </c>
      <c r="BT885" s="1">
        <v>1E-3</v>
      </c>
      <c r="BU885" s="1">
        <v>2E-3</v>
      </c>
      <c r="BV885" s="1">
        <v>1E-3</v>
      </c>
      <c r="BW885" s="1">
        <v>1E-3</v>
      </c>
      <c r="BX885" s="1">
        <v>1.4999999999999999E-2</v>
      </c>
      <c r="BY885" s="1">
        <v>3.0000000000000001E-3</v>
      </c>
      <c r="BZ885" s="1">
        <v>3.0000000000000001E-3</v>
      </c>
      <c r="CA885" s="1">
        <v>2E-3</v>
      </c>
      <c r="CB885" s="1">
        <v>1E-3</v>
      </c>
      <c r="CC885" s="1">
        <v>1E-3</v>
      </c>
      <c r="CD885" s="1">
        <v>0</v>
      </c>
      <c r="CE885" s="1">
        <v>1E-3</v>
      </c>
      <c r="CF885" s="1">
        <v>2E-3</v>
      </c>
      <c r="CG885" s="1">
        <v>3.0000000000000001E-3</v>
      </c>
      <c r="CH885" s="1">
        <v>2E-3</v>
      </c>
      <c r="CI885" s="1">
        <v>1E-3</v>
      </c>
      <c r="CJ885" s="1">
        <v>2E-3</v>
      </c>
      <c r="CK885" s="1">
        <v>0.36199999999999999</v>
      </c>
      <c r="CL885" s="1">
        <v>1.4999999999999999E-2</v>
      </c>
      <c r="CM885" s="1">
        <v>-5.6232442540000003</v>
      </c>
      <c r="CN885" s="83">
        <v>-57.551068090000001</v>
      </c>
    </row>
    <row r="886" spans="1:92" s="3" customFormat="1" x14ac:dyDescent="0.25">
      <c r="A886" s="72">
        <v>927</v>
      </c>
      <c r="B886" s="81" t="s">
        <v>1583</v>
      </c>
      <c r="C886" s="1" t="s">
        <v>83</v>
      </c>
      <c r="D886" s="1" t="s">
        <v>73</v>
      </c>
      <c r="E886" s="1" t="s">
        <v>74</v>
      </c>
      <c r="F886" s="1" t="s">
        <v>211</v>
      </c>
      <c r="G886" s="1" t="s">
        <v>76</v>
      </c>
      <c r="H886" s="1" t="s">
        <v>212</v>
      </c>
      <c r="I886" s="1"/>
      <c r="J886" s="9" t="s">
        <v>544</v>
      </c>
      <c r="K886" s="10">
        <v>0.31954816666666702</v>
      </c>
      <c r="L886" s="1" t="s">
        <v>641</v>
      </c>
      <c r="M886" s="1" t="s">
        <v>76</v>
      </c>
      <c r="N886" s="1" t="s">
        <v>649</v>
      </c>
      <c r="O886" s="1" t="s">
        <v>68</v>
      </c>
      <c r="P886" s="82">
        <v>0.86099999999999999</v>
      </c>
      <c r="Q886" s="1" t="s">
        <v>76</v>
      </c>
      <c r="R886" s="81" t="s">
        <v>171</v>
      </c>
      <c r="S886" s="1">
        <v>2</v>
      </c>
      <c r="T886" s="1" t="s">
        <v>120</v>
      </c>
      <c r="U886" s="1" t="s">
        <v>659</v>
      </c>
      <c r="V886" s="1" t="s">
        <v>655</v>
      </c>
      <c r="W886" s="1">
        <v>83</v>
      </c>
      <c r="X886" s="1" t="s">
        <v>76</v>
      </c>
      <c r="Y886" s="1" t="s">
        <v>645</v>
      </c>
      <c r="Z886" s="1">
        <v>0.11799999999999999</v>
      </c>
      <c r="AA886" s="1">
        <v>0</v>
      </c>
      <c r="AB886" s="1">
        <v>0</v>
      </c>
      <c r="AC886" s="1">
        <v>1E-3</v>
      </c>
      <c r="AD886" s="1">
        <v>0</v>
      </c>
      <c r="AE886" s="1">
        <v>0</v>
      </c>
      <c r="AF886" s="1">
        <v>0</v>
      </c>
      <c r="AG886" s="1">
        <v>0</v>
      </c>
      <c r="AH886" s="1">
        <v>2E-3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1E-3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1E-3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1E-3</v>
      </c>
      <c r="BE886" s="1">
        <v>0</v>
      </c>
      <c r="BF886" s="1">
        <v>5.0000000000000001E-3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1E-3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0.86099999999999999</v>
      </c>
      <c r="CL886" s="1">
        <v>3.0000000000000001E-3</v>
      </c>
      <c r="CM886" s="1">
        <v>-2.8388858259999998</v>
      </c>
      <c r="CN886" s="83">
        <v>-60.470452080000001</v>
      </c>
    </row>
    <row r="887" spans="1:92" s="3" customFormat="1" x14ac:dyDescent="0.25">
      <c r="A887" s="72">
        <v>928</v>
      </c>
      <c r="B887" s="81" t="s">
        <v>1633</v>
      </c>
      <c r="C887" s="1" t="s">
        <v>83</v>
      </c>
      <c r="D887" s="1" t="s">
        <v>73</v>
      </c>
      <c r="E887" s="1" t="s">
        <v>74</v>
      </c>
      <c r="F887" s="1" t="s">
        <v>211</v>
      </c>
      <c r="G887" s="1" t="s">
        <v>76</v>
      </c>
      <c r="H887" s="1" t="s">
        <v>212</v>
      </c>
      <c r="I887" s="1"/>
      <c r="J887" s="9" t="s">
        <v>544</v>
      </c>
      <c r="K887" s="10">
        <v>0.35198533333333298</v>
      </c>
      <c r="L887" s="1" t="s">
        <v>641</v>
      </c>
      <c r="M887" s="1" t="s">
        <v>76</v>
      </c>
      <c r="N887" s="1" t="s">
        <v>644</v>
      </c>
      <c r="O887" s="1" t="s">
        <v>69</v>
      </c>
      <c r="P887" s="82">
        <v>0.57299999999999995</v>
      </c>
      <c r="Q887" s="1" t="s">
        <v>76</v>
      </c>
      <c r="R887" s="81" t="s">
        <v>169</v>
      </c>
      <c r="S887" s="1">
        <v>2</v>
      </c>
      <c r="T887" s="1" t="s">
        <v>120</v>
      </c>
      <c r="U887" s="1" t="s">
        <v>659</v>
      </c>
      <c r="V887" s="1" t="s">
        <v>655</v>
      </c>
      <c r="W887" s="1">
        <v>52</v>
      </c>
      <c r="X887" s="1" t="s">
        <v>76</v>
      </c>
      <c r="Y887" s="1" t="s">
        <v>644</v>
      </c>
      <c r="Z887" s="1">
        <v>0.247</v>
      </c>
      <c r="AA887" s="1">
        <v>1E-3</v>
      </c>
      <c r="AB887" s="1">
        <v>0</v>
      </c>
      <c r="AC887" s="1">
        <v>3.0000000000000001E-3</v>
      </c>
      <c r="AD887" s="1">
        <v>1E-3</v>
      </c>
      <c r="AE887" s="1">
        <v>0</v>
      </c>
      <c r="AF887" s="1">
        <v>1E-3</v>
      </c>
      <c r="AG887" s="1">
        <v>0</v>
      </c>
      <c r="AH887" s="1">
        <v>8.0000000000000002E-3</v>
      </c>
      <c r="AI887" s="1">
        <v>1E-3</v>
      </c>
      <c r="AJ887" s="1">
        <v>0</v>
      </c>
      <c r="AK887" s="1">
        <v>0</v>
      </c>
      <c r="AL887" s="1">
        <v>0</v>
      </c>
      <c r="AM887" s="1">
        <v>0</v>
      </c>
      <c r="AN887" s="1">
        <v>2E-3</v>
      </c>
      <c r="AO887" s="1">
        <v>0</v>
      </c>
      <c r="AP887" s="1">
        <v>0</v>
      </c>
      <c r="AQ887" s="1">
        <v>0</v>
      </c>
      <c r="AR887" s="1">
        <v>1E-3</v>
      </c>
      <c r="AS887" s="1">
        <v>1E-3</v>
      </c>
      <c r="AT887" s="1">
        <v>0</v>
      </c>
      <c r="AU887" s="1">
        <v>1E-3</v>
      </c>
      <c r="AV887" s="1">
        <v>1E-3</v>
      </c>
      <c r="AW887" s="1">
        <v>0</v>
      </c>
      <c r="AX887" s="1">
        <v>2E-3</v>
      </c>
      <c r="AY887" s="1">
        <v>2E-3</v>
      </c>
      <c r="AZ887" s="1">
        <v>2E-3</v>
      </c>
      <c r="BA887" s="1">
        <v>2E-3</v>
      </c>
      <c r="BB887" s="1">
        <v>0</v>
      </c>
      <c r="BC887" s="1">
        <v>0</v>
      </c>
      <c r="BD887" s="1">
        <v>3.0000000000000001E-3</v>
      </c>
      <c r="BE887" s="1">
        <v>0</v>
      </c>
      <c r="BF887" s="1">
        <v>4.0000000000000001E-3</v>
      </c>
      <c r="BG887" s="1">
        <v>0</v>
      </c>
      <c r="BH887" s="1">
        <v>0</v>
      </c>
      <c r="BI887" s="1">
        <v>0</v>
      </c>
      <c r="BJ887" s="1">
        <v>1E-3</v>
      </c>
      <c r="BK887" s="1">
        <v>0</v>
      </c>
      <c r="BL887" s="1">
        <v>1E-3</v>
      </c>
      <c r="BM887" s="1">
        <v>0</v>
      </c>
      <c r="BN887" s="1">
        <v>1E-3</v>
      </c>
      <c r="BO887" s="1">
        <v>0</v>
      </c>
      <c r="BP887" s="1">
        <v>1E-3</v>
      </c>
      <c r="BQ887" s="1">
        <v>1E-3</v>
      </c>
      <c r="BR887" s="1">
        <v>1E-3</v>
      </c>
      <c r="BS887" s="1">
        <v>1E-3</v>
      </c>
      <c r="BT887" s="1">
        <v>0</v>
      </c>
      <c r="BU887" s="1">
        <v>3.6999999999999998E-2</v>
      </c>
      <c r="BV887" s="1">
        <v>0</v>
      </c>
      <c r="BW887" s="1">
        <v>0</v>
      </c>
      <c r="BX887" s="1">
        <v>1E-3</v>
      </c>
      <c r="BY887" s="1">
        <v>1E-3</v>
      </c>
      <c r="BZ887" s="1">
        <v>2E-3</v>
      </c>
      <c r="CA887" s="1">
        <v>1E-3</v>
      </c>
      <c r="CB887" s="1">
        <v>1E-3</v>
      </c>
      <c r="CC887" s="1">
        <v>1E-3</v>
      </c>
      <c r="CD887" s="1">
        <v>0</v>
      </c>
      <c r="CE887" s="1">
        <v>0</v>
      </c>
      <c r="CF887" s="1">
        <v>1E-3</v>
      </c>
      <c r="CG887" s="1">
        <v>1E-3</v>
      </c>
      <c r="CH887" s="1">
        <v>1E-3</v>
      </c>
      <c r="CI887" s="1">
        <v>1E-3</v>
      </c>
      <c r="CJ887" s="1">
        <v>1E-3</v>
      </c>
      <c r="CK887" s="1">
        <v>8.6999999999999994E-2</v>
      </c>
      <c r="CL887" s="1">
        <v>0.57299999999999995</v>
      </c>
      <c r="CM887" s="1">
        <v>-5.5229891589999998</v>
      </c>
      <c r="CN887" s="83">
        <v>-66.359900260000003</v>
      </c>
    </row>
    <row r="888" spans="1:92" s="3" customFormat="1" x14ac:dyDescent="0.25">
      <c r="A888" s="72">
        <v>929</v>
      </c>
      <c r="B888" s="81" t="s">
        <v>1570</v>
      </c>
      <c r="C888" s="1" t="s">
        <v>83</v>
      </c>
      <c r="D888" s="1" t="s">
        <v>73</v>
      </c>
      <c r="E888" s="1" t="s">
        <v>74</v>
      </c>
      <c r="F888" s="1" t="s">
        <v>211</v>
      </c>
      <c r="G888" s="1" t="s">
        <v>76</v>
      </c>
      <c r="H888" s="1" t="s">
        <v>212</v>
      </c>
      <c r="I888" s="1"/>
      <c r="J888" s="9" t="s">
        <v>544</v>
      </c>
      <c r="K888" s="10">
        <v>0.27535916666666699</v>
      </c>
      <c r="L888" s="1" t="s">
        <v>641</v>
      </c>
      <c r="M888" s="1" t="s">
        <v>76</v>
      </c>
      <c r="N888" s="1" t="s">
        <v>644</v>
      </c>
      <c r="O888" s="1" t="s">
        <v>5</v>
      </c>
      <c r="P888" s="82">
        <v>0.49</v>
      </c>
      <c r="Q888" s="1" t="s">
        <v>76</v>
      </c>
      <c r="R888" s="81" t="s">
        <v>169</v>
      </c>
      <c r="S888" s="1">
        <v>2</v>
      </c>
      <c r="T888" s="1" t="s">
        <v>120</v>
      </c>
      <c r="U888" s="1" t="s">
        <v>659</v>
      </c>
      <c r="V888" s="1" t="s">
        <v>655</v>
      </c>
      <c r="W888" s="1">
        <v>54</v>
      </c>
      <c r="X888" s="1" t="s">
        <v>391</v>
      </c>
      <c r="Y888" s="1" t="s">
        <v>644</v>
      </c>
      <c r="Z888" s="1">
        <v>0.49</v>
      </c>
      <c r="AA888" s="1">
        <v>0</v>
      </c>
      <c r="AB888" s="1">
        <v>0</v>
      </c>
      <c r="AC888" s="1">
        <v>2.1000000000000001E-2</v>
      </c>
      <c r="AD888" s="1">
        <v>1E-3</v>
      </c>
      <c r="AE888" s="1">
        <v>1E-3</v>
      </c>
      <c r="AF888" s="1">
        <v>0</v>
      </c>
      <c r="AG888" s="1">
        <v>0</v>
      </c>
      <c r="AH888" s="1">
        <v>1.6E-2</v>
      </c>
      <c r="AI888" s="1">
        <v>4.0000000000000001E-3</v>
      </c>
      <c r="AJ888" s="1">
        <v>0</v>
      </c>
      <c r="AK888" s="1">
        <v>0</v>
      </c>
      <c r="AL888" s="1">
        <v>0</v>
      </c>
      <c r="AM888" s="1">
        <v>0</v>
      </c>
      <c r="AN888" s="1">
        <v>2.5999999999999999E-2</v>
      </c>
      <c r="AO888" s="1">
        <v>0</v>
      </c>
      <c r="AP888" s="1">
        <v>0</v>
      </c>
      <c r="AQ888" s="1">
        <v>0</v>
      </c>
      <c r="AR888" s="1">
        <v>0</v>
      </c>
      <c r="AS888" s="1">
        <v>1E-3</v>
      </c>
      <c r="AT888" s="1">
        <v>0</v>
      </c>
      <c r="AU888" s="1">
        <v>0</v>
      </c>
      <c r="AV888" s="1">
        <v>1E-3</v>
      </c>
      <c r="AW888" s="1">
        <v>0</v>
      </c>
      <c r="AX888" s="1">
        <v>1E-3</v>
      </c>
      <c r="AY888" s="1">
        <v>1E-3</v>
      </c>
      <c r="AZ888" s="1">
        <v>1E-3</v>
      </c>
      <c r="BA888" s="1">
        <v>2E-3</v>
      </c>
      <c r="BB888" s="1">
        <v>0</v>
      </c>
      <c r="BC888" s="1">
        <v>0</v>
      </c>
      <c r="BD888" s="1">
        <v>3.0000000000000001E-3</v>
      </c>
      <c r="BE888" s="1">
        <v>0</v>
      </c>
      <c r="BF888" s="1">
        <v>0.36399999999999999</v>
      </c>
      <c r="BG888" s="1">
        <v>0</v>
      </c>
      <c r="BH888" s="1">
        <v>6.0000000000000001E-3</v>
      </c>
      <c r="BI888" s="1">
        <v>0</v>
      </c>
      <c r="BJ888" s="1">
        <v>0</v>
      </c>
      <c r="BK888" s="1">
        <v>0</v>
      </c>
      <c r="BL888" s="1">
        <v>1E-3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1E-3</v>
      </c>
      <c r="BS888" s="1">
        <v>0</v>
      </c>
      <c r="BT888" s="1">
        <v>0</v>
      </c>
      <c r="BU888" s="1">
        <v>1E-3</v>
      </c>
      <c r="BV888" s="1">
        <v>0</v>
      </c>
      <c r="BW888" s="1">
        <v>0</v>
      </c>
      <c r="BX888" s="1">
        <v>5.0000000000000001E-3</v>
      </c>
      <c r="BY888" s="1">
        <v>1E-3</v>
      </c>
      <c r="BZ888" s="1">
        <v>1E-3</v>
      </c>
      <c r="CA888" s="1">
        <v>1E-3</v>
      </c>
      <c r="CB888" s="1">
        <v>0</v>
      </c>
      <c r="CC888" s="1">
        <v>0</v>
      </c>
      <c r="CD888" s="1">
        <v>0</v>
      </c>
      <c r="CE888" s="1">
        <v>0</v>
      </c>
      <c r="CF888" s="1">
        <v>1E-3</v>
      </c>
      <c r="CG888" s="1">
        <v>2E-3</v>
      </c>
      <c r="CH888" s="1">
        <v>1E-3</v>
      </c>
      <c r="CI888" s="1">
        <v>1E-3</v>
      </c>
      <c r="CJ888" s="1">
        <v>1E-3</v>
      </c>
      <c r="CK888" s="1">
        <v>3.7999999999999999E-2</v>
      </c>
      <c r="CL888" s="1">
        <v>2E-3</v>
      </c>
      <c r="CM888" s="1">
        <v>-4.8421076279999999</v>
      </c>
      <c r="CN888" s="83">
        <v>-54.432483120000001</v>
      </c>
    </row>
    <row r="889" spans="1:92" s="3" customFormat="1" x14ac:dyDescent="0.25">
      <c r="A889" s="72">
        <v>930</v>
      </c>
      <c r="B889" s="81" t="s">
        <v>1507</v>
      </c>
      <c r="C889" s="1" t="s">
        <v>83</v>
      </c>
      <c r="D889" s="1" t="s">
        <v>73</v>
      </c>
      <c r="E889" s="1" t="s">
        <v>99</v>
      </c>
      <c r="F889" s="1" t="s">
        <v>211</v>
      </c>
      <c r="G889" s="1" t="s">
        <v>76</v>
      </c>
      <c r="H889" s="1" t="s">
        <v>212</v>
      </c>
      <c r="I889" s="1"/>
      <c r="J889" s="9" t="s">
        <v>544</v>
      </c>
      <c r="K889" s="10">
        <v>0.38927283333333301</v>
      </c>
      <c r="L889" s="1" t="s">
        <v>76</v>
      </c>
      <c r="M889" s="1" t="s">
        <v>506</v>
      </c>
      <c r="N889" s="1" t="s">
        <v>645</v>
      </c>
      <c r="O889" s="1" t="s">
        <v>68</v>
      </c>
      <c r="P889" s="82">
        <v>0.999</v>
      </c>
      <c r="Q889" s="1" t="s">
        <v>76</v>
      </c>
      <c r="R889" s="81" t="s">
        <v>169</v>
      </c>
      <c r="S889" s="1">
        <v>3</v>
      </c>
      <c r="T889" s="1" t="s">
        <v>120</v>
      </c>
      <c r="U889" s="1" t="s">
        <v>658</v>
      </c>
      <c r="V889" s="1" t="s">
        <v>655</v>
      </c>
      <c r="W889" s="1">
        <v>77</v>
      </c>
      <c r="X889" s="1" t="s">
        <v>391</v>
      </c>
      <c r="Y889" s="1" t="s">
        <v>645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0.999</v>
      </c>
      <c r="CL889" s="1">
        <v>0</v>
      </c>
      <c r="CM889" s="1">
        <v>34.9516487</v>
      </c>
      <c r="CN889" s="83">
        <v>-59.457646359999998</v>
      </c>
    </row>
    <row r="890" spans="1:92" s="3" customFormat="1" x14ac:dyDescent="0.25">
      <c r="A890" s="72">
        <v>931</v>
      </c>
      <c r="B890" s="81" t="s">
        <v>1504</v>
      </c>
      <c r="C890" s="1" t="s">
        <v>83</v>
      </c>
      <c r="D890" s="1" t="s">
        <v>73</v>
      </c>
      <c r="E890" s="1" t="s">
        <v>99</v>
      </c>
      <c r="F890" s="1" t="s">
        <v>211</v>
      </c>
      <c r="G890" s="1" t="s">
        <v>76</v>
      </c>
      <c r="H890" s="1" t="s">
        <v>212</v>
      </c>
      <c r="I890" s="1"/>
      <c r="J890" s="9" t="s">
        <v>544</v>
      </c>
      <c r="K890" s="10">
        <v>0.46019633333333398</v>
      </c>
      <c r="L890" s="1" t="s">
        <v>76</v>
      </c>
      <c r="M890" s="1" t="s">
        <v>506</v>
      </c>
      <c r="N890" s="1" t="s">
        <v>645</v>
      </c>
      <c r="O890" s="1" t="s">
        <v>68</v>
      </c>
      <c r="P890" s="82">
        <v>0.91300000000000003</v>
      </c>
      <c r="Q890" s="1" t="s">
        <v>76</v>
      </c>
      <c r="R890" s="81" t="s">
        <v>164</v>
      </c>
      <c r="S890" s="1">
        <v>2</v>
      </c>
      <c r="T890" s="1" t="s">
        <v>120</v>
      </c>
      <c r="U890" s="1" t="s">
        <v>658</v>
      </c>
      <c r="V890" s="1" t="s">
        <v>655</v>
      </c>
      <c r="W890" s="1">
        <v>78</v>
      </c>
      <c r="X890" s="1" t="s">
        <v>391</v>
      </c>
      <c r="Y890" s="1" t="s">
        <v>645</v>
      </c>
      <c r="Z890" s="1">
        <v>1E-3</v>
      </c>
      <c r="AA890" s="1">
        <v>3.0000000000000001E-3</v>
      </c>
      <c r="AB890" s="1">
        <v>1E-3</v>
      </c>
      <c r="AC890" s="1">
        <v>2E-3</v>
      </c>
      <c r="AD890" s="1">
        <v>1E-3</v>
      </c>
      <c r="AE890" s="1">
        <v>1E-3</v>
      </c>
      <c r="AF890" s="1">
        <v>1E-3</v>
      </c>
      <c r="AG890" s="1">
        <v>0</v>
      </c>
      <c r="AH890" s="1">
        <v>1E-3</v>
      </c>
      <c r="AI890" s="1">
        <v>0</v>
      </c>
      <c r="AJ890" s="1">
        <v>0</v>
      </c>
      <c r="AK890" s="1">
        <v>1E-3</v>
      </c>
      <c r="AL890" s="1">
        <v>0</v>
      </c>
      <c r="AM890" s="1">
        <v>0</v>
      </c>
      <c r="AN890" s="1">
        <v>0</v>
      </c>
      <c r="AO890" s="1">
        <v>1E-3</v>
      </c>
      <c r="AP890" s="1">
        <v>0</v>
      </c>
      <c r="AQ890" s="1">
        <v>0</v>
      </c>
      <c r="AR890" s="1">
        <v>2E-3</v>
      </c>
      <c r="AS890" s="1">
        <v>3.0000000000000001E-3</v>
      </c>
      <c r="AT890" s="1">
        <v>1E-3</v>
      </c>
      <c r="AU890" s="1">
        <v>3.0000000000000001E-3</v>
      </c>
      <c r="AV890" s="1">
        <v>1E-3</v>
      </c>
      <c r="AW890" s="1">
        <v>1E-3</v>
      </c>
      <c r="AX890" s="1">
        <v>4.0000000000000001E-3</v>
      </c>
      <c r="AY890" s="1">
        <v>1E-3</v>
      </c>
      <c r="AZ890" s="1">
        <v>2E-3</v>
      </c>
      <c r="BA890" s="1">
        <v>3.0000000000000001E-3</v>
      </c>
      <c r="BB890" s="1">
        <v>1E-3</v>
      </c>
      <c r="BC890" s="1">
        <v>0</v>
      </c>
      <c r="BD890" s="1">
        <v>3.0000000000000001E-3</v>
      </c>
      <c r="BE890" s="1">
        <v>1E-3</v>
      </c>
      <c r="BF890" s="1">
        <v>1E-3</v>
      </c>
      <c r="BG890" s="1">
        <v>0</v>
      </c>
      <c r="BH890" s="1">
        <v>0</v>
      </c>
      <c r="BI890" s="1">
        <v>0</v>
      </c>
      <c r="BJ890" s="1">
        <v>1E-3</v>
      </c>
      <c r="BK890" s="1">
        <v>0</v>
      </c>
      <c r="BL890" s="1">
        <v>1E-3</v>
      </c>
      <c r="BM890" s="1">
        <v>0</v>
      </c>
      <c r="BN890" s="1">
        <v>1E-3</v>
      </c>
      <c r="BO890" s="1">
        <v>0</v>
      </c>
      <c r="BP890" s="1">
        <v>1E-3</v>
      </c>
      <c r="BQ890" s="1">
        <v>1E-3</v>
      </c>
      <c r="BR890" s="1">
        <v>1E-3</v>
      </c>
      <c r="BS890" s="1">
        <v>2E-3</v>
      </c>
      <c r="BT890" s="1">
        <v>0</v>
      </c>
      <c r="BU890" s="1">
        <v>1E-3</v>
      </c>
      <c r="BV890" s="1">
        <v>0</v>
      </c>
      <c r="BW890" s="1">
        <v>1E-3</v>
      </c>
      <c r="BX890" s="1">
        <v>2E-3</v>
      </c>
      <c r="BY890" s="1">
        <v>1E-3</v>
      </c>
      <c r="BZ890" s="1">
        <v>2E-3</v>
      </c>
      <c r="CA890" s="1">
        <v>1E-3</v>
      </c>
      <c r="CB890" s="1">
        <v>1E-3</v>
      </c>
      <c r="CC890" s="1">
        <v>1E-3</v>
      </c>
      <c r="CD890" s="1">
        <v>0</v>
      </c>
      <c r="CE890" s="1">
        <v>1E-3</v>
      </c>
      <c r="CF890" s="1">
        <v>1E-3</v>
      </c>
      <c r="CG890" s="1">
        <v>1E-3</v>
      </c>
      <c r="CH890" s="1">
        <v>2E-3</v>
      </c>
      <c r="CI890" s="1">
        <v>1E-3</v>
      </c>
      <c r="CJ890" s="1">
        <v>1E-3</v>
      </c>
      <c r="CK890" s="1">
        <v>0.91300000000000003</v>
      </c>
      <c r="CL890" s="1">
        <v>1.4999999999999999E-2</v>
      </c>
      <c r="CM890" s="1">
        <v>44.314215300000001</v>
      </c>
      <c r="CN890" s="83">
        <v>-78.446428620000006</v>
      </c>
    </row>
    <row r="891" spans="1:92" s="3" customFormat="1" x14ac:dyDescent="0.25">
      <c r="A891" s="72">
        <v>932</v>
      </c>
      <c r="B891" s="81" t="s">
        <v>1461</v>
      </c>
      <c r="C891" s="1" t="s">
        <v>83</v>
      </c>
      <c r="D891" s="1" t="s">
        <v>73</v>
      </c>
      <c r="E891" s="1" t="s">
        <v>74</v>
      </c>
      <c r="F891" s="1" t="s">
        <v>211</v>
      </c>
      <c r="G891" s="1" t="s">
        <v>76</v>
      </c>
      <c r="H891" s="1" t="s">
        <v>212</v>
      </c>
      <c r="I891" s="1"/>
      <c r="J891" s="9" t="s">
        <v>544</v>
      </c>
      <c r="K891" s="10">
        <v>0.41707100000000003</v>
      </c>
      <c r="L891" s="1" t="s">
        <v>76</v>
      </c>
      <c r="M891" s="1" t="s">
        <v>506</v>
      </c>
      <c r="N891" s="1" t="s">
        <v>645</v>
      </c>
      <c r="O891" s="1" t="s">
        <v>68</v>
      </c>
      <c r="P891" s="82">
        <v>0.998</v>
      </c>
      <c r="Q891" s="1" t="s">
        <v>76</v>
      </c>
      <c r="R891" s="81" t="s">
        <v>169</v>
      </c>
      <c r="S891" s="1">
        <v>3</v>
      </c>
      <c r="T891" s="1" t="s">
        <v>120</v>
      </c>
      <c r="U891" s="1" t="s">
        <v>658</v>
      </c>
      <c r="V891" s="1" t="s">
        <v>655</v>
      </c>
      <c r="W891" s="1">
        <v>49</v>
      </c>
      <c r="X891" s="1" t="s">
        <v>391</v>
      </c>
      <c r="Y891" s="1" t="s">
        <v>645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0.998</v>
      </c>
      <c r="CL891" s="1">
        <v>2E-3</v>
      </c>
      <c r="CM891" s="1">
        <v>37.261043909999998</v>
      </c>
      <c r="CN891" s="83">
        <v>-72.691132449999998</v>
      </c>
    </row>
    <row r="892" spans="1:92" s="3" customFormat="1" x14ac:dyDescent="0.25">
      <c r="A892" s="72">
        <v>933</v>
      </c>
      <c r="B892" s="81" t="s">
        <v>1632</v>
      </c>
      <c r="C892" s="1" t="s">
        <v>83</v>
      </c>
      <c r="D892" s="1" t="s">
        <v>73</v>
      </c>
      <c r="E892" s="1" t="s">
        <v>99</v>
      </c>
      <c r="F892" s="1" t="s">
        <v>211</v>
      </c>
      <c r="G892" s="1" t="s">
        <v>76</v>
      </c>
      <c r="H892" s="1" t="s">
        <v>212</v>
      </c>
      <c r="I892" s="1"/>
      <c r="J892" s="9" t="s">
        <v>544</v>
      </c>
      <c r="K892" s="10">
        <v>0.48127716666666598</v>
      </c>
      <c r="L892" s="1" t="s">
        <v>641</v>
      </c>
      <c r="M892" s="1" t="s">
        <v>76</v>
      </c>
      <c r="N892" s="1" t="s">
        <v>649</v>
      </c>
      <c r="O892" s="1" t="s">
        <v>68</v>
      </c>
      <c r="P892" s="82">
        <v>0.83099999999999996</v>
      </c>
      <c r="Q892" s="1" t="s">
        <v>76</v>
      </c>
      <c r="R892" s="81" t="s">
        <v>191</v>
      </c>
      <c r="S892" s="1">
        <v>3</v>
      </c>
      <c r="T892" s="1" t="s">
        <v>120</v>
      </c>
      <c r="U892" s="1" t="s">
        <v>658</v>
      </c>
      <c r="V892" s="1" t="s">
        <v>655</v>
      </c>
      <c r="W892" s="1">
        <v>87</v>
      </c>
      <c r="X892" s="1" t="s">
        <v>76</v>
      </c>
      <c r="Y892" s="1" t="s">
        <v>649</v>
      </c>
      <c r="Z892" s="1">
        <v>1E-3</v>
      </c>
      <c r="AA892" s="1">
        <v>2E-3</v>
      </c>
      <c r="AB892" s="1">
        <v>2E-3</v>
      </c>
      <c r="AC892" s="1">
        <v>8.9999999999999993E-3</v>
      </c>
      <c r="AD892" s="1">
        <v>3.0000000000000001E-3</v>
      </c>
      <c r="AE892" s="1">
        <v>2E-3</v>
      </c>
      <c r="AF892" s="1">
        <v>4.0000000000000001E-3</v>
      </c>
      <c r="AG892" s="1">
        <v>0</v>
      </c>
      <c r="AH892" s="1">
        <v>6.0000000000000001E-3</v>
      </c>
      <c r="AI892" s="1">
        <v>1E-3</v>
      </c>
      <c r="AJ892" s="1">
        <v>1E-3</v>
      </c>
      <c r="AK892" s="1">
        <v>4.0000000000000001E-3</v>
      </c>
      <c r="AL892" s="1">
        <v>1E-3</v>
      </c>
      <c r="AM892" s="1">
        <v>1E-3</v>
      </c>
      <c r="AN892" s="1">
        <v>1E-3</v>
      </c>
      <c r="AO892" s="1">
        <v>2E-3</v>
      </c>
      <c r="AP892" s="1">
        <v>1E-3</v>
      </c>
      <c r="AQ892" s="1">
        <v>1E-3</v>
      </c>
      <c r="AR892" s="1">
        <v>2E-3</v>
      </c>
      <c r="AS892" s="1">
        <v>7.0000000000000001E-3</v>
      </c>
      <c r="AT892" s="1">
        <v>4.0000000000000001E-3</v>
      </c>
      <c r="AU892" s="1">
        <v>2E-3</v>
      </c>
      <c r="AV892" s="1">
        <v>1E-3</v>
      </c>
      <c r="AW892" s="1">
        <v>2E-3</v>
      </c>
      <c r="AX892" s="1">
        <v>7.0000000000000001E-3</v>
      </c>
      <c r="AY892" s="1">
        <v>2E-3</v>
      </c>
      <c r="AZ892" s="1">
        <v>3.0000000000000001E-3</v>
      </c>
      <c r="BA892" s="1">
        <v>8.0000000000000002E-3</v>
      </c>
      <c r="BB892" s="1">
        <v>2E-3</v>
      </c>
      <c r="BC892" s="1">
        <v>1E-3</v>
      </c>
      <c r="BD892" s="1">
        <v>8.0000000000000002E-3</v>
      </c>
      <c r="BE892" s="1">
        <v>2E-3</v>
      </c>
      <c r="BF892" s="1">
        <v>1E-3</v>
      </c>
      <c r="BG892" s="1">
        <v>1E-3</v>
      </c>
      <c r="BH892" s="1">
        <v>2E-3</v>
      </c>
      <c r="BI892" s="1">
        <v>1E-3</v>
      </c>
      <c r="BJ892" s="1">
        <v>1E-3</v>
      </c>
      <c r="BK892" s="1">
        <v>1E-3</v>
      </c>
      <c r="BL892" s="1">
        <v>3.0000000000000001E-3</v>
      </c>
      <c r="BM892" s="1">
        <v>2E-3</v>
      </c>
      <c r="BN892" s="1">
        <v>4.0000000000000001E-3</v>
      </c>
      <c r="BO892" s="1">
        <v>1E-3</v>
      </c>
      <c r="BP892" s="1">
        <v>1E-3</v>
      </c>
      <c r="BQ892" s="1">
        <v>4.0000000000000001E-3</v>
      </c>
      <c r="BR892" s="1">
        <v>1E-3</v>
      </c>
      <c r="BS892" s="1">
        <v>2E-3</v>
      </c>
      <c r="BT892" s="1">
        <v>1E-3</v>
      </c>
      <c r="BU892" s="1">
        <v>1E-3</v>
      </c>
      <c r="BV892" s="1">
        <v>1E-3</v>
      </c>
      <c r="BW892" s="1">
        <v>2E-3</v>
      </c>
      <c r="BX892" s="1">
        <v>8.9999999999999993E-3</v>
      </c>
      <c r="BY892" s="1">
        <v>5.0000000000000001E-3</v>
      </c>
      <c r="BZ892" s="1">
        <v>4.0000000000000001E-3</v>
      </c>
      <c r="CA892" s="1">
        <v>2E-3</v>
      </c>
      <c r="CB892" s="1">
        <v>1E-3</v>
      </c>
      <c r="CC892" s="1">
        <v>3.0000000000000001E-3</v>
      </c>
      <c r="CD892" s="1">
        <v>0</v>
      </c>
      <c r="CE892" s="1">
        <v>1E-3</v>
      </c>
      <c r="CF892" s="1">
        <v>2E-3</v>
      </c>
      <c r="CG892" s="1">
        <v>2E-3</v>
      </c>
      <c r="CH892" s="1">
        <v>3.0000000000000001E-3</v>
      </c>
      <c r="CI892" s="1">
        <v>3.0000000000000001E-3</v>
      </c>
      <c r="CJ892" s="1">
        <v>5.0000000000000001E-3</v>
      </c>
      <c r="CK892" s="1">
        <v>0.83099999999999996</v>
      </c>
      <c r="CL892" s="1">
        <v>6.0000000000000001E-3</v>
      </c>
      <c r="CM892" s="1">
        <v>54.391178089999997</v>
      </c>
      <c r="CN892" s="83">
        <v>-60.902141</v>
      </c>
    </row>
    <row r="893" spans="1:92" s="3" customFormat="1" x14ac:dyDescent="0.25">
      <c r="A893" s="72">
        <v>934</v>
      </c>
      <c r="B893" s="81" t="s">
        <v>1578</v>
      </c>
      <c r="C893" s="1" t="s">
        <v>83</v>
      </c>
      <c r="D893" s="1" t="s">
        <v>73</v>
      </c>
      <c r="E893" s="1" t="s">
        <v>74</v>
      </c>
      <c r="F893" s="1" t="s">
        <v>211</v>
      </c>
      <c r="G893" s="1" t="s">
        <v>76</v>
      </c>
      <c r="H893" s="1" t="s">
        <v>212</v>
      </c>
      <c r="I893" s="1"/>
      <c r="J893" s="9" t="s">
        <v>544</v>
      </c>
      <c r="K893" s="10">
        <v>0.30731999999999998</v>
      </c>
      <c r="L893" s="1" t="s">
        <v>641</v>
      </c>
      <c r="M893" s="1" t="s">
        <v>76</v>
      </c>
      <c r="N893" s="1" t="s">
        <v>644</v>
      </c>
      <c r="O893" s="1" t="s">
        <v>5</v>
      </c>
      <c r="P893" s="82">
        <v>0.78600000000000003</v>
      </c>
      <c r="Q893" s="1" t="s">
        <v>76</v>
      </c>
      <c r="R893" s="81" t="s">
        <v>169</v>
      </c>
      <c r="S893" s="1">
        <v>3</v>
      </c>
      <c r="T893" s="1" t="s">
        <v>120</v>
      </c>
      <c r="U893" s="1" t="s">
        <v>658</v>
      </c>
      <c r="V893" s="1" t="s">
        <v>655</v>
      </c>
      <c r="W893" s="1">
        <v>79</v>
      </c>
      <c r="X893" s="1" t="s">
        <v>76</v>
      </c>
      <c r="Y893" s="1" t="s">
        <v>644</v>
      </c>
      <c r="Z893" s="1">
        <v>0.78600000000000003</v>
      </c>
      <c r="AA893" s="1">
        <v>1E-3</v>
      </c>
      <c r="AB893" s="1">
        <v>1E-3</v>
      </c>
      <c r="AC893" s="1">
        <v>3.1E-2</v>
      </c>
      <c r="AD893" s="1">
        <v>1E-3</v>
      </c>
      <c r="AE893" s="1">
        <v>1E-3</v>
      </c>
      <c r="AF893" s="1">
        <v>1E-3</v>
      </c>
      <c r="AG893" s="1">
        <v>0</v>
      </c>
      <c r="AH893" s="1">
        <v>4.8000000000000001E-2</v>
      </c>
      <c r="AI893" s="1">
        <v>8.0000000000000002E-3</v>
      </c>
      <c r="AJ893" s="1">
        <v>0</v>
      </c>
      <c r="AK893" s="1">
        <v>0</v>
      </c>
      <c r="AL893" s="1">
        <v>0</v>
      </c>
      <c r="AM893" s="1">
        <v>0</v>
      </c>
      <c r="AN893" s="1">
        <v>8.0000000000000002E-3</v>
      </c>
      <c r="AO893" s="1">
        <v>1E-3</v>
      </c>
      <c r="AP893" s="1">
        <v>1E-3</v>
      </c>
      <c r="AQ893" s="1">
        <v>0</v>
      </c>
      <c r="AR893" s="1">
        <v>0</v>
      </c>
      <c r="AS893" s="1">
        <v>1E-3</v>
      </c>
      <c r="AT893" s="1">
        <v>1E-3</v>
      </c>
      <c r="AU893" s="1">
        <v>1E-3</v>
      </c>
      <c r="AV893" s="1">
        <v>1E-3</v>
      </c>
      <c r="AW893" s="1">
        <v>1E-3</v>
      </c>
      <c r="AX893" s="1">
        <v>3.0000000000000001E-3</v>
      </c>
      <c r="AY893" s="1">
        <v>2E-3</v>
      </c>
      <c r="AZ893" s="1">
        <v>1E-3</v>
      </c>
      <c r="BA893" s="1">
        <v>3.0000000000000001E-3</v>
      </c>
      <c r="BB893" s="1">
        <v>0</v>
      </c>
      <c r="BC893" s="1">
        <v>0</v>
      </c>
      <c r="BD893" s="1">
        <v>4.0000000000000001E-3</v>
      </c>
      <c r="BE893" s="1">
        <v>0</v>
      </c>
      <c r="BF893" s="1">
        <v>1.9E-2</v>
      </c>
      <c r="BG893" s="1">
        <v>0</v>
      </c>
      <c r="BH893" s="1">
        <v>8.0000000000000002E-3</v>
      </c>
      <c r="BI893" s="1">
        <v>0</v>
      </c>
      <c r="BJ893" s="1">
        <v>0</v>
      </c>
      <c r="BK893" s="1">
        <v>0</v>
      </c>
      <c r="BL893" s="1">
        <v>1E-3</v>
      </c>
      <c r="BM893" s="1">
        <v>1E-3</v>
      </c>
      <c r="BN893" s="1">
        <v>1E-3</v>
      </c>
      <c r="BO893" s="1">
        <v>0</v>
      </c>
      <c r="BP893" s="1">
        <v>0</v>
      </c>
      <c r="BQ893" s="1">
        <v>1E-3</v>
      </c>
      <c r="BR893" s="1">
        <v>2E-3</v>
      </c>
      <c r="BS893" s="1">
        <v>1E-3</v>
      </c>
      <c r="BT893" s="1">
        <v>0</v>
      </c>
      <c r="BU893" s="1">
        <v>1E-3</v>
      </c>
      <c r="BV893" s="1">
        <v>0</v>
      </c>
      <c r="BW893" s="1">
        <v>1E-3</v>
      </c>
      <c r="BX893" s="1">
        <v>4.0000000000000001E-3</v>
      </c>
      <c r="BY893" s="1">
        <v>2E-3</v>
      </c>
      <c r="BZ893" s="1">
        <v>1E-3</v>
      </c>
      <c r="CA893" s="1">
        <v>1E-3</v>
      </c>
      <c r="CB893" s="1">
        <v>0</v>
      </c>
      <c r="CC893" s="1">
        <v>1E-3</v>
      </c>
      <c r="CD893" s="1">
        <v>0</v>
      </c>
      <c r="CE893" s="1">
        <v>1E-3</v>
      </c>
      <c r="CF893" s="1">
        <v>1E-3</v>
      </c>
      <c r="CG893" s="1">
        <v>3.0000000000000001E-3</v>
      </c>
      <c r="CH893" s="1">
        <v>1E-3</v>
      </c>
      <c r="CI893" s="1">
        <v>1E-3</v>
      </c>
      <c r="CJ893" s="1">
        <v>2E-3</v>
      </c>
      <c r="CK893" s="1">
        <v>0.04</v>
      </c>
      <c r="CL893" s="1">
        <v>1E-3</v>
      </c>
      <c r="CM893" s="1">
        <v>-3.5801973999999999</v>
      </c>
      <c r="CN893" s="83">
        <v>-52.795241390000001</v>
      </c>
    </row>
    <row r="894" spans="1:92" s="3" customFormat="1" x14ac:dyDescent="0.25">
      <c r="A894" s="72">
        <v>935</v>
      </c>
      <c r="B894" s="81" t="s">
        <v>1580</v>
      </c>
      <c r="C894" s="1" t="s">
        <v>83</v>
      </c>
      <c r="D894" s="1" t="s">
        <v>73</v>
      </c>
      <c r="E894" s="1" t="s">
        <v>74</v>
      </c>
      <c r="F894" s="1" t="s">
        <v>211</v>
      </c>
      <c r="G894" s="1" t="s">
        <v>76</v>
      </c>
      <c r="H894" s="1" t="s">
        <v>212</v>
      </c>
      <c r="I894" s="1"/>
      <c r="J894" s="9" t="s">
        <v>544</v>
      </c>
      <c r="K894" s="10">
        <v>0.441956666666666</v>
      </c>
      <c r="L894" s="1" t="s">
        <v>641</v>
      </c>
      <c r="M894" s="1" t="s">
        <v>76</v>
      </c>
      <c r="N894" s="1" t="s">
        <v>644</v>
      </c>
      <c r="O894" s="1" t="s">
        <v>69</v>
      </c>
      <c r="P894" s="82">
        <v>0.77500000000000002</v>
      </c>
      <c r="Q894" s="1" t="s">
        <v>76</v>
      </c>
      <c r="R894" s="81" t="s">
        <v>191</v>
      </c>
      <c r="S894" s="1">
        <v>2</v>
      </c>
      <c r="T894" s="1" t="s">
        <v>120</v>
      </c>
      <c r="U894" s="1" t="s">
        <v>658</v>
      </c>
      <c r="V894" s="1" t="s">
        <v>654</v>
      </c>
      <c r="W894" s="1">
        <v>37</v>
      </c>
      <c r="X894" s="1" t="s">
        <v>76</v>
      </c>
      <c r="Y894" s="1" t="s">
        <v>644</v>
      </c>
      <c r="Z894" s="1">
        <v>3.0000000000000001E-3</v>
      </c>
      <c r="AA894" s="1">
        <v>1E-3</v>
      </c>
      <c r="AB894" s="1">
        <v>1E-3</v>
      </c>
      <c r="AC894" s="1">
        <v>1E-3</v>
      </c>
      <c r="AD894" s="1">
        <v>1E-3</v>
      </c>
      <c r="AE894" s="1">
        <v>1E-3</v>
      </c>
      <c r="AF894" s="1">
        <v>2E-3</v>
      </c>
      <c r="AG894" s="1">
        <v>0</v>
      </c>
      <c r="AH894" s="1">
        <v>2E-3</v>
      </c>
      <c r="AI894" s="1">
        <v>0</v>
      </c>
      <c r="AJ894" s="1">
        <v>1E-3</v>
      </c>
      <c r="AK894" s="1">
        <v>1E-3</v>
      </c>
      <c r="AL894" s="1">
        <v>0</v>
      </c>
      <c r="AM894" s="1">
        <v>0</v>
      </c>
      <c r="AN894" s="1">
        <v>1E-3</v>
      </c>
      <c r="AO894" s="1">
        <v>1E-3</v>
      </c>
      <c r="AP894" s="1">
        <v>0</v>
      </c>
      <c r="AQ894" s="1">
        <v>0</v>
      </c>
      <c r="AR894" s="1">
        <v>2E-3</v>
      </c>
      <c r="AS894" s="1">
        <v>2E-3</v>
      </c>
      <c r="AT894" s="1">
        <v>1E-3</v>
      </c>
      <c r="AU894" s="1">
        <v>2E-3</v>
      </c>
      <c r="AV894" s="1">
        <v>1E-3</v>
      </c>
      <c r="AW894" s="1">
        <v>1E-3</v>
      </c>
      <c r="AX894" s="1">
        <v>4.0000000000000001E-3</v>
      </c>
      <c r="AY894" s="1">
        <v>2E-3</v>
      </c>
      <c r="AZ894" s="1">
        <v>4.0000000000000001E-3</v>
      </c>
      <c r="BA894" s="1">
        <v>4.0000000000000001E-3</v>
      </c>
      <c r="BB894" s="1">
        <v>1E-3</v>
      </c>
      <c r="BC894" s="1">
        <v>0</v>
      </c>
      <c r="BD894" s="1">
        <v>5.0000000000000001E-3</v>
      </c>
      <c r="BE894" s="1">
        <v>1E-3</v>
      </c>
      <c r="BF894" s="1">
        <v>1E-3</v>
      </c>
      <c r="BG894" s="1">
        <v>0</v>
      </c>
      <c r="BH894" s="1">
        <v>0</v>
      </c>
      <c r="BI894" s="1">
        <v>1E-3</v>
      </c>
      <c r="BJ894" s="1">
        <v>2E-3</v>
      </c>
      <c r="BK894" s="1">
        <v>0</v>
      </c>
      <c r="BL894" s="1">
        <v>1E-3</v>
      </c>
      <c r="BM894" s="1">
        <v>1E-3</v>
      </c>
      <c r="BN894" s="1">
        <v>1E-3</v>
      </c>
      <c r="BO894" s="1">
        <v>1E-3</v>
      </c>
      <c r="BP894" s="1">
        <v>2E-3</v>
      </c>
      <c r="BQ894" s="1">
        <v>1E-3</v>
      </c>
      <c r="BR894" s="1">
        <v>1E-3</v>
      </c>
      <c r="BS894" s="1">
        <v>2E-3</v>
      </c>
      <c r="BT894" s="1">
        <v>1E-3</v>
      </c>
      <c r="BU894" s="1">
        <v>1.4E-2</v>
      </c>
      <c r="BV894" s="1">
        <v>1E-3</v>
      </c>
      <c r="BW894" s="1">
        <v>1E-3</v>
      </c>
      <c r="BX894" s="1">
        <v>2E-3</v>
      </c>
      <c r="BY894" s="1">
        <v>2E-3</v>
      </c>
      <c r="BZ894" s="1">
        <v>4.0000000000000001E-3</v>
      </c>
      <c r="CA894" s="1">
        <v>1E-3</v>
      </c>
      <c r="CB894" s="1">
        <v>1E-3</v>
      </c>
      <c r="CC894" s="1">
        <v>1E-3</v>
      </c>
      <c r="CD894" s="1">
        <v>0</v>
      </c>
      <c r="CE894" s="1">
        <v>1E-3</v>
      </c>
      <c r="CF894" s="1">
        <v>1E-3</v>
      </c>
      <c r="CG894" s="1">
        <v>1E-3</v>
      </c>
      <c r="CH894" s="1">
        <v>1E-3</v>
      </c>
      <c r="CI894" s="1">
        <v>1E-3</v>
      </c>
      <c r="CJ894" s="1">
        <v>1E-3</v>
      </c>
      <c r="CK894" s="1">
        <v>0.13200000000000001</v>
      </c>
      <c r="CL894" s="1">
        <v>0.77500000000000002</v>
      </c>
      <c r="CM894" s="1">
        <v>11.041362919999999</v>
      </c>
      <c r="CN894" s="83">
        <v>-75.32962843</v>
      </c>
    </row>
    <row r="895" spans="1:92" s="3" customFormat="1" x14ac:dyDescent="0.25">
      <c r="A895" s="72">
        <v>936</v>
      </c>
      <c r="B895" s="81" t="s">
        <v>1585</v>
      </c>
      <c r="C895" s="1" t="s">
        <v>83</v>
      </c>
      <c r="D895" s="1" t="s">
        <v>73</v>
      </c>
      <c r="E895" s="1" t="s">
        <v>74</v>
      </c>
      <c r="F895" s="1" t="s">
        <v>211</v>
      </c>
      <c r="G895" s="1" t="s">
        <v>76</v>
      </c>
      <c r="H895" s="1" t="s">
        <v>212</v>
      </c>
      <c r="I895" s="1"/>
      <c r="J895" s="9" t="s">
        <v>544</v>
      </c>
      <c r="K895" s="10">
        <v>0.35381916666666702</v>
      </c>
      <c r="L895" s="1" t="s">
        <v>76</v>
      </c>
      <c r="M895" s="1" t="s">
        <v>506</v>
      </c>
      <c r="N895" s="1" t="s">
        <v>645</v>
      </c>
      <c r="O895" s="1" t="s">
        <v>68</v>
      </c>
      <c r="P895" s="82">
        <v>0.999</v>
      </c>
      <c r="Q895" s="1" t="s">
        <v>76</v>
      </c>
      <c r="R895" s="81" t="s">
        <v>129</v>
      </c>
      <c r="S895" s="1">
        <v>3</v>
      </c>
      <c r="T895" s="1" t="s">
        <v>120</v>
      </c>
      <c r="U895" s="1" t="s">
        <v>658</v>
      </c>
      <c r="V895" s="1" t="s">
        <v>655</v>
      </c>
      <c r="W895" s="1">
        <v>55</v>
      </c>
      <c r="X895" s="1" t="s">
        <v>76</v>
      </c>
      <c r="Y895" s="1" t="s">
        <v>645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0.999</v>
      </c>
      <c r="CL895" s="1">
        <v>0</v>
      </c>
      <c r="CM895" s="1">
        <v>30.001161580000002</v>
      </c>
      <c r="CN895" s="83">
        <v>-54.936563919999998</v>
      </c>
    </row>
    <row r="896" spans="1:92" s="3" customFormat="1" x14ac:dyDescent="0.25">
      <c r="A896" s="72">
        <v>937</v>
      </c>
      <c r="B896" s="81" t="s">
        <v>1574</v>
      </c>
      <c r="C896" s="1" t="s">
        <v>83</v>
      </c>
      <c r="D896" s="1" t="s">
        <v>73</v>
      </c>
      <c r="E896" s="1" t="s">
        <v>99</v>
      </c>
      <c r="F896" s="1" t="s">
        <v>211</v>
      </c>
      <c r="G896" s="1" t="s">
        <v>76</v>
      </c>
      <c r="H896" s="1" t="s">
        <v>212</v>
      </c>
      <c r="I896" s="1"/>
      <c r="J896" s="9" t="s">
        <v>544</v>
      </c>
      <c r="K896" s="10">
        <v>0.34990783333333397</v>
      </c>
      <c r="L896" s="1" t="s">
        <v>76</v>
      </c>
      <c r="M896" s="1" t="s">
        <v>506</v>
      </c>
      <c r="N896" s="1" t="s">
        <v>645</v>
      </c>
      <c r="O896" s="1" t="s">
        <v>68</v>
      </c>
      <c r="P896" s="82">
        <v>0.995</v>
      </c>
      <c r="Q896" s="1" t="s">
        <v>76</v>
      </c>
      <c r="R896" s="81" t="s">
        <v>169</v>
      </c>
      <c r="S896" s="1">
        <v>3</v>
      </c>
      <c r="T896" s="1" t="s">
        <v>120</v>
      </c>
      <c r="U896" s="1" t="s">
        <v>658</v>
      </c>
      <c r="V896" s="1" t="s">
        <v>655</v>
      </c>
      <c r="W896" s="1">
        <v>80</v>
      </c>
      <c r="X896" s="1" t="s">
        <v>76</v>
      </c>
      <c r="Y896" s="1" t="s">
        <v>645</v>
      </c>
      <c r="Z896" s="1">
        <v>4.0000000000000001E-3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0.995</v>
      </c>
      <c r="CL896" s="1">
        <v>0</v>
      </c>
      <c r="CM896" s="1">
        <v>3.5022852109999998</v>
      </c>
      <c r="CN896" s="83">
        <v>-32.469164130000003</v>
      </c>
    </row>
    <row r="897" spans="1:92" s="3" customFormat="1" x14ac:dyDescent="0.25">
      <c r="A897" s="72">
        <v>938</v>
      </c>
      <c r="B897" s="81" t="s">
        <v>1576</v>
      </c>
      <c r="C897" s="1" t="s">
        <v>83</v>
      </c>
      <c r="D897" s="1" t="s">
        <v>73</v>
      </c>
      <c r="E897" s="1" t="s">
        <v>74</v>
      </c>
      <c r="F897" s="1" t="s">
        <v>211</v>
      </c>
      <c r="G897" s="1" t="s">
        <v>76</v>
      </c>
      <c r="H897" s="1" t="s">
        <v>212</v>
      </c>
      <c r="I897" s="1"/>
      <c r="J897" s="9" t="s">
        <v>544</v>
      </c>
      <c r="K897" s="10">
        <v>0.32989400000000002</v>
      </c>
      <c r="L897" s="1" t="s">
        <v>76</v>
      </c>
      <c r="M897" s="1" t="s">
        <v>506</v>
      </c>
      <c r="N897" s="1" t="s">
        <v>645</v>
      </c>
      <c r="O897" s="1" t="s">
        <v>68</v>
      </c>
      <c r="P897" s="82">
        <v>1</v>
      </c>
      <c r="Q897" s="1" t="s">
        <v>76</v>
      </c>
      <c r="R897" s="81" t="s">
        <v>171</v>
      </c>
      <c r="S897" s="1">
        <v>3</v>
      </c>
      <c r="T897" s="1" t="s">
        <v>120</v>
      </c>
      <c r="U897" s="1" t="s">
        <v>658</v>
      </c>
      <c r="V897" s="1" t="s">
        <v>655</v>
      </c>
      <c r="W897" s="1">
        <v>81</v>
      </c>
      <c r="X897" s="1" t="s">
        <v>457</v>
      </c>
      <c r="Y897" s="1" t="s">
        <v>645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1</v>
      </c>
      <c r="CL897" s="1">
        <v>0</v>
      </c>
      <c r="CM897" s="1">
        <v>-40.793319169999997</v>
      </c>
      <c r="CN897" s="83">
        <v>-25.289509899999999</v>
      </c>
    </row>
    <row r="898" spans="1:92" s="3" customFormat="1" x14ac:dyDescent="0.25">
      <c r="A898" s="72">
        <v>939</v>
      </c>
      <c r="B898" s="81" t="s">
        <v>1575</v>
      </c>
      <c r="C898" s="1" t="s">
        <v>83</v>
      </c>
      <c r="D898" s="1" t="s">
        <v>73</v>
      </c>
      <c r="E898" s="1" t="s">
        <v>99</v>
      </c>
      <c r="F898" s="1" t="s">
        <v>211</v>
      </c>
      <c r="G898" s="1" t="s">
        <v>76</v>
      </c>
      <c r="H898" s="1" t="s">
        <v>212</v>
      </c>
      <c r="I898" s="1"/>
      <c r="J898" s="9" t="s">
        <v>544</v>
      </c>
      <c r="K898" s="10">
        <v>0.33664183333333397</v>
      </c>
      <c r="L898" s="1" t="s">
        <v>641</v>
      </c>
      <c r="M898" s="1" t="s">
        <v>76</v>
      </c>
      <c r="N898" s="1" t="s">
        <v>649</v>
      </c>
      <c r="O898" s="1" t="s">
        <v>68</v>
      </c>
      <c r="P898" s="82">
        <v>0.68700000000000006</v>
      </c>
      <c r="Q898" s="1" t="s">
        <v>76</v>
      </c>
      <c r="R898" s="81" t="s">
        <v>129</v>
      </c>
      <c r="S898" s="1">
        <v>3</v>
      </c>
      <c r="T898" s="1" t="s">
        <v>120</v>
      </c>
      <c r="U898" s="1" t="s">
        <v>659</v>
      </c>
      <c r="V898" s="1" t="s">
        <v>655</v>
      </c>
      <c r="W898" s="1">
        <v>76</v>
      </c>
      <c r="X898" s="1" t="s">
        <v>76</v>
      </c>
      <c r="Y898" s="1" t="s">
        <v>649</v>
      </c>
      <c r="Z898" s="1">
        <v>9.1999999999999998E-2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1E-3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1E-3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2E-3</v>
      </c>
      <c r="BG898" s="1">
        <v>0</v>
      </c>
      <c r="BH898" s="1">
        <v>0</v>
      </c>
      <c r="BI898" s="1">
        <v>0</v>
      </c>
      <c r="BJ898" s="1">
        <v>1E-3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1E-3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0.68700000000000006</v>
      </c>
      <c r="CL898" s="1">
        <v>0.20799999999999999</v>
      </c>
      <c r="CM898" s="1">
        <v>-5.4280622110000003</v>
      </c>
      <c r="CN898" s="83">
        <v>-65.458767399999999</v>
      </c>
    </row>
    <row r="899" spans="1:92" s="3" customFormat="1" x14ac:dyDescent="0.25">
      <c r="A899" s="72">
        <v>940</v>
      </c>
      <c r="B899" s="81" t="s">
        <v>1577</v>
      </c>
      <c r="C899" s="1" t="s">
        <v>83</v>
      </c>
      <c r="D899" s="1" t="s">
        <v>73</v>
      </c>
      <c r="E899" s="1" t="s">
        <v>99</v>
      </c>
      <c r="F899" s="1" t="s">
        <v>211</v>
      </c>
      <c r="G899" s="1" t="s">
        <v>76</v>
      </c>
      <c r="H899" s="1" t="s">
        <v>212</v>
      </c>
      <c r="I899" s="1"/>
      <c r="J899" s="9" t="s">
        <v>544</v>
      </c>
      <c r="K899" s="10">
        <v>0.52998533333333198</v>
      </c>
      <c r="L899" s="1" t="s">
        <v>641</v>
      </c>
      <c r="M899" s="1" t="s">
        <v>76</v>
      </c>
      <c r="N899" s="1" t="s">
        <v>649</v>
      </c>
      <c r="O899" s="1" t="s">
        <v>68</v>
      </c>
      <c r="P899" s="82">
        <v>0.81299999999999994</v>
      </c>
      <c r="Q899" s="1" t="s">
        <v>76</v>
      </c>
      <c r="R899" s="81" t="s">
        <v>157</v>
      </c>
      <c r="S899" s="1">
        <v>2</v>
      </c>
      <c r="T899" s="1" t="s">
        <v>120</v>
      </c>
      <c r="U899" s="1" t="s">
        <v>659</v>
      </c>
      <c r="V899" s="1" t="s">
        <v>655</v>
      </c>
      <c r="W899" s="1">
        <v>52</v>
      </c>
      <c r="X899" s="1" t="s">
        <v>458</v>
      </c>
      <c r="Y899" s="1" t="s">
        <v>649</v>
      </c>
      <c r="Z899" s="1">
        <v>2E-3</v>
      </c>
      <c r="AA899" s="1">
        <v>2E-3</v>
      </c>
      <c r="AB899" s="1">
        <v>2E-3</v>
      </c>
      <c r="AC899" s="1">
        <v>1.0999999999999999E-2</v>
      </c>
      <c r="AD899" s="1">
        <v>2E-3</v>
      </c>
      <c r="AE899" s="1">
        <v>1E-3</v>
      </c>
      <c r="AF899" s="1">
        <v>3.0000000000000001E-3</v>
      </c>
      <c r="AG899" s="1">
        <v>0</v>
      </c>
      <c r="AH899" s="1">
        <v>5.0000000000000001E-3</v>
      </c>
      <c r="AI899" s="1">
        <v>1E-3</v>
      </c>
      <c r="AJ899" s="1">
        <v>1E-3</v>
      </c>
      <c r="AK899" s="1">
        <v>2E-3</v>
      </c>
      <c r="AL899" s="1">
        <v>0</v>
      </c>
      <c r="AM899" s="1">
        <v>1E-3</v>
      </c>
      <c r="AN899" s="1">
        <v>1E-3</v>
      </c>
      <c r="AO899" s="1">
        <v>2E-3</v>
      </c>
      <c r="AP899" s="1">
        <v>1E-3</v>
      </c>
      <c r="AQ899" s="1">
        <v>1E-3</v>
      </c>
      <c r="AR899" s="1">
        <v>2E-3</v>
      </c>
      <c r="AS899" s="1">
        <v>5.0000000000000001E-3</v>
      </c>
      <c r="AT899" s="1">
        <v>4.0000000000000001E-3</v>
      </c>
      <c r="AU899" s="1">
        <v>2E-3</v>
      </c>
      <c r="AV899" s="1">
        <v>1E-3</v>
      </c>
      <c r="AW899" s="1">
        <v>2E-3</v>
      </c>
      <c r="AX899" s="1">
        <v>5.0000000000000001E-3</v>
      </c>
      <c r="AY899" s="1">
        <v>3.0000000000000001E-3</v>
      </c>
      <c r="AZ899" s="1">
        <v>4.0000000000000001E-3</v>
      </c>
      <c r="BA899" s="1">
        <v>8.0000000000000002E-3</v>
      </c>
      <c r="BB899" s="1">
        <v>1E-3</v>
      </c>
      <c r="BC899" s="1">
        <v>1E-3</v>
      </c>
      <c r="BD899" s="1">
        <v>7.0000000000000001E-3</v>
      </c>
      <c r="BE899" s="1">
        <v>2E-3</v>
      </c>
      <c r="BF899" s="1">
        <v>1E-3</v>
      </c>
      <c r="BG899" s="1">
        <v>1E-3</v>
      </c>
      <c r="BH899" s="1">
        <v>1E-3</v>
      </c>
      <c r="BI899" s="1">
        <v>1E-3</v>
      </c>
      <c r="BJ899" s="1">
        <v>1E-3</v>
      </c>
      <c r="BK899" s="1">
        <v>1E-3</v>
      </c>
      <c r="BL899" s="1">
        <v>8.9999999999999993E-3</v>
      </c>
      <c r="BM899" s="1">
        <v>1E-3</v>
      </c>
      <c r="BN899" s="1">
        <v>4.0000000000000001E-3</v>
      </c>
      <c r="BO899" s="1">
        <v>1E-3</v>
      </c>
      <c r="BP899" s="1">
        <v>1E-3</v>
      </c>
      <c r="BQ899" s="1">
        <v>4.0000000000000001E-3</v>
      </c>
      <c r="BR899" s="1">
        <v>2E-3</v>
      </c>
      <c r="BS899" s="1">
        <v>2E-3</v>
      </c>
      <c r="BT899" s="1">
        <v>1E-3</v>
      </c>
      <c r="BU899" s="1">
        <v>2E-3</v>
      </c>
      <c r="BV899" s="1">
        <v>1E-3</v>
      </c>
      <c r="BW899" s="1">
        <v>2E-3</v>
      </c>
      <c r="BX899" s="1">
        <v>1.0999999999999999E-2</v>
      </c>
      <c r="BY899" s="1">
        <v>7.0000000000000001E-3</v>
      </c>
      <c r="BZ899" s="1">
        <v>5.0000000000000001E-3</v>
      </c>
      <c r="CA899" s="1">
        <v>2E-3</v>
      </c>
      <c r="CB899" s="1">
        <v>2E-3</v>
      </c>
      <c r="CC899" s="1">
        <v>4.0000000000000001E-3</v>
      </c>
      <c r="CD899" s="1">
        <v>0</v>
      </c>
      <c r="CE899" s="1">
        <v>1E-3</v>
      </c>
      <c r="CF899" s="1">
        <v>2E-3</v>
      </c>
      <c r="CG899" s="1">
        <v>3.0000000000000001E-3</v>
      </c>
      <c r="CH899" s="1">
        <v>3.0000000000000001E-3</v>
      </c>
      <c r="CI899" s="1">
        <v>2E-3</v>
      </c>
      <c r="CJ899" s="1">
        <v>8.0000000000000002E-3</v>
      </c>
      <c r="CK899" s="1">
        <v>0.81299999999999994</v>
      </c>
      <c r="CL899" s="1">
        <v>1.4E-2</v>
      </c>
      <c r="CM899" s="1">
        <v>40.63615927</v>
      </c>
      <c r="CN899" s="83">
        <v>-53.35637543</v>
      </c>
    </row>
    <row r="900" spans="1:92" s="3" customFormat="1" x14ac:dyDescent="0.25">
      <c r="A900" s="72">
        <v>941</v>
      </c>
      <c r="B900" s="81" t="s">
        <v>1460</v>
      </c>
      <c r="C900" s="1" t="s">
        <v>83</v>
      </c>
      <c r="D900" s="1" t="s">
        <v>73</v>
      </c>
      <c r="E900" s="1" t="s">
        <v>99</v>
      </c>
      <c r="F900" s="1" t="s">
        <v>211</v>
      </c>
      <c r="G900" s="1" t="s">
        <v>76</v>
      </c>
      <c r="H900" s="1" t="s">
        <v>212</v>
      </c>
      <c r="I900" s="1"/>
      <c r="J900" s="9" t="s">
        <v>544</v>
      </c>
      <c r="K900" s="10">
        <v>0.27720583333333298</v>
      </c>
      <c r="L900" s="1" t="s">
        <v>641</v>
      </c>
      <c r="M900" s="1" t="s">
        <v>76</v>
      </c>
      <c r="N900" s="1" t="s">
        <v>644</v>
      </c>
      <c r="O900" s="1" t="s">
        <v>5</v>
      </c>
      <c r="P900" s="82">
        <v>0.82099999999999995</v>
      </c>
      <c r="Q900" s="1" t="s">
        <v>76</v>
      </c>
      <c r="R900" s="81" t="s">
        <v>171</v>
      </c>
      <c r="S900" s="1">
        <v>3</v>
      </c>
      <c r="T900" s="1" t="s">
        <v>120</v>
      </c>
      <c r="U900" s="1" t="s">
        <v>658</v>
      </c>
      <c r="V900" s="1" t="s">
        <v>655</v>
      </c>
      <c r="W900" s="1">
        <v>77</v>
      </c>
      <c r="X900" s="1" t="s">
        <v>459</v>
      </c>
      <c r="Y900" s="1" t="s">
        <v>644</v>
      </c>
      <c r="Z900" s="1">
        <v>0.82099999999999995</v>
      </c>
      <c r="AA900" s="1">
        <v>0</v>
      </c>
      <c r="AB900" s="1">
        <v>0</v>
      </c>
      <c r="AC900" s="1">
        <v>1.7999999999999999E-2</v>
      </c>
      <c r="AD900" s="1">
        <v>0</v>
      </c>
      <c r="AE900" s="1">
        <v>0</v>
      </c>
      <c r="AF900" s="1">
        <v>0</v>
      </c>
      <c r="AG900" s="1">
        <v>0</v>
      </c>
      <c r="AH900" s="1">
        <v>2.4E-2</v>
      </c>
      <c r="AI900" s="1">
        <v>5.0000000000000001E-3</v>
      </c>
      <c r="AJ900" s="1">
        <v>0</v>
      </c>
      <c r="AK900" s="1">
        <v>0</v>
      </c>
      <c r="AL900" s="1">
        <v>0</v>
      </c>
      <c r="AM900" s="1">
        <v>0</v>
      </c>
      <c r="AN900" s="1">
        <v>1.2999999999999999E-2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1E-3</v>
      </c>
      <c r="AW900" s="1">
        <v>0</v>
      </c>
      <c r="AX900" s="1">
        <v>1E-3</v>
      </c>
      <c r="AY900" s="1">
        <v>1E-3</v>
      </c>
      <c r="AZ900" s="1">
        <v>0</v>
      </c>
      <c r="BA900" s="1">
        <v>1E-3</v>
      </c>
      <c r="BB900" s="1">
        <v>0</v>
      </c>
      <c r="BC900" s="1">
        <v>0</v>
      </c>
      <c r="BD900" s="1">
        <v>2E-3</v>
      </c>
      <c r="BE900" s="1">
        <v>0</v>
      </c>
      <c r="BF900" s="1">
        <v>8.6999999999999994E-2</v>
      </c>
      <c r="BG900" s="1">
        <v>0</v>
      </c>
      <c r="BH900" s="1">
        <v>2E-3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1E-3</v>
      </c>
      <c r="BS900" s="1">
        <v>0</v>
      </c>
      <c r="BT900" s="1">
        <v>0</v>
      </c>
      <c r="BU900" s="1">
        <v>1E-3</v>
      </c>
      <c r="BV900" s="1">
        <v>0</v>
      </c>
      <c r="BW900" s="1">
        <v>0</v>
      </c>
      <c r="BX900" s="1">
        <v>2E-3</v>
      </c>
      <c r="BY900" s="1">
        <v>1E-3</v>
      </c>
      <c r="BZ900" s="1">
        <v>0</v>
      </c>
      <c r="CA900" s="1">
        <v>1E-3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2E-3</v>
      </c>
      <c r="CH900" s="1">
        <v>0</v>
      </c>
      <c r="CI900" s="1">
        <v>0</v>
      </c>
      <c r="CJ900" s="1">
        <v>1E-3</v>
      </c>
      <c r="CK900" s="1">
        <v>7.0000000000000001E-3</v>
      </c>
      <c r="CL900" s="1">
        <v>1E-3</v>
      </c>
      <c r="CM900" s="1">
        <v>-8.801055259</v>
      </c>
      <c r="CN900" s="83">
        <v>-57.58919624</v>
      </c>
    </row>
    <row r="901" spans="1:92" s="3" customFormat="1" x14ac:dyDescent="0.25">
      <c r="A901" s="72">
        <v>942</v>
      </c>
      <c r="B901" s="81" t="s">
        <v>1569</v>
      </c>
      <c r="C901" s="1" t="s">
        <v>83</v>
      </c>
      <c r="D901" s="1" t="s">
        <v>73</v>
      </c>
      <c r="E901" s="1" t="s">
        <v>99</v>
      </c>
      <c r="F901" s="1" t="s">
        <v>211</v>
      </c>
      <c r="G901" s="1" t="s">
        <v>76</v>
      </c>
      <c r="H901" s="1" t="s">
        <v>212</v>
      </c>
      <c r="I901" s="1"/>
      <c r="J901" s="9" t="s">
        <v>544</v>
      </c>
      <c r="K901" s="10">
        <v>0.41110683333333398</v>
      </c>
      <c r="L901" s="1" t="s">
        <v>76</v>
      </c>
      <c r="M901" s="1" t="s">
        <v>506</v>
      </c>
      <c r="N901" s="1" t="s">
        <v>645</v>
      </c>
      <c r="O901" s="1" t="s">
        <v>68</v>
      </c>
      <c r="P901" s="82">
        <v>1</v>
      </c>
      <c r="Q901" s="1" t="s">
        <v>76</v>
      </c>
      <c r="R901" s="81" t="s">
        <v>169</v>
      </c>
      <c r="S901" s="1">
        <v>3</v>
      </c>
      <c r="T901" s="1" t="s">
        <v>120</v>
      </c>
      <c r="U901" s="1" t="s">
        <v>658</v>
      </c>
      <c r="V901" s="1" t="s">
        <v>655</v>
      </c>
      <c r="W901" s="1">
        <v>79</v>
      </c>
      <c r="X901" s="1" t="s">
        <v>460</v>
      </c>
      <c r="Y901" s="1" t="s">
        <v>645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1</v>
      </c>
      <c r="CL901" s="1">
        <v>0</v>
      </c>
      <c r="CM901" s="1">
        <v>45.512878520000001</v>
      </c>
      <c r="CN901" s="83">
        <v>-66.702369559999994</v>
      </c>
    </row>
    <row r="902" spans="1:92" s="3" customFormat="1" x14ac:dyDescent="0.25">
      <c r="A902" s="72">
        <v>943</v>
      </c>
      <c r="B902" s="81" t="s">
        <v>1573</v>
      </c>
      <c r="C902" s="1" t="s">
        <v>83</v>
      </c>
      <c r="D902" s="1" t="s">
        <v>73</v>
      </c>
      <c r="E902" s="1" t="s">
        <v>99</v>
      </c>
      <c r="F902" s="1" t="s">
        <v>211</v>
      </c>
      <c r="G902" s="1" t="s">
        <v>76</v>
      </c>
      <c r="H902" s="1" t="s">
        <v>212</v>
      </c>
      <c r="I902" s="1"/>
      <c r="J902" s="9" t="s">
        <v>544</v>
      </c>
      <c r="K902" s="10">
        <v>0.458061</v>
      </c>
      <c r="L902" s="1" t="s">
        <v>76</v>
      </c>
      <c r="M902" s="1" t="s">
        <v>506</v>
      </c>
      <c r="N902" s="1" t="s">
        <v>645</v>
      </c>
      <c r="O902" s="1" t="s">
        <v>68</v>
      </c>
      <c r="P902" s="82">
        <v>0.999</v>
      </c>
      <c r="Q902" s="1" t="s">
        <v>76</v>
      </c>
      <c r="R902" s="81" t="s">
        <v>285</v>
      </c>
      <c r="S902" s="1">
        <v>3</v>
      </c>
      <c r="T902" s="1" t="s">
        <v>120</v>
      </c>
      <c r="U902" s="1" t="s">
        <v>658</v>
      </c>
      <c r="V902" s="1" t="s">
        <v>655</v>
      </c>
      <c r="W902" s="1">
        <v>77</v>
      </c>
      <c r="X902" s="1" t="s">
        <v>76</v>
      </c>
      <c r="Y902" s="1" t="s">
        <v>645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0.999</v>
      </c>
      <c r="CL902" s="1">
        <v>1E-3</v>
      </c>
      <c r="CM902" s="1">
        <v>8.0040403510000004</v>
      </c>
      <c r="CN902" s="83">
        <v>-77.013013749999999</v>
      </c>
    </row>
    <row r="903" spans="1:92" s="3" customFormat="1" x14ac:dyDescent="0.25">
      <c r="A903" s="72">
        <v>944</v>
      </c>
      <c r="B903" s="81" t="s">
        <v>1572</v>
      </c>
      <c r="C903" s="1" t="s">
        <v>83</v>
      </c>
      <c r="D903" s="1" t="s">
        <v>73</v>
      </c>
      <c r="E903" s="1" t="s">
        <v>99</v>
      </c>
      <c r="F903" s="1" t="s">
        <v>211</v>
      </c>
      <c r="G903" s="1" t="s">
        <v>76</v>
      </c>
      <c r="H903" s="1" t="s">
        <v>212</v>
      </c>
      <c r="I903" s="1"/>
      <c r="J903" s="9" t="s">
        <v>544</v>
      </c>
      <c r="K903" s="10">
        <v>0.39622716666666702</v>
      </c>
      <c r="L903" s="1" t="s">
        <v>76</v>
      </c>
      <c r="M903" s="1" t="s">
        <v>506</v>
      </c>
      <c r="N903" s="1" t="s">
        <v>645</v>
      </c>
      <c r="O903" s="1" t="s">
        <v>68</v>
      </c>
      <c r="P903" s="82">
        <v>0.999</v>
      </c>
      <c r="Q903" s="1" t="s">
        <v>76</v>
      </c>
      <c r="R903" s="81" t="s">
        <v>461</v>
      </c>
      <c r="S903" s="1">
        <v>2</v>
      </c>
      <c r="T903" s="1" t="s">
        <v>120</v>
      </c>
      <c r="U903" s="1" t="s">
        <v>658</v>
      </c>
      <c r="V903" s="1" t="s">
        <v>655</v>
      </c>
      <c r="W903" s="1">
        <v>64</v>
      </c>
      <c r="X903" s="1" t="s">
        <v>462</v>
      </c>
      <c r="Y903" s="1" t="s">
        <v>645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0.999</v>
      </c>
      <c r="CL903" s="1">
        <v>0</v>
      </c>
      <c r="CM903" s="1">
        <v>33.335598060000002</v>
      </c>
      <c r="CN903" s="83">
        <v>-56.183737059999999</v>
      </c>
    </row>
    <row r="904" spans="1:92" s="3" customFormat="1" x14ac:dyDescent="0.25">
      <c r="A904" s="72">
        <v>945</v>
      </c>
      <c r="B904" s="81" t="s">
        <v>784</v>
      </c>
      <c r="C904" s="1" t="s">
        <v>83</v>
      </c>
      <c r="D904" s="1" t="s">
        <v>79</v>
      </c>
      <c r="E904" s="1" t="s">
        <v>99</v>
      </c>
      <c r="F904" s="1" t="s">
        <v>665</v>
      </c>
      <c r="G904" s="1" t="s">
        <v>98</v>
      </c>
      <c r="H904" s="1" t="s">
        <v>48</v>
      </c>
      <c r="I904" s="1"/>
      <c r="J904" s="9" t="s">
        <v>544</v>
      </c>
      <c r="K904" s="10">
        <v>0.63410749999999805</v>
      </c>
      <c r="L904" s="1" t="s">
        <v>641</v>
      </c>
      <c r="M904" s="1" t="s">
        <v>76</v>
      </c>
      <c r="N904" s="1" t="s">
        <v>649</v>
      </c>
      <c r="O904" s="1" t="s">
        <v>48</v>
      </c>
      <c r="P904" s="82">
        <v>0.877</v>
      </c>
      <c r="Q904" s="1" t="s">
        <v>76</v>
      </c>
      <c r="R904" s="81" t="s">
        <v>178</v>
      </c>
      <c r="S904" s="1">
        <v>3</v>
      </c>
      <c r="T904" s="1" t="s">
        <v>120</v>
      </c>
      <c r="U904" s="1" t="s">
        <v>659</v>
      </c>
      <c r="V904" s="1" t="s">
        <v>655</v>
      </c>
      <c r="W904" s="1">
        <v>28</v>
      </c>
      <c r="X904" s="1" t="s">
        <v>463</v>
      </c>
      <c r="Y904" s="1" t="s">
        <v>645</v>
      </c>
      <c r="Z904" s="1">
        <v>0</v>
      </c>
      <c r="AA904" s="1">
        <v>1E-3</v>
      </c>
      <c r="AB904" s="1">
        <v>1E-3</v>
      </c>
      <c r="AC904" s="1">
        <v>5.0000000000000001E-3</v>
      </c>
      <c r="AD904" s="1">
        <v>1E-3</v>
      </c>
      <c r="AE904" s="1">
        <v>1E-3</v>
      </c>
      <c r="AF904" s="1">
        <v>1E-3</v>
      </c>
      <c r="AG904" s="1">
        <v>0</v>
      </c>
      <c r="AH904" s="1">
        <v>3.0000000000000001E-3</v>
      </c>
      <c r="AI904" s="1">
        <v>0</v>
      </c>
      <c r="AJ904" s="1">
        <v>0</v>
      </c>
      <c r="AK904" s="1">
        <v>1E-3</v>
      </c>
      <c r="AL904" s="1">
        <v>3.0000000000000001E-3</v>
      </c>
      <c r="AM904" s="1">
        <v>0</v>
      </c>
      <c r="AN904" s="1">
        <v>1E-3</v>
      </c>
      <c r="AO904" s="1">
        <v>2E-3</v>
      </c>
      <c r="AP904" s="1">
        <v>1E-3</v>
      </c>
      <c r="AQ904" s="1">
        <v>1E-3</v>
      </c>
      <c r="AR904" s="1">
        <v>0</v>
      </c>
      <c r="AS904" s="1">
        <v>3.0000000000000001E-3</v>
      </c>
      <c r="AT904" s="1">
        <v>3.0000000000000001E-3</v>
      </c>
      <c r="AU904" s="1">
        <v>1E-3</v>
      </c>
      <c r="AV904" s="1">
        <v>0</v>
      </c>
      <c r="AW904" s="1">
        <v>2E-3</v>
      </c>
      <c r="AX904" s="1">
        <v>1E-3</v>
      </c>
      <c r="AY904" s="1">
        <v>3.0000000000000001E-3</v>
      </c>
      <c r="AZ904" s="1">
        <v>2E-3</v>
      </c>
      <c r="BA904" s="1">
        <v>6.0000000000000001E-3</v>
      </c>
      <c r="BB904" s="1">
        <v>1E-3</v>
      </c>
      <c r="BC904" s="1">
        <v>0</v>
      </c>
      <c r="BD904" s="1">
        <v>4.0000000000000001E-3</v>
      </c>
      <c r="BE904" s="1">
        <v>1E-3</v>
      </c>
      <c r="BF904" s="1">
        <v>0</v>
      </c>
      <c r="BG904" s="1">
        <v>1E-3</v>
      </c>
      <c r="BH904" s="1">
        <v>1E-3</v>
      </c>
      <c r="BI904" s="1">
        <v>1E-3</v>
      </c>
      <c r="BJ904" s="1">
        <v>0</v>
      </c>
      <c r="BK904" s="1">
        <v>1E-3</v>
      </c>
      <c r="BL904" s="1">
        <v>3.0000000000000001E-3</v>
      </c>
      <c r="BM904" s="1">
        <v>1E-3</v>
      </c>
      <c r="BN904" s="1">
        <v>2E-3</v>
      </c>
      <c r="BO904" s="1">
        <v>1E-3</v>
      </c>
      <c r="BP904" s="1">
        <v>0</v>
      </c>
      <c r="BQ904" s="1">
        <v>0.877</v>
      </c>
      <c r="BR904" s="1">
        <v>1E-3</v>
      </c>
      <c r="BS904" s="1">
        <v>1E-3</v>
      </c>
      <c r="BT904" s="1">
        <v>1E-3</v>
      </c>
      <c r="BU904" s="1">
        <v>0</v>
      </c>
      <c r="BV904" s="1">
        <v>1E-3</v>
      </c>
      <c r="BW904" s="1">
        <v>1E-3</v>
      </c>
      <c r="BX904" s="1">
        <v>3.0000000000000001E-3</v>
      </c>
      <c r="BY904" s="1">
        <v>5.0000000000000001E-3</v>
      </c>
      <c r="BZ904" s="1">
        <v>1.0999999999999999E-2</v>
      </c>
      <c r="CA904" s="1">
        <v>1E-3</v>
      </c>
      <c r="CB904" s="1">
        <v>1E-3</v>
      </c>
      <c r="CC904" s="1">
        <v>4.0000000000000001E-3</v>
      </c>
      <c r="CD904" s="1">
        <v>0</v>
      </c>
      <c r="CE904" s="1">
        <v>1E-3</v>
      </c>
      <c r="CF904" s="1">
        <v>1E-3</v>
      </c>
      <c r="CG904" s="1">
        <v>7.0000000000000001E-3</v>
      </c>
      <c r="CH904" s="1">
        <v>7.0000000000000001E-3</v>
      </c>
      <c r="CI904" s="1">
        <v>2E-3</v>
      </c>
      <c r="CJ904" s="1">
        <v>5.0000000000000001E-3</v>
      </c>
      <c r="CK904" s="1">
        <v>4.0000000000000001E-3</v>
      </c>
      <c r="CL904" s="1">
        <v>6.0000000000000001E-3</v>
      </c>
      <c r="CM904" s="1">
        <v>-66.333912789999999</v>
      </c>
      <c r="CN904" s="83">
        <v>50.184278069999998</v>
      </c>
    </row>
    <row r="905" spans="1:92" s="3" customFormat="1" x14ac:dyDescent="0.25">
      <c r="A905" s="72">
        <v>946</v>
      </c>
      <c r="B905" s="81" t="s">
        <v>745</v>
      </c>
      <c r="C905" s="1" t="s">
        <v>83</v>
      </c>
      <c r="D905" s="1" t="s">
        <v>79</v>
      </c>
      <c r="E905" s="1" t="s">
        <v>99</v>
      </c>
      <c r="F905" s="1" t="s">
        <v>128</v>
      </c>
      <c r="G905" s="1" t="s">
        <v>219</v>
      </c>
      <c r="H905" s="1" t="s">
        <v>570</v>
      </c>
      <c r="I905" s="1"/>
      <c r="J905" s="9" t="s">
        <v>544</v>
      </c>
      <c r="K905" s="10">
        <v>0.55156033333333299</v>
      </c>
      <c r="L905" s="1" t="s">
        <v>641</v>
      </c>
      <c r="M905" s="1" t="s">
        <v>76</v>
      </c>
      <c r="N905" s="1" t="s">
        <v>644</v>
      </c>
      <c r="O905" s="1" t="s">
        <v>68</v>
      </c>
      <c r="P905" s="82">
        <v>0.15</v>
      </c>
      <c r="Q905" s="1" t="s">
        <v>76</v>
      </c>
      <c r="R905" s="81" t="s">
        <v>169</v>
      </c>
      <c r="S905" s="1">
        <v>3</v>
      </c>
      <c r="T905" s="1" t="s">
        <v>120</v>
      </c>
      <c r="U905" s="1" t="s">
        <v>659</v>
      </c>
      <c r="V905" s="1" t="s">
        <v>655</v>
      </c>
      <c r="W905" s="1">
        <v>61</v>
      </c>
      <c r="X905" s="1"/>
      <c r="Y905" s="1" t="s">
        <v>644</v>
      </c>
      <c r="Z905" s="1">
        <v>2E-3</v>
      </c>
      <c r="AA905" s="1">
        <v>7.0000000000000001E-3</v>
      </c>
      <c r="AB905" s="1">
        <v>6.0000000000000001E-3</v>
      </c>
      <c r="AC905" s="1">
        <v>3.7999999999999999E-2</v>
      </c>
      <c r="AD905" s="1">
        <v>8.0000000000000002E-3</v>
      </c>
      <c r="AE905" s="1">
        <v>7.0000000000000001E-3</v>
      </c>
      <c r="AF905" s="1">
        <v>7.0000000000000001E-3</v>
      </c>
      <c r="AG905" s="1">
        <v>1E-3</v>
      </c>
      <c r="AH905" s="1">
        <v>0.03</v>
      </c>
      <c r="AI905" s="1">
        <v>3.0000000000000001E-3</v>
      </c>
      <c r="AJ905" s="1">
        <v>5.0000000000000001E-3</v>
      </c>
      <c r="AK905" s="1">
        <v>3.2000000000000001E-2</v>
      </c>
      <c r="AL905" s="1">
        <v>2E-3</v>
      </c>
      <c r="AM905" s="1">
        <v>3.0000000000000001E-3</v>
      </c>
      <c r="AN905" s="1">
        <v>5.0000000000000001E-3</v>
      </c>
      <c r="AO905" s="1">
        <v>1.2E-2</v>
      </c>
      <c r="AP905" s="1">
        <v>5.0000000000000001E-3</v>
      </c>
      <c r="AQ905" s="1">
        <v>4.0000000000000001E-3</v>
      </c>
      <c r="AR905" s="1">
        <v>5.0000000000000001E-3</v>
      </c>
      <c r="AS905" s="1">
        <v>2.5000000000000001E-2</v>
      </c>
      <c r="AT905" s="1">
        <v>1.9E-2</v>
      </c>
      <c r="AU905" s="1">
        <v>1.9E-2</v>
      </c>
      <c r="AV905" s="1">
        <v>3.0000000000000001E-3</v>
      </c>
      <c r="AW905" s="1">
        <v>2.1999999999999999E-2</v>
      </c>
      <c r="AX905" s="1">
        <v>7.0000000000000001E-3</v>
      </c>
      <c r="AY905" s="1">
        <v>1.6E-2</v>
      </c>
      <c r="AZ905" s="1">
        <v>1.0999999999999999E-2</v>
      </c>
      <c r="BA905" s="1">
        <v>2.5000000000000001E-2</v>
      </c>
      <c r="BB905" s="1">
        <v>0.01</v>
      </c>
      <c r="BC905" s="1">
        <v>3.0000000000000001E-3</v>
      </c>
      <c r="BD905" s="1">
        <v>3.1E-2</v>
      </c>
      <c r="BE905" s="1">
        <v>5.0000000000000001E-3</v>
      </c>
      <c r="BF905" s="1">
        <v>2E-3</v>
      </c>
      <c r="BG905" s="1">
        <v>1.2E-2</v>
      </c>
      <c r="BH905" s="1">
        <v>5.0000000000000001E-3</v>
      </c>
      <c r="BI905" s="1">
        <v>0.01</v>
      </c>
      <c r="BJ905" s="1">
        <v>2E-3</v>
      </c>
      <c r="BK905" s="1">
        <v>3.0000000000000001E-3</v>
      </c>
      <c r="BL905" s="1">
        <v>1.6E-2</v>
      </c>
      <c r="BM905" s="1">
        <v>6.0000000000000001E-3</v>
      </c>
      <c r="BN905" s="1">
        <v>1.4E-2</v>
      </c>
      <c r="BO905" s="1">
        <v>7.0000000000000001E-3</v>
      </c>
      <c r="BP905" s="1">
        <v>3.0000000000000001E-3</v>
      </c>
      <c r="BQ905" s="1">
        <v>1.7000000000000001E-2</v>
      </c>
      <c r="BR905" s="1">
        <v>7.0000000000000001E-3</v>
      </c>
      <c r="BS905" s="1">
        <v>7.0000000000000001E-3</v>
      </c>
      <c r="BT905" s="1">
        <v>4.0000000000000001E-3</v>
      </c>
      <c r="BU905" s="1">
        <v>4.0000000000000001E-3</v>
      </c>
      <c r="BV905" s="1">
        <v>0.01</v>
      </c>
      <c r="BW905" s="1">
        <v>8.9999999999999993E-3</v>
      </c>
      <c r="BX905" s="1">
        <v>4.9000000000000002E-2</v>
      </c>
      <c r="BY905" s="1">
        <v>2.9000000000000001E-2</v>
      </c>
      <c r="BZ905" s="1">
        <v>1.6E-2</v>
      </c>
      <c r="CA905" s="1">
        <v>1.7000000000000001E-2</v>
      </c>
      <c r="CB905" s="1">
        <v>4.0000000000000001E-3</v>
      </c>
      <c r="CC905" s="1">
        <v>1.7999999999999999E-2</v>
      </c>
      <c r="CD905" s="1">
        <v>1E-3</v>
      </c>
      <c r="CE905" s="1">
        <v>6.0000000000000001E-3</v>
      </c>
      <c r="CF905" s="1">
        <v>8.9999999999999993E-3</v>
      </c>
      <c r="CG905" s="1">
        <v>8.4000000000000005E-2</v>
      </c>
      <c r="CH905" s="1">
        <v>1.2999999999999999E-2</v>
      </c>
      <c r="CI905" s="1">
        <v>0.01</v>
      </c>
      <c r="CJ905" s="1">
        <v>4.2000000000000003E-2</v>
      </c>
      <c r="CK905" s="1">
        <v>0.15</v>
      </c>
      <c r="CL905" s="1">
        <v>3.5999999999999997E-2</v>
      </c>
      <c r="CM905" s="1">
        <v>68.718726959999998</v>
      </c>
      <c r="CN905" s="83">
        <v>-3.9196355760000001</v>
      </c>
    </row>
    <row r="906" spans="1:92" s="3" customFormat="1" x14ac:dyDescent="0.25">
      <c r="A906" s="72">
        <v>947</v>
      </c>
      <c r="B906" s="81" t="s">
        <v>792</v>
      </c>
      <c r="C906" s="1" t="s">
        <v>83</v>
      </c>
      <c r="D906" s="1" t="s">
        <v>79</v>
      </c>
      <c r="E906" s="1" t="s">
        <v>99</v>
      </c>
      <c r="F906" s="1" t="s">
        <v>665</v>
      </c>
      <c r="G906" s="1" t="s">
        <v>98</v>
      </c>
      <c r="H906" s="1" t="s">
        <v>48</v>
      </c>
      <c r="I906" s="1"/>
      <c r="J906" s="9" t="s">
        <v>544</v>
      </c>
      <c r="K906" s="10">
        <v>0.626200166666666</v>
      </c>
      <c r="L906" s="1" t="s">
        <v>641</v>
      </c>
      <c r="M906" s="1" t="s">
        <v>76</v>
      </c>
      <c r="N906" s="1" t="s">
        <v>649</v>
      </c>
      <c r="O906" s="1" t="s">
        <v>48</v>
      </c>
      <c r="P906" s="82">
        <v>0.879</v>
      </c>
      <c r="Q906" s="1" t="s">
        <v>76</v>
      </c>
      <c r="R906" s="81" t="s">
        <v>222</v>
      </c>
      <c r="S906" s="1">
        <v>3</v>
      </c>
      <c r="T906" s="1" t="s">
        <v>120</v>
      </c>
      <c r="U906" s="1" t="s">
        <v>658</v>
      </c>
      <c r="V906" s="1" t="s">
        <v>655</v>
      </c>
      <c r="W906" s="1">
        <v>58</v>
      </c>
      <c r="X906" s="1" t="s">
        <v>464</v>
      </c>
      <c r="Y906" s="1" t="s">
        <v>645</v>
      </c>
      <c r="Z906" s="1">
        <v>0</v>
      </c>
      <c r="AA906" s="1">
        <v>1E-3</v>
      </c>
      <c r="AB906" s="1">
        <v>1E-3</v>
      </c>
      <c r="AC906" s="1">
        <v>7.0000000000000001E-3</v>
      </c>
      <c r="AD906" s="1">
        <v>1E-3</v>
      </c>
      <c r="AE906" s="1">
        <v>1E-3</v>
      </c>
      <c r="AF906" s="1">
        <v>1E-3</v>
      </c>
      <c r="AG906" s="1">
        <v>0</v>
      </c>
      <c r="AH906" s="1">
        <v>5.0000000000000001E-3</v>
      </c>
      <c r="AI906" s="1">
        <v>0</v>
      </c>
      <c r="AJ906" s="1">
        <v>1E-3</v>
      </c>
      <c r="AK906" s="1">
        <v>1E-3</v>
      </c>
      <c r="AL906" s="1">
        <v>1E-3</v>
      </c>
      <c r="AM906" s="1">
        <v>0</v>
      </c>
      <c r="AN906" s="1">
        <v>1E-3</v>
      </c>
      <c r="AO906" s="1">
        <v>2E-3</v>
      </c>
      <c r="AP906" s="1">
        <v>1E-3</v>
      </c>
      <c r="AQ906" s="1">
        <v>1E-3</v>
      </c>
      <c r="AR906" s="1">
        <v>0</v>
      </c>
      <c r="AS906" s="1">
        <v>4.0000000000000001E-3</v>
      </c>
      <c r="AT906" s="1">
        <v>3.0000000000000001E-3</v>
      </c>
      <c r="AU906" s="1">
        <v>1E-3</v>
      </c>
      <c r="AV906" s="1">
        <v>1E-3</v>
      </c>
      <c r="AW906" s="1">
        <v>2E-3</v>
      </c>
      <c r="AX906" s="1">
        <v>1E-3</v>
      </c>
      <c r="AY906" s="1">
        <v>3.0000000000000001E-3</v>
      </c>
      <c r="AZ906" s="1">
        <v>2E-3</v>
      </c>
      <c r="BA906" s="1">
        <v>6.0000000000000001E-3</v>
      </c>
      <c r="BB906" s="1">
        <v>1E-3</v>
      </c>
      <c r="BC906" s="1">
        <v>1E-3</v>
      </c>
      <c r="BD906" s="1">
        <v>5.0000000000000001E-3</v>
      </c>
      <c r="BE906" s="1">
        <v>1E-3</v>
      </c>
      <c r="BF906" s="1">
        <v>0</v>
      </c>
      <c r="BG906" s="1">
        <v>2E-3</v>
      </c>
      <c r="BH906" s="1">
        <v>1E-3</v>
      </c>
      <c r="BI906" s="1">
        <v>1E-3</v>
      </c>
      <c r="BJ906" s="1">
        <v>0</v>
      </c>
      <c r="BK906" s="1">
        <v>1E-3</v>
      </c>
      <c r="BL906" s="1">
        <v>3.0000000000000001E-3</v>
      </c>
      <c r="BM906" s="1">
        <v>1E-3</v>
      </c>
      <c r="BN906" s="1">
        <v>3.0000000000000001E-3</v>
      </c>
      <c r="BO906" s="1">
        <v>0</v>
      </c>
      <c r="BP906" s="1">
        <v>0</v>
      </c>
      <c r="BQ906" s="1">
        <v>0.879</v>
      </c>
      <c r="BR906" s="1">
        <v>1E-3</v>
      </c>
      <c r="BS906" s="1">
        <v>1E-3</v>
      </c>
      <c r="BT906" s="1">
        <v>1E-3</v>
      </c>
      <c r="BU906" s="1">
        <v>0</v>
      </c>
      <c r="BV906" s="1">
        <v>1E-3</v>
      </c>
      <c r="BW906" s="1">
        <v>1E-3</v>
      </c>
      <c r="BX906" s="1">
        <v>3.0000000000000001E-3</v>
      </c>
      <c r="BY906" s="1">
        <v>5.0000000000000001E-3</v>
      </c>
      <c r="BZ906" s="1">
        <v>7.0000000000000001E-3</v>
      </c>
      <c r="CA906" s="1">
        <v>2E-3</v>
      </c>
      <c r="CB906" s="1">
        <v>1E-3</v>
      </c>
      <c r="CC906" s="1">
        <v>3.0000000000000001E-3</v>
      </c>
      <c r="CD906" s="1">
        <v>0</v>
      </c>
      <c r="CE906" s="1">
        <v>1E-3</v>
      </c>
      <c r="CF906" s="1">
        <v>2E-3</v>
      </c>
      <c r="CG906" s="1">
        <v>6.0000000000000001E-3</v>
      </c>
      <c r="CH906" s="1">
        <v>2E-3</v>
      </c>
      <c r="CI906" s="1">
        <v>2E-3</v>
      </c>
      <c r="CJ906" s="1">
        <v>7.0000000000000001E-3</v>
      </c>
      <c r="CK906" s="1">
        <v>3.0000000000000001E-3</v>
      </c>
      <c r="CL906" s="1">
        <v>6.0000000000000001E-3</v>
      </c>
      <c r="CM906" s="1">
        <v>-62.015792980000001</v>
      </c>
      <c r="CN906" s="83">
        <v>48.642157230000002</v>
      </c>
    </row>
    <row r="907" spans="1:92" s="3" customFormat="1" x14ac:dyDescent="0.25">
      <c r="A907" s="72">
        <v>948</v>
      </c>
      <c r="B907" s="81" t="s">
        <v>807</v>
      </c>
      <c r="C907" s="1" t="s">
        <v>83</v>
      </c>
      <c r="D907" s="1" t="s">
        <v>79</v>
      </c>
      <c r="E907" s="1" t="s">
        <v>99</v>
      </c>
      <c r="F907" s="1" t="s">
        <v>665</v>
      </c>
      <c r="G907" s="1" t="s">
        <v>198</v>
      </c>
      <c r="H907" s="1" t="s">
        <v>48</v>
      </c>
      <c r="I907" s="1"/>
      <c r="J907" s="9" t="s">
        <v>544</v>
      </c>
      <c r="K907" s="10">
        <v>0.56677316666666699</v>
      </c>
      <c r="L907" s="1" t="s">
        <v>76</v>
      </c>
      <c r="M907" s="1" t="s">
        <v>506</v>
      </c>
      <c r="N907" s="1" t="s">
        <v>645</v>
      </c>
      <c r="O907" s="1" t="s">
        <v>59</v>
      </c>
      <c r="P907" s="82">
        <v>0.99199999999999999</v>
      </c>
      <c r="Q907" s="1" t="s">
        <v>76</v>
      </c>
      <c r="R907" s="81" t="s">
        <v>164</v>
      </c>
      <c r="S907" s="1">
        <v>3</v>
      </c>
      <c r="T907" s="1" t="s">
        <v>120</v>
      </c>
      <c r="U907" s="1" t="s">
        <v>658</v>
      </c>
      <c r="V907" s="1" t="s">
        <v>655</v>
      </c>
      <c r="W907" s="1">
        <v>29</v>
      </c>
      <c r="X907" s="1" t="s">
        <v>1727</v>
      </c>
      <c r="Y907" s="1" t="s">
        <v>645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3.0000000000000001E-3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2E-3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0.99199999999999999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2E-3</v>
      </c>
      <c r="CL907" s="1">
        <v>0</v>
      </c>
      <c r="CM907" s="1">
        <v>-51.64339889</v>
      </c>
      <c r="CN907" s="83">
        <v>25.539351</v>
      </c>
    </row>
    <row r="908" spans="1:92" s="3" customFormat="1" x14ac:dyDescent="0.25">
      <c r="A908" s="72">
        <v>949</v>
      </c>
      <c r="B908" s="81" t="s">
        <v>734</v>
      </c>
      <c r="C908" s="1" t="s">
        <v>83</v>
      </c>
      <c r="D908" s="1" t="s">
        <v>79</v>
      </c>
      <c r="E908" s="1" t="s">
        <v>99</v>
      </c>
      <c r="F908" s="1" t="s">
        <v>665</v>
      </c>
      <c r="G908" s="1" t="s">
        <v>98</v>
      </c>
      <c r="H908" s="1" t="s">
        <v>48</v>
      </c>
      <c r="I908" s="1"/>
      <c r="J908" s="9" t="s">
        <v>544</v>
      </c>
      <c r="K908" s="10">
        <v>0.59277566666666603</v>
      </c>
      <c r="L908" s="1" t="s">
        <v>76</v>
      </c>
      <c r="M908" s="1" t="s">
        <v>506</v>
      </c>
      <c r="N908" s="1" t="s">
        <v>645</v>
      </c>
      <c r="O908" s="1" t="s">
        <v>48</v>
      </c>
      <c r="P908" s="82">
        <v>0.998</v>
      </c>
      <c r="Q908" s="1" t="s">
        <v>76</v>
      </c>
      <c r="R908" s="81" t="s">
        <v>336</v>
      </c>
      <c r="S908" s="1">
        <v>3</v>
      </c>
      <c r="T908" s="1" t="s">
        <v>120</v>
      </c>
      <c r="U908" s="1" t="s">
        <v>658</v>
      </c>
      <c r="V908" s="1" t="s">
        <v>655</v>
      </c>
      <c r="W908" s="1">
        <v>37</v>
      </c>
      <c r="X908" s="1" t="s">
        <v>465</v>
      </c>
      <c r="Y908" s="1" t="s">
        <v>645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0.998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-60.404292759999997</v>
      </c>
      <c r="CN908" s="83">
        <v>51.298685740000003</v>
      </c>
    </row>
    <row r="909" spans="1:92" s="3" customFormat="1" x14ac:dyDescent="0.25">
      <c r="A909" s="72">
        <v>798</v>
      </c>
      <c r="B909" s="81" t="s">
        <v>752</v>
      </c>
      <c r="C909" s="1" t="s">
        <v>83</v>
      </c>
      <c r="D909" s="1" t="s">
        <v>73</v>
      </c>
      <c r="E909" s="1" t="s">
        <v>74</v>
      </c>
      <c r="F909" s="1" t="s">
        <v>665</v>
      </c>
      <c r="G909" s="1" t="s">
        <v>98</v>
      </c>
      <c r="H909" s="1" t="s">
        <v>48</v>
      </c>
      <c r="I909" s="1"/>
      <c r="J909" s="9" t="s">
        <v>544</v>
      </c>
      <c r="K909" s="10">
        <v>0.48755633333333298</v>
      </c>
      <c r="L909" s="1" t="s">
        <v>1708</v>
      </c>
      <c r="M909" s="1" t="s">
        <v>506</v>
      </c>
      <c r="N909" s="1" t="s">
        <v>647</v>
      </c>
      <c r="O909" s="1" t="s">
        <v>68</v>
      </c>
      <c r="P909" s="82">
        <v>0.96099999999999997</v>
      </c>
      <c r="Q909" s="1" t="s">
        <v>76</v>
      </c>
      <c r="R909" s="81" t="s">
        <v>164</v>
      </c>
      <c r="S909" s="1">
        <v>3</v>
      </c>
      <c r="T909" s="1" t="s">
        <v>120</v>
      </c>
      <c r="U909" s="1" t="s">
        <v>658</v>
      </c>
      <c r="V909" s="1" t="s">
        <v>655</v>
      </c>
      <c r="W909" s="1">
        <v>59</v>
      </c>
      <c r="X909" s="1" t="s">
        <v>431</v>
      </c>
      <c r="Y909" s="1" t="s">
        <v>647</v>
      </c>
      <c r="Z909" s="1">
        <v>1E-3</v>
      </c>
      <c r="AA909" s="1">
        <v>0</v>
      </c>
      <c r="AB909" s="1">
        <v>0</v>
      </c>
      <c r="AC909" s="1">
        <v>2E-3</v>
      </c>
      <c r="AD909" s="1">
        <v>1E-3</v>
      </c>
      <c r="AE909" s="1">
        <v>0</v>
      </c>
      <c r="AF909" s="1">
        <v>1E-3</v>
      </c>
      <c r="AG909" s="1">
        <v>0</v>
      </c>
      <c r="AH909" s="1">
        <v>1E-3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1E-3</v>
      </c>
      <c r="AS909" s="1">
        <v>1E-3</v>
      </c>
      <c r="AT909" s="1">
        <v>1E-3</v>
      </c>
      <c r="AU909" s="1">
        <v>1E-3</v>
      </c>
      <c r="AV909" s="1">
        <v>0</v>
      </c>
      <c r="AW909" s="1">
        <v>0</v>
      </c>
      <c r="AX909" s="1">
        <v>1E-3</v>
      </c>
      <c r="AY909" s="1">
        <v>1E-3</v>
      </c>
      <c r="AZ909" s="1">
        <v>1E-3</v>
      </c>
      <c r="BA909" s="1">
        <v>1E-3</v>
      </c>
      <c r="BB909" s="1">
        <v>0</v>
      </c>
      <c r="BC909" s="1">
        <v>0</v>
      </c>
      <c r="BD909" s="1">
        <v>2E-3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1E-3</v>
      </c>
      <c r="BM909" s="1">
        <v>0</v>
      </c>
      <c r="BN909" s="1">
        <v>1E-3</v>
      </c>
      <c r="BO909" s="1">
        <v>0</v>
      </c>
      <c r="BP909" s="1">
        <v>1E-3</v>
      </c>
      <c r="BQ909" s="1">
        <v>1E-3</v>
      </c>
      <c r="BR909" s="1">
        <v>0</v>
      </c>
      <c r="BS909" s="1">
        <v>1E-3</v>
      </c>
      <c r="BT909" s="1">
        <v>0</v>
      </c>
      <c r="BU909" s="1">
        <v>0</v>
      </c>
      <c r="BV909" s="1">
        <v>0</v>
      </c>
      <c r="BW909" s="1">
        <v>0</v>
      </c>
      <c r="BX909" s="1">
        <v>2E-3</v>
      </c>
      <c r="BY909" s="1">
        <v>1E-3</v>
      </c>
      <c r="BZ909" s="1">
        <v>1E-3</v>
      </c>
      <c r="CA909" s="1">
        <v>0</v>
      </c>
      <c r="CB909" s="1">
        <v>1E-3</v>
      </c>
      <c r="CC909" s="1">
        <v>1E-3</v>
      </c>
      <c r="CD909" s="1">
        <v>0</v>
      </c>
      <c r="CE909" s="1">
        <v>0</v>
      </c>
      <c r="CF909" s="1">
        <v>0</v>
      </c>
      <c r="CG909" s="1">
        <v>0</v>
      </c>
      <c r="CH909" s="1">
        <v>1E-3</v>
      </c>
      <c r="CI909" s="1">
        <v>0</v>
      </c>
      <c r="CJ909" s="1">
        <v>1E-3</v>
      </c>
      <c r="CK909" s="1">
        <v>0.96099999999999997</v>
      </c>
      <c r="CL909" s="1">
        <v>7.0000000000000001E-3</v>
      </c>
      <c r="CM909" s="1">
        <v>56.097365150000002</v>
      </c>
      <c r="CN909" s="83">
        <v>-64.319465739999998</v>
      </c>
    </row>
    <row r="910" spans="1:92" s="3" customFormat="1" hidden="1" x14ac:dyDescent="0.25">
      <c r="A910" s="72">
        <v>951</v>
      </c>
      <c r="B910" s="81" t="s">
        <v>1690</v>
      </c>
      <c r="C910" s="1" t="s">
        <v>83</v>
      </c>
      <c r="D910" s="1" t="s">
        <v>301</v>
      </c>
      <c r="E910" s="1" t="s">
        <v>74</v>
      </c>
      <c r="F910" s="1" t="s">
        <v>301</v>
      </c>
      <c r="G910" s="1" t="s">
        <v>76</v>
      </c>
      <c r="H910" s="1" t="s">
        <v>537</v>
      </c>
      <c r="I910" s="1"/>
      <c r="J910" s="9" t="s">
        <v>544</v>
      </c>
      <c r="K910" s="10">
        <v>0.29860266666666702</v>
      </c>
      <c r="L910" s="1" t="s">
        <v>76</v>
      </c>
      <c r="M910" s="1" t="s">
        <v>506</v>
      </c>
      <c r="N910" s="1" t="s">
        <v>645</v>
      </c>
      <c r="O910" s="1" t="s">
        <v>21</v>
      </c>
      <c r="P910" s="82">
        <v>0.93200000000000005</v>
      </c>
      <c r="Q910" s="1" t="s">
        <v>76</v>
      </c>
      <c r="R910" s="81" t="s">
        <v>269</v>
      </c>
      <c r="S910" s="1" t="s">
        <v>76</v>
      </c>
      <c r="T910" s="1" t="s">
        <v>269</v>
      </c>
      <c r="U910" s="1" t="s">
        <v>76</v>
      </c>
      <c r="V910" s="1" t="s">
        <v>656</v>
      </c>
      <c r="W910" s="1" t="s">
        <v>269</v>
      </c>
      <c r="X910" s="1" t="s">
        <v>76</v>
      </c>
      <c r="Y910" s="1" t="s">
        <v>645</v>
      </c>
      <c r="Z910" s="1">
        <v>0</v>
      </c>
      <c r="AA910" s="1">
        <v>1E-3</v>
      </c>
      <c r="AB910" s="1">
        <v>0</v>
      </c>
      <c r="AC910" s="1">
        <v>4.0000000000000001E-3</v>
      </c>
      <c r="AD910" s="1">
        <v>0</v>
      </c>
      <c r="AE910" s="1">
        <v>0</v>
      </c>
      <c r="AF910" s="1">
        <v>0</v>
      </c>
      <c r="AG910" s="1">
        <v>0</v>
      </c>
      <c r="AH910" s="1">
        <v>2E-3</v>
      </c>
      <c r="AI910" s="1">
        <v>0</v>
      </c>
      <c r="AJ910" s="1">
        <v>0</v>
      </c>
      <c r="AK910" s="1">
        <v>1E-3</v>
      </c>
      <c r="AL910" s="1">
        <v>0</v>
      </c>
      <c r="AM910" s="1">
        <v>0</v>
      </c>
      <c r="AN910" s="1">
        <v>0</v>
      </c>
      <c r="AO910" s="1">
        <v>1E-3</v>
      </c>
      <c r="AP910" s="1">
        <v>0.93200000000000005</v>
      </c>
      <c r="AQ910" s="1">
        <v>0</v>
      </c>
      <c r="AR910" s="1">
        <v>0</v>
      </c>
      <c r="AS910" s="1">
        <v>2E-3</v>
      </c>
      <c r="AT910" s="1">
        <v>1E-3</v>
      </c>
      <c r="AU910" s="1">
        <v>0</v>
      </c>
      <c r="AV910" s="1">
        <v>0</v>
      </c>
      <c r="AW910" s="1">
        <v>1E-3</v>
      </c>
      <c r="AX910" s="1">
        <v>1E-3</v>
      </c>
      <c r="AY910" s="1">
        <v>1E-3</v>
      </c>
      <c r="AZ910" s="1">
        <v>1E-3</v>
      </c>
      <c r="BA910" s="1">
        <v>2E-3</v>
      </c>
      <c r="BB910" s="1">
        <v>0</v>
      </c>
      <c r="BC910" s="1">
        <v>0</v>
      </c>
      <c r="BD910" s="1">
        <v>3.0000000000000001E-3</v>
      </c>
      <c r="BE910" s="1">
        <v>0</v>
      </c>
      <c r="BF910" s="1">
        <v>0</v>
      </c>
      <c r="BG910" s="1">
        <v>1E-3</v>
      </c>
      <c r="BH910" s="1">
        <v>2.1999999999999999E-2</v>
      </c>
      <c r="BI910" s="1">
        <v>0</v>
      </c>
      <c r="BJ910" s="1">
        <v>0</v>
      </c>
      <c r="BK910" s="1">
        <v>0</v>
      </c>
      <c r="BL910" s="1">
        <v>1E-3</v>
      </c>
      <c r="BM910" s="1">
        <v>1E-3</v>
      </c>
      <c r="BN910" s="1">
        <v>1E-3</v>
      </c>
      <c r="BO910" s="1">
        <v>0</v>
      </c>
      <c r="BP910" s="1">
        <v>0</v>
      </c>
      <c r="BQ910" s="1">
        <v>1E-3</v>
      </c>
      <c r="BR910" s="1">
        <v>1E-3</v>
      </c>
      <c r="BS910" s="1">
        <v>0</v>
      </c>
      <c r="BT910" s="1">
        <v>0</v>
      </c>
      <c r="BU910" s="1">
        <v>0</v>
      </c>
      <c r="BV910" s="1">
        <v>0</v>
      </c>
      <c r="BW910" s="1">
        <v>1E-3</v>
      </c>
      <c r="BX910" s="1">
        <v>1E-3</v>
      </c>
      <c r="BY910" s="1">
        <v>2E-3</v>
      </c>
      <c r="BZ910" s="1">
        <v>1E-3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1E-3</v>
      </c>
      <c r="CI910" s="1">
        <v>1E-3</v>
      </c>
      <c r="CJ910" s="1">
        <v>1E-3</v>
      </c>
      <c r="CK910" s="1">
        <v>4.0000000000000001E-3</v>
      </c>
      <c r="CL910" s="1">
        <v>1E-3</v>
      </c>
      <c r="CM910" s="1">
        <v>-53.355820430000001</v>
      </c>
      <c r="CN910" s="83">
        <v>-78.423144949999994</v>
      </c>
    </row>
    <row r="911" spans="1:92" s="3" customFormat="1" x14ac:dyDescent="0.25">
      <c r="A911" s="72">
        <v>952</v>
      </c>
      <c r="B911" s="81" t="s">
        <v>789</v>
      </c>
      <c r="C911" s="1" t="s">
        <v>83</v>
      </c>
      <c r="D911" s="1" t="s">
        <v>79</v>
      </c>
      <c r="E911" s="1" t="s">
        <v>99</v>
      </c>
      <c r="F911" s="1" t="s">
        <v>665</v>
      </c>
      <c r="G911" s="1" t="s">
        <v>226</v>
      </c>
      <c r="H911" s="1" t="s">
        <v>48</v>
      </c>
      <c r="I911" s="1"/>
      <c r="J911" s="9" t="s">
        <v>544</v>
      </c>
      <c r="K911" s="10">
        <v>0.41074033333333398</v>
      </c>
      <c r="L911" s="1" t="s">
        <v>641</v>
      </c>
      <c r="M911" s="1" t="s">
        <v>76</v>
      </c>
      <c r="N911" s="1" t="s">
        <v>644</v>
      </c>
      <c r="O911" s="1" t="s">
        <v>49</v>
      </c>
      <c r="P911" s="82">
        <v>0.56000000000000005</v>
      </c>
      <c r="Q911" s="1" t="s">
        <v>76</v>
      </c>
      <c r="R911" s="81" t="s">
        <v>232</v>
      </c>
      <c r="S911" s="1">
        <v>3</v>
      </c>
      <c r="T911" s="1" t="s">
        <v>120</v>
      </c>
      <c r="U911" s="1" t="s">
        <v>658</v>
      </c>
      <c r="V911" s="1" t="s">
        <v>655</v>
      </c>
      <c r="W911" s="1">
        <v>47</v>
      </c>
      <c r="X911" s="1" t="s">
        <v>468</v>
      </c>
      <c r="Y911" s="1" t="s">
        <v>644</v>
      </c>
      <c r="Z911" s="1">
        <v>1E-3</v>
      </c>
      <c r="AA911" s="1">
        <v>3.0000000000000001E-3</v>
      </c>
      <c r="AB911" s="1">
        <v>2E-3</v>
      </c>
      <c r="AC911" s="1">
        <v>1.7999999999999999E-2</v>
      </c>
      <c r="AD911" s="1">
        <v>1.2999999999999999E-2</v>
      </c>
      <c r="AE911" s="1">
        <v>2E-3</v>
      </c>
      <c r="AF911" s="1">
        <v>4.0000000000000001E-3</v>
      </c>
      <c r="AG911" s="1">
        <v>0</v>
      </c>
      <c r="AH911" s="1">
        <v>1.4999999999999999E-2</v>
      </c>
      <c r="AI911" s="1">
        <v>1.6E-2</v>
      </c>
      <c r="AJ911" s="1">
        <v>1E-3</v>
      </c>
      <c r="AK911" s="1">
        <v>3.0000000000000001E-3</v>
      </c>
      <c r="AL911" s="1">
        <v>2E-3</v>
      </c>
      <c r="AM911" s="1">
        <v>1E-3</v>
      </c>
      <c r="AN911" s="1">
        <v>2E-3</v>
      </c>
      <c r="AO911" s="1">
        <v>2E-3</v>
      </c>
      <c r="AP911" s="1">
        <v>2E-3</v>
      </c>
      <c r="AQ911" s="1">
        <v>2E-3</v>
      </c>
      <c r="AR911" s="1">
        <v>1E-3</v>
      </c>
      <c r="AS911" s="1">
        <v>4.0000000000000001E-3</v>
      </c>
      <c r="AT911" s="1">
        <v>4.0000000000000001E-3</v>
      </c>
      <c r="AU911" s="1">
        <v>2E-3</v>
      </c>
      <c r="AV911" s="1">
        <v>1E-3</v>
      </c>
      <c r="AW911" s="1">
        <v>2E-3</v>
      </c>
      <c r="AX911" s="1">
        <v>0.01</v>
      </c>
      <c r="AY911" s="1">
        <v>5.0000000000000001E-3</v>
      </c>
      <c r="AZ911" s="1">
        <v>3.0000000000000001E-3</v>
      </c>
      <c r="BA911" s="1">
        <v>0.01</v>
      </c>
      <c r="BB911" s="1">
        <v>1E-3</v>
      </c>
      <c r="BC911" s="1">
        <v>1E-3</v>
      </c>
      <c r="BD911" s="1">
        <v>1.2E-2</v>
      </c>
      <c r="BE911" s="1">
        <v>1E-3</v>
      </c>
      <c r="BF911" s="1">
        <v>1E-3</v>
      </c>
      <c r="BG911" s="1">
        <v>2E-3</v>
      </c>
      <c r="BH911" s="1">
        <v>1E-3</v>
      </c>
      <c r="BI911" s="1">
        <v>1E-3</v>
      </c>
      <c r="BJ911" s="1">
        <v>1E-3</v>
      </c>
      <c r="BK911" s="1">
        <v>1E-3</v>
      </c>
      <c r="BL911" s="1">
        <v>7.0000000000000001E-3</v>
      </c>
      <c r="BM911" s="1">
        <v>0.129</v>
      </c>
      <c r="BN911" s="1">
        <v>3.0000000000000001E-3</v>
      </c>
      <c r="BO911" s="1">
        <v>1E-3</v>
      </c>
      <c r="BP911" s="1">
        <v>1E-3</v>
      </c>
      <c r="BQ911" s="1">
        <v>6.0000000000000001E-3</v>
      </c>
      <c r="BR911" s="1">
        <v>0.56000000000000005</v>
      </c>
      <c r="BS911" s="1">
        <v>1E-3</v>
      </c>
      <c r="BT911" s="1">
        <v>1E-3</v>
      </c>
      <c r="BU911" s="1">
        <v>2E-3</v>
      </c>
      <c r="BV911" s="1">
        <v>1E-3</v>
      </c>
      <c r="BW911" s="1">
        <v>2E-3</v>
      </c>
      <c r="BX911" s="1">
        <v>5.0000000000000001E-3</v>
      </c>
      <c r="BY911" s="1">
        <v>1.2E-2</v>
      </c>
      <c r="BZ911" s="1">
        <v>8.9999999999999993E-3</v>
      </c>
      <c r="CA911" s="1">
        <v>2E-3</v>
      </c>
      <c r="CB911" s="1">
        <v>1E-3</v>
      </c>
      <c r="CC911" s="1">
        <v>5.0000000000000001E-3</v>
      </c>
      <c r="CD911" s="1">
        <v>0</v>
      </c>
      <c r="CE911" s="1">
        <v>2E-3</v>
      </c>
      <c r="CF911" s="1">
        <v>2E-3</v>
      </c>
      <c r="CG911" s="1">
        <v>3.5000000000000003E-2</v>
      </c>
      <c r="CH911" s="1">
        <v>3.0000000000000001E-3</v>
      </c>
      <c r="CI911" s="1">
        <v>4.0000000000000001E-3</v>
      </c>
      <c r="CJ911" s="1">
        <v>0.04</v>
      </c>
      <c r="CK911" s="1">
        <v>4.0000000000000001E-3</v>
      </c>
      <c r="CL911" s="1">
        <v>6.0000000000000001E-3</v>
      </c>
      <c r="CM911" s="1">
        <v>-27.773163570000001</v>
      </c>
      <c r="CN911" s="83">
        <v>35.07737186</v>
      </c>
    </row>
    <row r="912" spans="1:92" s="3" customFormat="1" x14ac:dyDescent="0.25">
      <c r="A912" s="72">
        <v>955</v>
      </c>
      <c r="B912" s="81" t="s">
        <v>724</v>
      </c>
      <c r="C912" s="1" t="s">
        <v>83</v>
      </c>
      <c r="D912" s="1" t="s">
        <v>79</v>
      </c>
      <c r="E912" s="1" t="s">
        <v>74</v>
      </c>
      <c r="F912" s="1" t="s">
        <v>665</v>
      </c>
      <c r="G912" s="1" t="s">
        <v>200</v>
      </c>
      <c r="H912" s="1" t="s">
        <v>48</v>
      </c>
      <c r="I912" s="1"/>
      <c r="J912" s="9" t="s">
        <v>544</v>
      </c>
      <c r="K912" s="10">
        <v>0.42238150000000002</v>
      </c>
      <c r="L912" s="1" t="s">
        <v>641</v>
      </c>
      <c r="M912" s="1" t="s">
        <v>76</v>
      </c>
      <c r="N912" s="1" t="s">
        <v>644</v>
      </c>
      <c r="O912" s="1" t="s">
        <v>56</v>
      </c>
      <c r="P912" s="82">
        <v>7.5999999999999998E-2</v>
      </c>
      <c r="Q912" s="1" t="s">
        <v>76</v>
      </c>
      <c r="R912" s="81">
        <v>3</v>
      </c>
      <c r="S912" s="1" t="s">
        <v>76</v>
      </c>
      <c r="T912" s="1" t="s">
        <v>120</v>
      </c>
      <c r="U912" s="1" t="s">
        <v>658</v>
      </c>
      <c r="V912" s="1" t="s">
        <v>655</v>
      </c>
      <c r="W912" s="1">
        <v>51</v>
      </c>
      <c r="X912" s="1" t="s">
        <v>469</v>
      </c>
      <c r="Y912" s="1" t="s">
        <v>644</v>
      </c>
      <c r="Z912" s="1">
        <v>2E-3</v>
      </c>
      <c r="AA912" s="1">
        <v>7.0000000000000001E-3</v>
      </c>
      <c r="AB912" s="1">
        <v>1.2E-2</v>
      </c>
      <c r="AC912" s="1">
        <v>5.5E-2</v>
      </c>
      <c r="AD912" s="1">
        <v>5.3999999999999999E-2</v>
      </c>
      <c r="AE912" s="1">
        <v>7.0000000000000001E-3</v>
      </c>
      <c r="AF912" s="1">
        <v>7.0000000000000001E-3</v>
      </c>
      <c r="AG912" s="1">
        <v>1E-3</v>
      </c>
      <c r="AH912" s="1">
        <v>3.5000000000000003E-2</v>
      </c>
      <c r="AI912" s="1">
        <v>2E-3</v>
      </c>
      <c r="AJ912" s="1">
        <v>4.0000000000000001E-3</v>
      </c>
      <c r="AK912" s="1">
        <v>4.2999999999999997E-2</v>
      </c>
      <c r="AL912" s="1">
        <v>1E-3</v>
      </c>
      <c r="AM912" s="1">
        <v>3.0000000000000001E-3</v>
      </c>
      <c r="AN912" s="1">
        <v>5.0000000000000001E-3</v>
      </c>
      <c r="AO912" s="1">
        <v>1.0999999999999999E-2</v>
      </c>
      <c r="AP912" s="1">
        <v>5.0000000000000001E-3</v>
      </c>
      <c r="AQ912" s="1">
        <v>5.2999999999999999E-2</v>
      </c>
      <c r="AR912" s="1">
        <v>3.0000000000000001E-3</v>
      </c>
      <c r="AS912" s="1">
        <v>3.2000000000000001E-2</v>
      </c>
      <c r="AT912" s="1">
        <v>1.9E-2</v>
      </c>
      <c r="AU912" s="1">
        <v>6.0000000000000001E-3</v>
      </c>
      <c r="AV912" s="1">
        <v>4.0000000000000001E-3</v>
      </c>
      <c r="AW912" s="1">
        <v>1.4999999999999999E-2</v>
      </c>
      <c r="AX912" s="1">
        <v>6.0000000000000001E-3</v>
      </c>
      <c r="AY912" s="1">
        <v>1.2E-2</v>
      </c>
      <c r="AZ912" s="1">
        <v>1.2999999999999999E-2</v>
      </c>
      <c r="BA912" s="1">
        <v>2.5000000000000001E-2</v>
      </c>
      <c r="BB912" s="1">
        <v>5.0000000000000001E-3</v>
      </c>
      <c r="BC912" s="1">
        <v>3.0000000000000001E-3</v>
      </c>
      <c r="BD912" s="1">
        <v>4.2000000000000003E-2</v>
      </c>
      <c r="BE912" s="1">
        <v>5.0000000000000001E-3</v>
      </c>
      <c r="BF912" s="1">
        <v>4.0000000000000001E-3</v>
      </c>
      <c r="BG912" s="1">
        <v>0.01</v>
      </c>
      <c r="BH912" s="1">
        <v>7.0000000000000001E-3</v>
      </c>
      <c r="BI912" s="1">
        <v>7.0000000000000001E-3</v>
      </c>
      <c r="BJ912" s="1">
        <v>2E-3</v>
      </c>
      <c r="BK912" s="1">
        <v>4.0000000000000001E-3</v>
      </c>
      <c r="BL912" s="1">
        <v>1.4999999999999999E-2</v>
      </c>
      <c r="BM912" s="1">
        <v>6.0000000000000001E-3</v>
      </c>
      <c r="BN912" s="1">
        <v>1.7999999999999999E-2</v>
      </c>
      <c r="BO912" s="1">
        <v>3.0000000000000001E-3</v>
      </c>
      <c r="BP912" s="1">
        <v>2E-3</v>
      </c>
      <c r="BQ912" s="1">
        <v>1.4999999999999999E-2</v>
      </c>
      <c r="BR912" s="1">
        <v>7.0000000000000001E-3</v>
      </c>
      <c r="BS912" s="1">
        <v>4.0000000000000001E-3</v>
      </c>
      <c r="BT912" s="1">
        <v>6.0000000000000001E-3</v>
      </c>
      <c r="BU912" s="1">
        <v>3.0000000000000001E-3</v>
      </c>
      <c r="BV912" s="1">
        <v>7.0000000000000001E-3</v>
      </c>
      <c r="BW912" s="1">
        <v>7.0000000000000001E-3</v>
      </c>
      <c r="BX912" s="1">
        <v>2.1000000000000001E-2</v>
      </c>
      <c r="BY912" s="1">
        <v>7.5999999999999998E-2</v>
      </c>
      <c r="BZ912" s="1">
        <v>2.9000000000000001E-2</v>
      </c>
      <c r="CA912" s="1">
        <v>2.8000000000000001E-2</v>
      </c>
      <c r="CB912" s="1">
        <v>3.0000000000000001E-3</v>
      </c>
      <c r="CC912" s="1">
        <v>1.4E-2</v>
      </c>
      <c r="CD912" s="1">
        <v>1E-3</v>
      </c>
      <c r="CE912" s="1">
        <v>6.0000000000000001E-3</v>
      </c>
      <c r="CF912" s="1">
        <v>8.0000000000000002E-3</v>
      </c>
      <c r="CG912" s="1">
        <v>3.9E-2</v>
      </c>
      <c r="CH912" s="1">
        <v>1.6E-2</v>
      </c>
      <c r="CI912" s="1">
        <v>1.7000000000000001E-2</v>
      </c>
      <c r="CJ912" s="1">
        <v>3.6999999999999998E-2</v>
      </c>
      <c r="CK912" s="1">
        <v>4.7E-2</v>
      </c>
      <c r="CL912" s="1">
        <v>3.3000000000000002E-2</v>
      </c>
      <c r="CM912" s="1">
        <v>-41.813706029999999</v>
      </c>
      <c r="CN912" s="83">
        <v>-17.63044206</v>
      </c>
    </row>
    <row r="913" spans="1:92" s="3" customFormat="1" x14ac:dyDescent="0.25">
      <c r="A913" s="72">
        <v>956</v>
      </c>
      <c r="B913" s="81" t="s">
        <v>795</v>
      </c>
      <c r="C913" s="1" t="s">
        <v>83</v>
      </c>
      <c r="D913" s="1" t="s">
        <v>79</v>
      </c>
      <c r="E913" s="1" t="s">
        <v>74</v>
      </c>
      <c r="F913" s="1" t="s">
        <v>665</v>
      </c>
      <c r="G913" s="1" t="s">
        <v>98</v>
      </c>
      <c r="H913" s="1" t="s">
        <v>48</v>
      </c>
      <c r="I913" s="1"/>
      <c r="J913" s="9" t="s">
        <v>544</v>
      </c>
      <c r="K913" s="10">
        <v>0.35684949999999999</v>
      </c>
      <c r="L913" s="1" t="s">
        <v>641</v>
      </c>
      <c r="M913" s="1" t="s">
        <v>76</v>
      </c>
      <c r="N913" s="1" t="s">
        <v>644</v>
      </c>
      <c r="O913" s="1" t="s">
        <v>37</v>
      </c>
      <c r="P913" s="82">
        <v>0.33200000000000002</v>
      </c>
      <c r="Q913" s="1" t="s">
        <v>76</v>
      </c>
      <c r="R913" s="81" t="s">
        <v>470</v>
      </c>
      <c r="S913" s="1">
        <v>1</v>
      </c>
      <c r="T913" s="1" t="s">
        <v>120</v>
      </c>
      <c r="U913" s="1" t="s">
        <v>658</v>
      </c>
      <c r="V913" s="1" t="s">
        <v>655</v>
      </c>
      <c r="W913" s="1">
        <v>11</v>
      </c>
      <c r="X913" s="1" t="s">
        <v>477</v>
      </c>
      <c r="Y913" s="1" t="s">
        <v>644</v>
      </c>
      <c r="Z913" s="1">
        <v>7.0000000000000001E-3</v>
      </c>
      <c r="AA913" s="1">
        <v>4.0000000000000001E-3</v>
      </c>
      <c r="AB913" s="1">
        <v>6.0000000000000001E-3</v>
      </c>
      <c r="AC913" s="1">
        <v>5.8000000000000003E-2</v>
      </c>
      <c r="AD913" s="1">
        <v>8.9999999999999993E-3</v>
      </c>
      <c r="AE913" s="1">
        <v>6.0000000000000001E-3</v>
      </c>
      <c r="AF913" s="1">
        <v>1.0999999999999999E-2</v>
      </c>
      <c r="AG913" s="1">
        <v>0</v>
      </c>
      <c r="AH913" s="1">
        <v>1.7000000000000001E-2</v>
      </c>
      <c r="AI913" s="1">
        <v>8.0000000000000002E-3</v>
      </c>
      <c r="AJ913" s="1">
        <v>3.0000000000000001E-3</v>
      </c>
      <c r="AK913" s="1">
        <v>1.2E-2</v>
      </c>
      <c r="AL913" s="1">
        <v>1E-3</v>
      </c>
      <c r="AM913" s="1">
        <v>2E-3</v>
      </c>
      <c r="AN913" s="1">
        <v>5.1999999999999998E-2</v>
      </c>
      <c r="AO913" s="1">
        <v>5.0000000000000001E-3</v>
      </c>
      <c r="AP913" s="1">
        <v>4.0000000000000001E-3</v>
      </c>
      <c r="AQ913" s="1">
        <v>3.0000000000000001E-3</v>
      </c>
      <c r="AR913" s="1">
        <v>2E-3</v>
      </c>
      <c r="AS913" s="1">
        <v>1.6E-2</v>
      </c>
      <c r="AT913" s="1">
        <v>8.0000000000000002E-3</v>
      </c>
      <c r="AU913" s="1">
        <v>4.0000000000000001E-3</v>
      </c>
      <c r="AV913" s="1">
        <v>3.0000000000000001E-3</v>
      </c>
      <c r="AW913" s="1">
        <v>7.0000000000000001E-3</v>
      </c>
      <c r="AX913" s="1">
        <v>2E-3</v>
      </c>
      <c r="AY913" s="1">
        <v>8.9999999999999993E-3</v>
      </c>
      <c r="AZ913" s="1">
        <v>8.9999999999999993E-3</v>
      </c>
      <c r="BA913" s="1">
        <v>1.7000000000000001E-2</v>
      </c>
      <c r="BB913" s="1">
        <v>3.0000000000000001E-3</v>
      </c>
      <c r="BC913" s="1">
        <v>3.0000000000000001E-3</v>
      </c>
      <c r="BD913" s="1">
        <v>2.3E-2</v>
      </c>
      <c r="BE913" s="1">
        <v>6.0000000000000001E-3</v>
      </c>
      <c r="BF913" s="1">
        <v>0.33200000000000002</v>
      </c>
      <c r="BG913" s="1">
        <v>1E-3</v>
      </c>
      <c r="BH913" s="1">
        <v>2.9000000000000001E-2</v>
      </c>
      <c r="BI913" s="1">
        <v>3.0000000000000001E-3</v>
      </c>
      <c r="BJ913" s="1">
        <v>2E-3</v>
      </c>
      <c r="BK913" s="1">
        <v>2E-3</v>
      </c>
      <c r="BL913" s="1">
        <v>7.0000000000000001E-3</v>
      </c>
      <c r="BM913" s="1">
        <v>6.0000000000000001E-3</v>
      </c>
      <c r="BN913" s="1">
        <v>1.0999999999999999E-2</v>
      </c>
      <c r="BO913" s="1">
        <v>2E-3</v>
      </c>
      <c r="BP913" s="1">
        <v>1E-3</v>
      </c>
      <c r="BQ913" s="1">
        <v>8.9999999999999993E-3</v>
      </c>
      <c r="BR913" s="1">
        <v>5.0000000000000001E-3</v>
      </c>
      <c r="BS913" s="1">
        <v>3.0000000000000001E-3</v>
      </c>
      <c r="BT913" s="1">
        <v>8.0000000000000002E-3</v>
      </c>
      <c r="BU913" s="1">
        <v>2.3E-2</v>
      </c>
      <c r="BV913" s="1">
        <v>3.0000000000000001E-3</v>
      </c>
      <c r="BW913" s="1">
        <v>4.0000000000000001E-3</v>
      </c>
      <c r="BX913" s="1">
        <v>2.7E-2</v>
      </c>
      <c r="BY913" s="1">
        <v>1.4999999999999999E-2</v>
      </c>
      <c r="BZ913" s="1">
        <v>8.0000000000000002E-3</v>
      </c>
      <c r="CA913" s="1">
        <v>7.0000000000000001E-3</v>
      </c>
      <c r="CB913" s="1">
        <v>5.0000000000000001E-3</v>
      </c>
      <c r="CC913" s="1">
        <v>5.0000000000000001E-3</v>
      </c>
      <c r="CD913" s="1">
        <v>0</v>
      </c>
      <c r="CE913" s="1">
        <v>4.0000000000000001E-3</v>
      </c>
      <c r="CF913" s="1">
        <v>5.0000000000000001E-3</v>
      </c>
      <c r="CG913" s="1">
        <v>2.1000000000000001E-2</v>
      </c>
      <c r="CH913" s="1">
        <v>7.0000000000000001E-3</v>
      </c>
      <c r="CI913" s="1">
        <v>3.2000000000000001E-2</v>
      </c>
      <c r="CJ913" s="1">
        <v>1.4999999999999999E-2</v>
      </c>
      <c r="CK913" s="1">
        <v>3.9E-2</v>
      </c>
      <c r="CL913" s="1">
        <v>3.5999999999999997E-2</v>
      </c>
      <c r="CM913" s="1">
        <v>-25.731148810000001</v>
      </c>
      <c r="CN913" s="83">
        <v>-47.98901094</v>
      </c>
    </row>
    <row r="914" spans="1:92" s="3" customFormat="1" x14ac:dyDescent="0.25">
      <c r="A914" s="72">
        <v>950</v>
      </c>
      <c r="B914" s="81" t="s">
        <v>732</v>
      </c>
      <c r="C914" s="1" t="s">
        <v>83</v>
      </c>
      <c r="D914" s="1" t="s">
        <v>79</v>
      </c>
      <c r="E914" s="1" t="s">
        <v>99</v>
      </c>
      <c r="F914" s="1" t="s">
        <v>665</v>
      </c>
      <c r="G914" s="1" t="s">
        <v>466</v>
      </c>
      <c r="H914" s="1" t="s">
        <v>48</v>
      </c>
      <c r="I914" s="1"/>
      <c r="J914" s="9" t="s">
        <v>544</v>
      </c>
      <c r="K914" s="10">
        <v>0.58804933333333398</v>
      </c>
      <c r="L914" s="1" t="s">
        <v>1709</v>
      </c>
      <c r="M914" s="1" t="s">
        <v>506</v>
      </c>
      <c r="N914" s="1" t="s">
        <v>648</v>
      </c>
      <c r="O914" s="1" t="s">
        <v>67</v>
      </c>
      <c r="P914" s="82">
        <v>0.96799999999999997</v>
      </c>
      <c r="Q914" s="1" t="s">
        <v>76</v>
      </c>
      <c r="R914" s="81" t="s">
        <v>169</v>
      </c>
      <c r="S914" s="1">
        <v>3</v>
      </c>
      <c r="T914" s="1" t="s">
        <v>120</v>
      </c>
      <c r="U914" s="1" t="s">
        <v>658</v>
      </c>
      <c r="V914" s="1" t="s">
        <v>655</v>
      </c>
      <c r="W914" s="1">
        <v>71</v>
      </c>
      <c r="X914" s="1" t="s">
        <v>467</v>
      </c>
      <c r="Y914" s="1" t="s">
        <v>648</v>
      </c>
      <c r="Z914" s="1">
        <v>0</v>
      </c>
      <c r="AA914" s="1">
        <v>0</v>
      </c>
      <c r="AB914" s="1">
        <v>0</v>
      </c>
      <c r="AC914" s="1">
        <v>2E-3</v>
      </c>
      <c r="AD914" s="1">
        <v>0</v>
      </c>
      <c r="AE914" s="1">
        <v>0</v>
      </c>
      <c r="AF914" s="1">
        <v>0</v>
      </c>
      <c r="AG914" s="1">
        <v>0</v>
      </c>
      <c r="AH914" s="1">
        <v>1E-3</v>
      </c>
      <c r="AI914" s="1">
        <v>0</v>
      </c>
      <c r="AJ914" s="1">
        <v>0</v>
      </c>
      <c r="AK914" s="1">
        <v>2E-3</v>
      </c>
      <c r="AL914" s="1">
        <v>0</v>
      </c>
      <c r="AM914" s="1">
        <v>0</v>
      </c>
      <c r="AN914" s="1">
        <v>0</v>
      </c>
      <c r="AO914" s="1">
        <v>1E-3</v>
      </c>
      <c r="AP914" s="1">
        <v>0</v>
      </c>
      <c r="AQ914" s="1">
        <v>0</v>
      </c>
      <c r="AR914" s="1">
        <v>0</v>
      </c>
      <c r="AS914" s="1">
        <v>1E-3</v>
      </c>
      <c r="AT914" s="1">
        <v>1E-3</v>
      </c>
      <c r="AU914" s="1">
        <v>0</v>
      </c>
      <c r="AV914" s="1">
        <v>0</v>
      </c>
      <c r="AW914" s="1">
        <v>1E-3</v>
      </c>
      <c r="AX914" s="1">
        <v>0</v>
      </c>
      <c r="AY914" s="1">
        <v>0</v>
      </c>
      <c r="AZ914" s="1">
        <v>0</v>
      </c>
      <c r="BA914" s="1">
        <v>1E-3</v>
      </c>
      <c r="BB914" s="1">
        <v>0</v>
      </c>
      <c r="BC914" s="1">
        <v>0</v>
      </c>
      <c r="BD914" s="1">
        <v>1E-3</v>
      </c>
      <c r="BE914" s="1">
        <v>0</v>
      </c>
      <c r="BF914" s="1">
        <v>0</v>
      </c>
      <c r="BG914" s="1">
        <v>1E-3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1E-3</v>
      </c>
      <c r="BO914" s="1">
        <v>0</v>
      </c>
      <c r="BP914" s="1">
        <v>0</v>
      </c>
      <c r="BQ914" s="1">
        <v>1E-3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1E-3</v>
      </c>
      <c r="BY914" s="1">
        <v>2E-3</v>
      </c>
      <c r="BZ914" s="1">
        <v>1E-3</v>
      </c>
      <c r="CA914" s="1">
        <v>1E-3</v>
      </c>
      <c r="CB914" s="1">
        <v>0</v>
      </c>
      <c r="CC914" s="1">
        <v>1E-3</v>
      </c>
      <c r="CD914" s="1">
        <v>0</v>
      </c>
      <c r="CE914" s="1">
        <v>0</v>
      </c>
      <c r="CF914" s="1">
        <v>0</v>
      </c>
      <c r="CG914" s="1">
        <v>3.0000000000000001E-3</v>
      </c>
      <c r="CH914" s="1">
        <v>1E-3</v>
      </c>
      <c r="CI914" s="1">
        <v>0</v>
      </c>
      <c r="CJ914" s="1">
        <v>0.96799999999999997</v>
      </c>
      <c r="CK914" s="1">
        <v>2E-3</v>
      </c>
      <c r="CL914" s="1">
        <v>1E-3</v>
      </c>
      <c r="CM914" s="1">
        <v>-50.660170819999998</v>
      </c>
      <c r="CN914" s="83">
        <v>25.421905819999999</v>
      </c>
    </row>
    <row r="915" spans="1:92" s="3" customFormat="1" x14ac:dyDescent="0.25">
      <c r="A915" s="72">
        <v>958</v>
      </c>
      <c r="B915" s="81" t="s">
        <v>733</v>
      </c>
      <c r="C915" s="1" t="s">
        <v>83</v>
      </c>
      <c r="D915" s="1" t="s">
        <v>79</v>
      </c>
      <c r="E915" s="1" t="s">
        <v>74</v>
      </c>
      <c r="F915" s="1" t="s">
        <v>665</v>
      </c>
      <c r="G915" s="1" t="s">
        <v>98</v>
      </c>
      <c r="H915" s="1" t="s">
        <v>48</v>
      </c>
      <c r="I915" s="1"/>
      <c r="J915" s="9" t="s">
        <v>544</v>
      </c>
      <c r="K915" s="10">
        <v>0.58723483333333304</v>
      </c>
      <c r="L915" s="1" t="s">
        <v>641</v>
      </c>
      <c r="M915" s="1" t="s">
        <v>76</v>
      </c>
      <c r="N915" s="1" t="s">
        <v>644</v>
      </c>
      <c r="O915" s="1" t="s">
        <v>30</v>
      </c>
      <c r="P915" s="82">
        <v>0.59799999999999998</v>
      </c>
      <c r="Q915" s="1" t="s">
        <v>76</v>
      </c>
      <c r="R915" s="81" t="s">
        <v>129</v>
      </c>
      <c r="S915" s="1">
        <v>3</v>
      </c>
      <c r="T915" s="1" t="s">
        <v>120</v>
      </c>
      <c r="U915" s="1" t="s">
        <v>659</v>
      </c>
      <c r="V915" s="1" t="s">
        <v>655</v>
      </c>
      <c r="W915" s="1">
        <v>41</v>
      </c>
      <c r="X915" s="1" t="s">
        <v>472</v>
      </c>
      <c r="Y915" s="1" t="s">
        <v>644</v>
      </c>
      <c r="Z915" s="1">
        <v>1E-3</v>
      </c>
      <c r="AA915" s="1">
        <v>3.0000000000000001E-3</v>
      </c>
      <c r="AB915" s="1">
        <v>2E-3</v>
      </c>
      <c r="AC915" s="1">
        <v>0.01</v>
      </c>
      <c r="AD915" s="1">
        <v>3.0000000000000001E-3</v>
      </c>
      <c r="AE915" s="1">
        <v>2E-3</v>
      </c>
      <c r="AF915" s="1">
        <v>2E-3</v>
      </c>
      <c r="AG915" s="1">
        <v>8.9999999999999993E-3</v>
      </c>
      <c r="AH915" s="1">
        <v>6.0000000000000001E-3</v>
      </c>
      <c r="AI915" s="1">
        <v>1E-3</v>
      </c>
      <c r="AJ915" s="1">
        <v>2E-3</v>
      </c>
      <c r="AK915" s="1">
        <v>4.0000000000000001E-3</v>
      </c>
      <c r="AL915" s="1">
        <v>4.0000000000000001E-3</v>
      </c>
      <c r="AM915" s="1">
        <v>0</v>
      </c>
      <c r="AN915" s="1">
        <v>2E-3</v>
      </c>
      <c r="AO915" s="1">
        <v>4.0000000000000001E-3</v>
      </c>
      <c r="AP915" s="1">
        <v>2E-3</v>
      </c>
      <c r="AQ915" s="1">
        <v>2E-3</v>
      </c>
      <c r="AR915" s="1">
        <v>1E-3</v>
      </c>
      <c r="AS915" s="1">
        <v>7.0000000000000001E-3</v>
      </c>
      <c r="AT915" s="1">
        <v>7.0000000000000001E-3</v>
      </c>
      <c r="AU915" s="1">
        <v>2E-3</v>
      </c>
      <c r="AV915" s="1">
        <v>2E-3</v>
      </c>
      <c r="AW915" s="1">
        <v>8.0000000000000002E-3</v>
      </c>
      <c r="AX915" s="1">
        <v>2E-3</v>
      </c>
      <c r="AY915" s="1">
        <v>0.59799999999999998</v>
      </c>
      <c r="AZ915" s="1">
        <v>2.3E-2</v>
      </c>
      <c r="BA915" s="1">
        <v>1.9E-2</v>
      </c>
      <c r="BB915" s="1">
        <v>2E-3</v>
      </c>
      <c r="BC915" s="1">
        <v>1E-3</v>
      </c>
      <c r="BD915" s="1">
        <v>0.01</v>
      </c>
      <c r="BE915" s="1">
        <v>2E-3</v>
      </c>
      <c r="BF915" s="1">
        <v>1E-3</v>
      </c>
      <c r="BG915" s="1">
        <v>3.0000000000000001E-3</v>
      </c>
      <c r="BH915" s="1">
        <v>2E-3</v>
      </c>
      <c r="BI915" s="1">
        <v>3.0000000000000001E-3</v>
      </c>
      <c r="BJ915" s="1">
        <v>1E-3</v>
      </c>
      <c r="BK915" s="1">
        <v>2E-3</v>
      </c>
      <c r="BL915" s="1">
        <v>0.01</v>
      </c>
      <c r="BM915" s="1">
        <v>3.0000000000000001E-3</v>
      </c>
      <c r="BN915" s="1">
        <v>6.0000000000000001E-3</v>
      </c>
      <c r="BO915" s="1">
        <v>1E-3</v>
      </c>
      <c r="BP915" s="1">
        <v>1E-3</v>
      </c>
      <c r="BQ915" s="1">
        <v>0.04</v>
      </c>
      <c r="BR915" s="1">
        <v>2E-3</v>
      </c>
      <c r="BS915" s="1">
        <v>2E-3</v>
      </c>
      <c r="BT915" s="1">
        <v>1E-3</v>
      </c>
      <c r="BU915" s="1">
        <v>2E-3</v>
      </c>
      <c r="BV915" s="1">
        <v>3.0000000000000001E-3</v>
      </c>
      <c r="BW915" s="1">
        <v>0.01</v>
      </c>
      <c r="BX915" s="1">
        <v>5.0000000000000001E-3</v>
      </c>
      <c r="BY915" s="1">
        <v>8.9999999999999993E-3</v>
      </c>
      <c r="BZ915" s="1">
        <v>0.01</v>
      </c>
      <c r="CA915" s="1">
        <v>3.0000000000000001E-3</v>
      </c>
      <c r="CB915" s="1">
        <v>2E-3</v>
      </c>
      <c r="CC915" s="1">
        <v>0.01</v>
      </c>
      <c r="CD915" s="1">
        <v>1.4E-2</v>
      </c>
      <c r="CE915" s="1">
        <v>3.0000000000000001E-3</v>
      </c>
      <c r="CF915" s="1">
        <v>3.0000000000000001E-3</v>
      </c>
      <c r="CG915" s="1">
        <v>3.3000000000000002E-2</v>
      </c>
      <c r="CH915" s="1">
        <v>7.0000000000000001E-3</v>
      </c>
      <c r="CI915" s="1">
        <v>4.0000000000000001E-3</v>
      </c>
      <c r="CJ915" s="1">
        <v>2.1000000000000001E-2</v>
      </c>
      <c r="CK915" s="1">
        <v>1.9E-2</v>
      </c>
      <c r="CL915" s="1">
        <v>1.9E-2</v>
      </c>
      <c r="CM915" s="1">
        <v>-50.578233689999998</v>
      </c>
      <c r="CN915" s="83">
        <v>52.244805620000001</v>
      </c>
    </row>
    <row r="916" spans="1:92" s="3" customFormat="1" hidden="1" x14ac:dyDescent="0.25">
      <c r="A916" s="72">
        <v>959</v>
      </c>
      <c r="B916" s="81" t="s">
        <v>1691</v>
      </c>
      <c r="C916" s="1" t="s">
        <v>83</v>
      </c>
      <c r="D916" s="1" t="s">
        <v>301</v>
      </c>
      <c r="E916" s="1" t="s">
        <v>74</v>
      </c>
      <c r="F916" s="1" t="s">
        <v>301</v>
      </c>
      <c r="G916" s="1" t="s">
        <v>76</v>
      </c>
      <c r="H916" s="1" t="s">
        <v>537</v>
      </c>
      <c r="I916" s="1"/>
      <c r="J916" s="9" t="s">
        <v>544</v>
      </c>
      <c r="K916" s="10">
        <v>0.295232833333334</v>
      </c>
      <c r="L916" s="1" t="s">
        <v>76</v>
      </c>
      <c r="M916" s="1" t="s">
        <v>506</v>
      </c>
      <c r="N916" s="1" t="s">
        <v>645</v>
      </c>
      <c r="O916" s="1" t="s">
        <v>21</v>
      </c>
      <c r="P916" s="82">
        <v>0.97</v>
      </c>
      <c r="Q916" s="1" t="s">
        <v>76</v>
      </c>
      <c r="R916" s="81" t="s">
        <v>269</v>
      </c>
      <c r="S916" s="1" t="s">
        <v>76</v>
      </c>
      <c r="T916" s="1" t="s">
        <v>269</v>
      </c>
      <c r="U916" s="1" t="s">
        <v>76</v>
      </c>
      <c r="V916" s="1" t="s">
        <v>656</v>
      </c>
      <c r="W916" s="1" t="s">
        <v>269</v>
      </c>
      <c r="X916" s="1" t="s">
        <v>76</v>
      </c>
      <c r="Y916" s="1" t="s">
        <v>645</v>
      </c>
      <c r="Z916" s="1">
        <v>0</v>
      </c>
      <c r="AA916" s="1">
        <v>0</v>
      </c>
      <c r="AB916" s="1">
        <v>0</v>
      </c>
      <c r="AC916" s="1">
        <v>2E-3</v>
      </c>
      <c r="AD916" s="1">
        <v>0</v>
      </c>
      <c r="AE916" s="1">
        <v>0</v>
      </c>
      <c r="AF916" s="1">
        <v>0</v>
      </c>
      <c r="AG916" s="1">
        <v>0</v>
      </c>
      <c r="AH916" s="1">
        <v>1E-3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0.97</v>
      </c>
      <c r="AQ916" s="1">
        <v>0</v>
      </c>
      <c r="AR916" s="1">
        <v>0</v>
      </c>
      <c r="AS916" s="1">
        <v>1E-3</v>
      </c>
      <c r="AT916" s="1">
        <v>1E-3</v>
      </c>
      <c r="AU916" s="1">
        <v>0</v>
      </c>
      <c r="AV916" s="1">
        <v>0</v>
      </c>
      <c r="AW916" s="1">
        <v>1E-3</v>
      </c>
      <c r="AX916" s="1">
        <v>0</v>
      </c>
      <c r="AY916" s="1">
        <v>1E-3</v>
      </c>
      <c r="AZ916" s="1">
        <v>0</v>
      </c>
      <c r="BA916" s="1">
        <v>1E-3</v>
      </c>
      <c r="BB916" s="1">
        <v>0</v>
      </c>
      <c r="BC916" s="1">
        <v>0</v>
      </c>
      <c r="BD916" s="1">
        <v>1E-3</v>
      </c>
      <c r="BE916" s="1">
        <v>0</v>
      </c>
      <c r="BF916" s="1">
        <v>0</v>
      </c>
      <c r="BG916" s="1">
        <v>0</v>
      </c>
      <c r="BH916" s="1">
        <v>5.0000000000000001E-3</v>
      </c>
      <c r="BI916" s="1">
        <v>0</v>
      </c>
      <c r="BJ916" s="1">
        <v>0</v>
      </c>
      <c r="BK916" s="1">
        <v>0</v>
      </c>
      <c r="BL916" s="1">
        <v>1E-3</v>
      </c>
      <c r="BM916" s="1">
        <v>0</v>
      </c>
      <c r="BN916" s="1">
        <v>0</v>
      </c>
      <c r="BO916" s="1">
        <v>0</v>
      </c>
      <c r="BP916" s="1">
        <v>0</v>
      </c>
      <c r="BQ916" s="1">
        <v>1E-3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1E-3</v>
      </c>
      <c r="BY916" s="1">
        <v>1E-3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1E-3</v>
      </c>
      <c r="CI916" s="1">
        <v>1E-3</v>
      </c>
      <c r="CJ916" s="1">
        <v>1E-3</v>
      </c>
      <c r="CK916" s="1">
        <v>2E-3</v>
      </c>
      <c r="CL916" s="1">
        <v>0</v>
      </c>
      <c r="CM916" s="1">
        <v>-56.832243380000001</v>
      </c>
      <c r="CN916" s="83">
        <v>-77.977454989999998</v>
      </c>
    </row>
    <row r="917" spans="1:92" s="3" customFormat="1" x14ac:dyDescent="0.25">
      <c r="A917" s="72">
        <v>863</v>
      </c>
      <c r="B917" s="81" t="s">
        <v>1644</v>
      </c>
      <c r="C917" s="1" t="s">
        <v>83</v>
      </c>
      <c r="D917" s="1" t="s">
        <v>73</v>
      </c>
      <c r="E917" s="1" t="s">
        <v>99</v>
      </c>
      <c r="F917" s="1" t="s">
        <v>211</v>
      </c>
      <c r="G917" s="1" t="s">
        <v>76</v>
      </c>
      <c r="H917" s="1" t="s">
        <v>212</v>
      </c>
      <c r="I917" s="1"/>
      <c r="J917" s="9" t="s">
        <v>544</v>
      </c>
      <c r="K917" s="10">
        <v>0.39220783333333298</v>
      </c>
      <c r="L917" s="1" t="s">
        <v>640</v>
      </c>
      <c r="M917" s="1" t="s">
        <v>506</v>
      </c>
      <c r="N917" s="1" t="s">
        <v>647</v>
      </c>
      <c r="O917" s="1" t="s">
        <v>69</v>
      </c>
      <c r="P917" s="82">
        <v>0.99399999999999999</v>
      </c>
      <c r="Q917" s="1" t="s">
        <v>76</v>
      </c>
      <c r="R917" s="81" t="s">
        <v>254</v>
      </c>
      <c r="S917" s="1">
        <v>3</v>
      </c>
      <c r="T917" s="1" t="s">
        <v>120</v>
      </c>
      <c r="U917" s="1" t="s">
        <v>658</v>
      </c>
      <c r="V917" s="1" t="s">
        <v>655</v>
      </c>
      <c r="W917" s="1">
        <v>52</v>
      </c>
      <c r="X917" s="1" t="s">
        <v>76</v>
      </c>
      <c r="Y917" s="1" t="s">
        <v>647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1E-3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3.0000000000000001E-3</v>
      </c>
      <c r="CL917" s="1">
        <v>0.99399999999999999</v>
      </c>
      <c r="CM917" s="1">
        <v>3.6926660830000002</v>
      </c>
      <c r="CN917" s="83">
        <v>-72.686285240000004</v>
      </c>
    </row>
    <row r="918" spans="1:92" s="3" customFormat="1" x14ac:dyDescent="0.25">
      <c r="A918" s="72">
        <v>961</v>
      </c>
      <c r="B918" s="81" t="s">
        <v>803</v>
      </c>
      <c r="C918" s="1" t="s">
        <v>83</v>
      </c>
      <c r="D918" s="1" t="s">
        <v>79</v>
      </c>
      <c r="E918" s="1" t="s">
        <v>74</v>
      </c>
      <c r="F918" s="1" t="s">
        <v>665</v>
      </c>
      <c r="G918" s="1" t="s">
        <v>98</v>
      </c>
      <c r="H918" s="1" t="s">
        <v>48</v>
      </c>
      <c r="I918" s="1"/>
      <c r="J918" s="9" t="s">
        <v>544</v>
      </c>
      <c r="K918" s="10">
        <v>0.3707355</v>
      </c>
      <c r="L918" s="1" t="s">
        <v>641</v>
      </c>
      <c r="M918" s="1" t="s">
        <v>76</v>
      </c>
      <c r="N918" s="1" t="s">
        <v>644</v>
      </c>
      <c r="O918" s="1" t="s">
        <v>68</v>
      </c>
      <c r="P918" s="82">
        <v>7.5999999999999998E-2</v>
      </c>
      <c r="Q918" s="1" t="s">
        <v>76</v>
      </c>
      <c r="R918" s="81" t="s">
        <v>129</v>
      </c>
      <c r="S918" s="1">
        <v>1</v>
      </c>
      <c r="T918" s="1" t="s">
        <v>120</v>
      </c>
      <c r="U918" s="1" t="s">
        <v>658</v>
      </c>
      <c r="V918" s="1" t="s">
        <v>655</v>
      </c>
      <c r="W918" s="1">
        <v>36</v>
      </c>
      <c r="X918" s="1" t="s">
        <v>1796</v>
      </c>
      <c r="Y918" s="1" t="s">
        <v>644</v>
      </c>
      <c r="Z918" s="1">
        <v>3.0000000000000001E-3</v>
      </c>
      <c r="AA918" s="1">
        <v>6.0000000000000001E-3</v>
      </c>
      <c r="AB918" s="1">
        <v>1.0999999999999999E-2</v>
      </c>
      <c r="AC918" s="1">
        <v>4.2000000000000003E-2</v>
      </c>
      <c r="AD918" s="1">
        <v>8.9999999999999993E-3</v>
      </c>
      <c r="AE918" s="1">
        <v>5.0000000000000001E-3</v>
      </c>
      <c r="AF918" s="1">
        <v>4.4999999999999998E-2</v>
      </c>
      <c r="AG918" s="1">
        <v>1E-3</v>
      </c>
      <c r="AH918" s="1">
        <v>0.02</v>
      </c>
      <c r="AI918" s="1">
        <v>3.0000000000000001E-3</v>
      </c>
      <c r="AJ918" s="1">
        <v>4.0000000000000001E-3</v>
      </c>
      <c r="AK918" s="1">
        <v>3.3000000000000002E-2</v>
      </c>
      <c r="AL918" s="1">
        <v>2E-3</v>
      </c>
      <c r="AM918" s="1">
        <v>4.0000000000000001E-3</v>
      </c>
      <c r="AN918" s="1">
        <v>6.0000000000000001E-3</v>
      </c>
      <c r="AO918" s="1">
        <v>7.0000000000000001E-3</v>
      </c>
      <c r="AP918" s="1">
        <v>5.0000000000000001E-3</v>
      </c>
      <c r="AQ918" s="1">
        <v>4.0000000000000001E-3</v>
      </c>
      <c r="AR918" s="1">
        <v>4.0000000000000001E-3</v>
      </c>
      <c r="AS918" s="1">
        <v>3.1E-2</v>
      </c>
      <c r="AT918" s="1">
        <v>1.4999999999999999E-2</v>
      </c>
      <c r="AU918" s="1">
        <v>6.0000000000000001E-3</v>
      </c>
      <c r="AV918" s="1">
        <v>5.0000000000000001E-3</v>
      </c>
      <c r="AW918" s="1">
        <v>0.01</v>
      </c>
      <c r="AX918" s="1">
        <v>6.0000000000000001E-3</v>
      </c>
      <c r="AY918" s="1">
        <v>1.0999999999999999E-2</v>
      </c>
      <c r="AZ918" s="1">
        <v>0.02</v>
      </c>
      <c r="BA918" s="1">
        <v>2.5999999999999999E-2</v>
      </c>
      <c r="BB918" s="1">
        <v>5.0000000000000001E-3</v>
      </c>
      <c r="BC918" s="1">
        <v>4.0000000000000001E-3</v>
      </c>
      <c r="BD918" s="1">
        <v>3.5999999999999997E-2</v>
      </c>
      <c r="BE918" s="1">
        <v>7.0000000000000001E-3</v>
      </c>
      <c r="BF918" s="1">
        <v>3.0000000000000001E-3</v>
      </c>
      <c r="BG918" s="1">
        <v>7.0000000000000001E-3</v>
      </c>
      <c r="BH918" s="1">
        <v>5.0000000000000001E-3</v>
      </c>
      <c r="BI918" s="1">
        <v>5.0000000000000001E-3</v>
      </c>
      <c r="BJ918" s="1">
        <v>4.0000000000000001E-3</v>
      </c>
      <c r="BK918" s="1">
        <v>4.0000000000000001E-3</v>
      </c>
      <c r="BL918" s="1">
        <v>1.2E-2</v>
      </c>
      <c r="BM918" s="1">
        <v>1.2999999999999999E-2</v>
      </c>
      <c r="BN918" s="1">
        <v>2.4E-2</v>
      </c>
      <c r="BO918" s="1">
        <v>3.0000000000000001E-3</v>
      </c>
      <c r="BP918" s="1">
        <v>2E-3</v>
      </c>
      <c r="BQ918" s="1">
        <v>2.1999999999999999E-2</v>
      </c>
      <c r="BR918" s="1">
        <v>6.0000000000000001E-3</v>
      </c>
      <c r="BS918" s="1">
        <v>4.0000000000000001E-3</v>
      </c>
      <c r="BT918" s="1">
        <v>1.7999999999999999E-2</v>
      </c>
      <c r="BU918" s="1">
        <v>3.2000000000000001E-2</v>
      </c>
      <c r="BV918" s="1">
        <v>4.0000000000000001E-3</v>
      </c>
      <c r="BW918" s="1">
        <v>7.0000000000000001E-3</v>
      </c>
      <c r="BX918" s="1">
        <v>1.2999999999999999E-2</v>
      </c>
      <c r="BY918" s="1">
        <v>2.7E-2</v>
      </c>
      <c r="BZ918" s="1">
        <v>2.1000000000000001E-2</v>
      </c>
      <c r="CA918" s="1">
        <v>2.3E-2</v>
      </c>
      <c r="CB918" s="1">
        <v>8.0000000000000002E-3</v>
      </c>
      <c r="CC918" s="1">
        <v>0.02</v>
      </c>
      <c r="CD918" s="1">
        <v>1E-3</v>
      </c>
      <c r="CE918" s="1">
        <v>5.0000000000000001E-3</v>
      </c>
      <c r="CF918" s="1">
        <v>8.0000000000000002E-3</v>
      </c>
      <c r="CG918" s="1">
        <v>3.5000000000000003E-2</v>
      </c>
      <c r="CH918" s="1">
        <v>1.2E-2</v>
      </c>
      <c r="CI918" s="1">
        <v>7.3999999999999996E-2</v>
      </c>
      <c r="CJ918" s="1">
        <v>3.4000000000000002E-2</v>
      </c>
      <c r="CK918" s="1">
        <v>7.5999999999999998E-2</v>
      </c>
      <c r="CL918" s="1">
        <v>7.1999999999999995E-2</v>
      </c>
      <c r="CM918" s="1">
        <v>-50.861222939999998</v>
      </c>
      <c r="CN918" s="83">
        <v>-18.9113361</v>
      </c>
    </row>
    <row r="919" spans="1:92" s="3" customFormat="1" x14ac:dyDescent="0.25">
      <c r="A919" s="72">
        <v>962</v>
      </c>
      <c r="B919" s="81" t="s">
        <v>797</v>
      </c>
      <c r="C919" s="1" t="s">
        <v>83</v>
      </c>
      <c r="D919" s="1" t="s">
        <v>79</v>
      </c>
      <c r="E919" s="1" t="s">
        <v>99</v>
      </c>
      <c r="F919" s="1" t="s">
        <v>665</v>
      </c>
      <c r="G919" s="1" t="s">
        <v>98</v>
      </c>
      <c r="H919" s="1" t="s">
        <v>48</v>
      </c>
      <c r="I919" s="1"/>
      <c r="J919" s="9" t="s">
        <v>544</v>
      </c>
      <c r="K919" s="10">
        <v>0.65067916666666503</v>
      </c>
      <c r="L919" s="1" t="s">
        <v>76</v>
      </c>
      <c r="M919" s="1" t="s">
        <v>506</v>
      </c>
      <c r="N919" s="1" t="s">
        <v>645</v>
      </c>
      <c r="O919" s="1" t="s">
        <v>48</v>
      </c>
      <c r="P919" s="82">
        <v>1</v>
      </c>
      <c r="Q919" s="1" t="s">
        <v>76</v>
      </c>
      <c r="R919" s="81" t="s">
        <v>129</v>
      </c>
      <c r="S919" s="1">
        <v>3</v>
      </c>
      <c r="T919" s="1" t="s">
        <v>120</v>
      </c>
      <c r="U919" s="1" t="s">
        <v>658</v>
      </c>
      <c r="V919" s="1" t="s">
        <v>655</v>
      </c>
      <c r="W919" s="1">
        <v>17</v>
      </c>
      <c r="X919" s="1" t="s">
        <v>1792</v>
      </c>
      <c r="Y919" s="1" t="s">
        <v>645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1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-63.998540329999997</v>
      </c>
      <c r="CN919" s="83">
        <v>52.920722959999999</v>
      </c>
    </row>
    <row r="920" spans="1:92" s="3" customFormat="1" x14ac:dyDescent="0.25">
      <c r="A920" s="72">
        <v>963</v>
      </c>
      <c r="B920" s="81" t="s">
        <v>744</v>
      </c>
      <c r="C920" s="1" t="s">
        <v>83</v>
      </c>
      <c r="D920" s="1" t="s">
        <v>79</v>
      </c>
      <c r="E920" s="1" t="s">
        <v>74</v>
      </c>
      <c r="F920" s="1" t="s">
        <v>665</v>
      </c>
      <c r="G920" s="1" t="s">
        <v>98</v>
      </c>
      <c r="H920" s="1" t="s">
        <v>48</v>
      </c>
      <c r="I920" s="1"/>
      <c r="J920" s="9" t="s">
        <v>544</v>
      </c>
      <c r="K920" s="10">
        <v>0.61939499999999903</v>
      </c>
      <c r="L920" s="1" t="s">
        <v>76</v>
      </c>
      <c r="M920" s="1" t="s">
        <v>506</v>
      </c>
      <c r="N920" s="1" t="s">
        <v>645</v>
      </c>
      <c r="O920" s="1" t="s">
        <v>48</v>
      </c>
      <c r="P920" s="82">
        <v>0.98599999999999999</v>
      </c>
      <c r="Q920" s="1" t="s">
        <v>76</v>
      </c>
      <c r="R920" s="81" t="s">
        <v>392</v>
      </c>
      <c r="S920" s="1">
        <v>3</v>
      </c>
      <c r="T920" s="1" t="s">
        <v>120</v>
      </c>
      <c r="U920" s="1" t="s">
        <v>659</v>
      </c>
      <c r="V920" s="1" t="s">
        <v>655</v>
      </c>
      <c r="W920" s="1">
        <v>19</v>
      </c>
      <c r="X920" s="1" t="s">
        <v>473</v>
      </c>
      <c r="Y920" s="1" t="s">
        <v>645</v>
      </c>
      <c r="Z920" s="1">
        <v>0</v>
      </c>
      <c r="AA920" s="1">
        <v>0</v>
      </c>
      <c r="AB920" s="1">
        <v>0</v>
      </c>
      <c r="AC920" s="1">
        <v>1E-3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1E-3</v>
      </c>
      <c r="BB920" s="1">
        <v>0</v>
      </c>
      <c r="BC920" s="1">
        <v>0</v>
      </c>
      <c r="BD920" s="1">
        <v>1E-3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0.98599999999999999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1E-3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1E-3</v>
      </c>
      <c r="CK920" s="1">
        <v>0</v>
      </c>
      <c r="CL920" s="1">
        <v>1E-3</v>
      </c>
      <c r="CM920" s="1">
        <v>-63.185000850000002</v>
      </c>
      <c r="CN920" s="83">
        <v>49.006997869999999</v>
      </c>
    </row>
    <row r="921" spans="1:92" s="3" customFormat="1" x14ac:dyDescent="0.25">
      <c r="A921" s="72">
        <v>964</v>
      </c>
      <c r="B921" s="81" t="s">
        <v>741</v>
      </c>
      <c r="C921" s="1" t="s">
        <v>83</v>
      </c>
      <c r="D921" s="1" t="s">
        <v>79</v>
      </c>
      <c r="E921" s="1" t="s">
        <v>74</v>
      </c>
      <c r="F921" s="1" t="s">
        <v>559</v>
      </c>
      <c r="G921" s="1" t="s">
        <v>98</v>
      </c>
      <c r="H921" s="1" t="s">
        <v>562</v>
      </c>
      <c r="I921" s="1" t="s">
        <v>48</v>
      </c>
      <c r="J921" s="9" t="s">
        <v>544</v>
      </c>
      <c r="K921" s="10">
        <v>0.488039</v>
      </c>
      <c r="L921" s="1" t="s">
        <v>580</v>
      </c>
      <c r="M921" s="1" t="s">
        <v>544</v>
      </c>
      <c r="N921" s="1" t="s">
        <v>646</v>
      </c>
      <c r="O921" s="1" t="s">
        <v>62</v>
      </c>
      <c r="P921" s="82">
        <v>0.999</v>
      </c>
      <c r="Q921" s="1" t="s">
        <v>76</v>
      </c>
      <c r="R921" s="81" t="s">
        <v>171</v>
      </c>
      <c r="S921" s="1">
        <v>3</v>
      </c>
      <c r="T921" s="1" t="s">
        <v>120</v>
      </c>
      <c r="U921" s="1" t="s">
        <v>658</v>
      </c>
      <c r="V921" s="1" t="s">
        <v>655</v>
      </c>
      <c r="W921" s="1">
        <v>29</v>
      </c>
      <c r="X921" s="1" t="s">
        <v>474</v>
      </c>
      <c r="Y921" s="1" t="s">
        <v>646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0.999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-55.161269400000002</v>
      </c>
      <c r="CN921" s="83">
        <v>21.62196509</v>
      </c>
    </row>
    <row r="922" spans="1:92" s="3" customFormat="1" x14ac:dyDescent="0.25">
      <c r="A922" s="72">
        <v>965</v>
      </c>
      <c r="B922" s="81" t="s">
        <v>749</v>
      </c>
      <c r="C922" s="1" t="s">
        <v>83</v>
      </c>
      <c r="D922" s="1" t="s">
        <v>79</v>
      </c>
      <c r="E922" s="1" t="s">
        <v>99</v>
      </c>
      <c r="F922" s="1" t="s">
        <v>560</v>
      </c>
      <c r="G922" s="1" t="s">
        <v>226</v>
      </c>
      <c r="H922" s="1" t="s">
        <v>563</v>
      </c>
      <c r="I922" s="1" t="s">
        <v>48</v>
      </c>
      <c r="J922" s="9" t="s">
        <v>544</v>
      </c>
      <c r="K922" s="10">
        <v>0.62401166666666597</v>
      </c>
      <c r="L922" s="1" t="s">
        <v>581</v>
      </c>
      <c r="M922" s="1" t="s">
        <v>544</v>
      </c>
      <c r="N922" s="1" t="s">
        <v>646</v>
      </c>
      <c r="O922" s="1" t="s">
        <v>61</v>
      </c>
      <c r="P922" s="82">
        <v>1</v>
      </c>
      <c r="Q922" s="1" t="s">
        <v>76</v>
      </c>
      <c r="R922" s="81" t="s">
        <v>178</v>
      </c>
      <c r="S922" s="1">
        <v>3</v>
      </c>
      <c r="T922" s="1" t="s">
        <v>120</v>
      </c>
      <c r="U922" s="1" t="s">
        <v>659</v>
      </c>
      <c r="V922" s="1" t="s">
        <v>655</v>
      </c>
      <c r="W922" s="1">
        <v>14</v>
      </c>
      <c r="X922" s="1" t="s">
        <v>475</v>
      </c>
      <c r="Y922" s="1" t="s">
        <v>646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1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-45.895095920000003</v>
      </c>
      <c r="CN922" s="83">
        <v>52.793035019999998</v>
      </c>
    </row>
    <row r="923" spans="1:92" s="3" customFormat="1" x14ac:dyDescent="0.25">
      <c r="A923" s="72">
        <v>966</v>
      </c>
      <c r="B923" s="81" t="s">
        <v>727</v>
      </c>
      <c r="C923" s="1" t="s">
        <v>83</v>
      </c>
      <c r="D923" s="1" t="s">
        <v>79</v>
      </c>
      <c r="E923" s="1" t="s">
        <v>99</v>
      </c>
      <c r="F923" s="1" t="s">
        <v>665</v>
      </c>
      <c r="G923" s="1" t="s">
        <v>98</v>
      </c>
      <c r="H923" s="1" t="s">
        <v>48</v>
      </c>
      <c r="I923" s="1"/>
      <c r="J923" s="9" t="s">
        <v>544</v>
      </c>
      <c r="K923" s="10">
        <v>0.60842633333333396</v>
      </c>
      <c r="L923" s="1" t="s">
        <v>641</v>
      </c>
      <c r="M923" s="1" t="s">
        <v>76</v>
      </c>
      <c r="N923" s="1" t="s">
        <v>649</v>
      </c>
      <c r="O923" s="1" t="s">
        <v>59</v>
      </c>
      <c r="P923" s="82">
        <v>0.188</v>
      </c>
      <c r="Q923" s="1" t="s">
        <v>76</v>
      </c>
      <c r="R923" s="81" t="s">
        <v>336</v>
      </c>
      <c r="S923" s="1">
        <v>3</v>
      </c>
      <c r="T923" s="1" t="s">
        <v>120</v>
      </c>
      <c r="U923" s="1" t="s">
        <v>658</v>
      </c>
      <c r="V923" s="1" t="s">
        <v>655</v>
      </c>
      <c r="W923" s="1">
        <v>34</v>
      </c>
      <c r="X923" s="1" t="s">
        <v>477</v>
      </c>
      <c r="Y923" s="1" t="s">
        <v>649</v>
      </c>
      <c r="Z923" s="1">
        <v>2E-3</v>
      </c>
      <c r="AA923" s="1">
        <v>4.0000000000000001E-3</v>
      </c>
      <c r="AB923" s="1">
        <v>3.0000000000000001E-3</v>
      </c>
      <c r="AC923" s="1">
        <v>4.9000000000000002E-2</v>
      </c>
      <c r="AD923" s="1">
        <v>4.0000000000000001E-3</v>
      </c>
      <c r="AE923" s="1">
        <v>3.0000000000000001E-3</v>
      </c>
      <c r="AF923" s="1">
        <v>6.0000000000000001E-3</v>
      </c>
      <c r="AG923" s="1">
        <v>0</v>
      </c>
      <c r="AH923" s="1">
        <v>1.2E-2</v>
      </c>
      <c r="AI923" s="1">
        <v>5.0000000000000001E-3</v>
      </c>
      <c r="AJ923" s="1">
        <v>3.0000000000000001E-3</v>
      </c>
      <c r="AK923" s="1">
        <v>5.0000000000000001E-3</v>
      </c>
      <c r="AL923" s="1">
        <v>3.0000000000000001E-3</v>
      </c>
      <c r="AM923" s="1">
        <v>2E-3</v>
      </c>
      <c r="AN923" s="1">
        <v>4.0000000000000001E-3</v>
      </c>
      <c r="AO923" s="1">
        <v>3.0000000000000001E-3</v>
      </c>
      <c r="AP923" s="1">
        <v>3.0000000000000001E-3</v>
      </c>
      <c r="AQ923" s="1">
        <v>2E-3</v>
      </c>
      <c r="AR923" s="1">
        <v>3.0000000000000001E-3</v>
      </c>
      <c r="AS923" s="1">
        <v>2.5000000000000001E-2</v>
      </c>
      <c r="AT923" s="1">
        <v>8.9999999999999993E-3</v>
      </c>
      <c r="AU923" s="1">
        <v>4.0000000000000001E-3</v>
      </c>
      <c r="AV923" s="1">
        <v>3.0000000000000001E-3</v>
      </c>
      <c r="AW923" s="1">
        <v>1.9E-2</v>
      </c>
      <c r="AX923" s="1">
        <v>5.0000000000000001E-3</v>
      </c>
      <c r="AY923" s="1">
        <v>1.4E-2</v>
      </c>
      <c r="AZ923" s="1">
        <v>0.01</v>
      </c>
      <c r="BA923" s="1">
        <v>1.4999999999999999E-2</v>
      </c>
      <c r="BB923" s="1">
        <v>3.0000000000000001E-3</v>
      </c>
      <c r="BC923" s="1">
        <v>2E-3</v>
      </c>
      <c r="BD923" s="1">
        <v>1.7999999999999999E-2</v>
      </c>
      <c r="BE923" s="1">
        <v>1.7999999999999999E-2</v>
      </c>
      <c r="BF923" s="1">
        <v>2E-3</v>
      </c>
      <c r="BG923" s="1">
        <v>1E-3</v>
      </c>
      <c r="BH923" s="1">
        <v>3.0000000000000001E-3</v>
      </c>
      <c r="BI923" s="1">
        <v>3.0000000000000001E-3</v>
      </c>
      <c r="BJ923" s="1">
        <v>2E-3</v>
      </c>
      <c r="BK923" s="1">
        <v>2E-3</v>
      </c>
      <c r="BL923" s="1">
        <v>0.03</v>
      </c>
      <c r="BM923" s="1">
        <v>6.0000000000000001E-3</v>
      </c>
      <c r="BN923" s="1">
        <v>4.8000000000000001E-2</v>
      </c>
      <c r="BO923" s="1">
        <v>2E-3</v>
      </c>
      <c r="BP923" s="1">
        <v>1E-3</v>
      </c>
      <c r="BQ923" s="1">
        <v>8.2000000000000003E-2</v>
      </c>
      <c r="BR923" s="1">
        <v>4.1000000000000002E-2</v>
      </c>
      <c r="BS923" s="1">
        <v>2E-3</v>
      </c>
      <c r="BT923" s="1">
        <v>2E-3</v>
      </c>
      <c r="BU923" s="1">
        <v>4.0000000000000001E-3</v>
      </c>
      <c r="BV923" s="1">
        <v>3.0000000000000001E-3</v>
      </c>
      <c r="BW923" s="1">
        <v>5.0000000000000001E-3</v>
      </c>
      <c r="BX923" s="1">
        <v>1.4E-2</v>
      </c>
      <c r="BY923" s="1">
        <v>8.0000000000000002E-3</v>
      </c>
      <c r="BZ923" s="1">
        <v>3.5000000000000003E-2</v>
      </c>
      <c r="CA923" s="1">
        <v>5.0000000000000001E-3</v>
      </c>
      <c r="CB923" s="1">
        <v>0.188</v>
      </c>
      <c r="CC923" s="1">
        <v>3.3000000000000002E-2</v>
      </c>
      <c r="CD923" s="1">
        <v>1E-3</v>
      </c>
      <c r="CE923" s="1">
        <v>4.0000000000000001E-3</v>
      </c>
      <c r="CF923" s="1">
        <v>3.0000000000000001E-3</v>
      </c>
      <c r="CG923" s="1">
        <v>1.7000000000000001E-2</v>
      </c>
      <c r="CH923" s="1">
        <v>6.0000000000000001E-3</v>
      </c>
      <c r="CI923" s="1">
        <v>5.0000000000000001E-3</v>
      </c>
      <c r="CJ923" s="1">
        <v>4.3999999999999997E-2</v>
      </c>
      <c r="CK923" s="1">
        <v>8.5000000000000006E-2</v>
      </c>
      <c r="CL923" s="1">
        <v>5.3999999999999999E-2</v>
      </c>
      <c r="CM923" s="1">
        <v>-52.374364540000002</v>
      </c>
      <c r="CN923" s="83">
        <v>43.453083069999998</v>
      </c>
    </row>
    <row r="924" spans="1:92" s="3" customFormat="1" hidden="1" x14ac:dyDescent="0.25">
      <c r="A924" s="72">
        <v>967</v>
      </c>
      <c r="B924" s="81" t="s">
        <v>1692</v>
      </c>
      <c r="C924" s="1" t="s">
        <v>83</v>
      </c>
      <c r="D924" s="1" t="s">
        <v>301</v>
      </c>
      <c r="E924" s="1" t="s">
        <v>99</v>
      </c>
      <c r="F924" s="1" t="s">
        <v>301</v>
      </c>
      <c r="G924" s="1" t="s">
        <v>76</v>
      </c>
      <c r="H924" s="1" t="s">
        <v>537</v>
      </c>
      <c r="I924" s="1"/>
      <c r="J924" s="9" t="s">
        <v>544</v>
      </c>
      <c r="K924" s="10">
        <v>0.29628000000000099</v>
      </c>
      <c r="L924" s="1" t="s">
        <v>76</v>
      </c>
      <c r="M924" s="1" t="s">
        <v>506</v>
      </c>
      <c r="N924" s="1" t="s">
        <v>645</v>
      </c>
      <c r="O924" s="1" t="s">
        <v>21</v>
      </c>
      <c r="P924" s="82">
        <v>0.95899999999999996</v>
      </c>
      <c r="Q924" s="1" t="s">
        <v>76</v>
      </c>
      <c r="R924" s="81" t="s">
        <v>269</v>
      </c>
      <c r="S924" s="1" t="s">
        <v>76</v>
      </c>
      <c r="T924" s="1" t="s">
        <v>269</v>
      </c>
      <c r="U924" s="1" t="s">
        <v>76</v>
      </c>
      <c r="V924" s="1" t="s">
        <v>656</v>
      </c>
      <c r="W924" s="1" t="s">
        <v>269</v>
      </c>
      <c r="X924" s="1" t="s">
        <v>76</v>
      </c>
      <c r="Y924" s="1" t="s">
        <v>645</v>
      </c>
      <c r="Z924" s="1">
        <v>0</v>
      </c>
      <c r="AA924" s="1">
        <v>0</v>
      </c>
      <c r="AB924" s="1">
        <v>0</v>
      </c>
      <c r="AC924" s="1">
        <v>3.0000000000000001E-3</v>
      </c>
      <c r="AD924" s="1">
        <v>0</v>
      </c>
      <c r="AE924" s="1">
        <v>0</v>
      </c>
      <c r="AF924" s="1">
        <v>0</v>
      </c>
      <c r="AG924" s="1">
        <v>0</v>
      </c>
      <c r="AH924" s="1">
        <v>1E-3</v>
      </c>
      <c r="AI924" s="1">
        <v>0</v>
      </c>
      <c r="AJ924" s="1">
        <v>0</v>
      </c>
      <c r="AK924" s="1">
        <v>1E-3</v>
      </c>
      <c r="AL924" s="1">
        <v>0</v>
      </c>
      <c r="AM924" s="1">
        <v>0</v>
      </c>
      <c r="AN924" s="1">
        <v>0</v>
      </c>
      <c r="AO924" s="1">
        <v>1E-3</v>
      </c>
      <c r="AP924" s="1">
        <v>0.95899999999999996</v>
      </c>
      <c r="AQ924" s="1">
        <v>0</v>
      </c>
      <c r="AR924" s="1">
        <v>0</v>
      </c>
      <c r="AS924" s="1">
        <v>1E-3</v>
      </c>
      <c r="AT924" s="1">
        <v>1E-3</v>
      </c>
      <c r="AU924" s="1">
        <v>0</v>
      </c>
      <c r="AV924" s="1">
        <v>0</v>
      </c>
      <c r="AW924" s="1">
        <v>1E-3</v>
      </c>
      <c r="AX924" s="1">
        <v>0</v>
      </c>
      <c r="AY924" s="1">
        <v>1E-3</v>
      </c>
      <c r="AZ924" s="1">
        <v>0</v>
      </c>
      <c r="BA924" s="1">
        <v>1E-3</v>
      </c>
      <c r="BB924" s="1">
        <v>0</v>
      </c>
      <c r="BC924" s="1">
        <v>0</v>
      </c>
      <c r="BD924" s="1">
        <v>2E-3</v>
      </c>
      <c r="BE924" s="1">
        <v>0</v>
      </c>
      <c r="BF924" s="1">
        <v>0</v>
      </c>
      <c r="BG924" s="1">
        <v>0</v>
      </c>
      <c r="BH924" s="1">
        <v>8.9999999999999993E-3</v>
      </c>
      <c r="BI924" s="1">
        <v>0</v>
      </c>
      <c r="BJ924" s="1">
        <v>0</v>
      </c>
      <c r="BK924" s="1">
        <v>0</v>
      </c>
      <c r="BL924" s="1">
        <v>1E-3</v>
      </c>
      <c r="BM924" s="1">
        <v>0</v>
      </c>
      <c r="BN924" s="1">
        <v>1E-3</v>
      </c>
      <c r="BO924" s="1">
        <v>0</v>
      </c>
      <c r="BP924" s="1">
        <v>0</v>
      </c>
      <c r="BQ924" s="1">
        <v>1E-3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1E-3</v>
      </c>
      <c r="BY924" s="1">
        <v>2E-3</v>
      </c>
      <c r="BZ924" s="1">
        <v>1E-3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1E-3</v>
      </c>
      <c r="CI924" s="1">
        <v>1E-3</v>
      </c>
      <c r="CJ924" s="1">
        <v>1E-3</v>
      </c>
      <c r="CK924" s="1">
        <v>3.0000000000000001E-3</v>
      </c>
      <c r="CL924" s="1">
        <v>1E-3</v>
      </c>
      <c r="CM924" s="1">
        <v>-51.828890819999998</v>
      </c>
      <c r="CN924" s="83">
        <v>-78.254170540000004</v>
      </c>
    </row>
    <row r="925" spans="1:92" s="3" customFormat="1" x14ac:dyDescent="0.25">
      <c r="A925" s="72">
        <v>968</v>
      </c>
      <c r="B925" s="81" t="s">
        <v>788</v>
      </c>
      <c r="C925" s="1" t="s">
        <v>83</v>
      </c>
      <c r="D925" s="1" t="s">
        <v>79</v>
      </c>
      <c r="E925" s="1" t="s">
        <v>99</v>
      </c>
      <c r="F925" s="1" t="s">
        <v>665</v>
      </c>
      <c r="G925" s="1" t="s">
        <v>98</v>
      </c>
      <c r="H925" s="1" t="s">
        <v>48</v>
      </c>
      <c r="I925" s="1"/>
      <c r="J925" s="9" t="s">
        <v>544</v>
      </c>
      <c r="K925" s="10">
        <v>0.59702516666666605</v>
      </c>
      <c r="L925" s="1" t="s">
        <v>76</v>
      </c>
      <c r="M925" s="1" t="s">
        <v>506</v>
      </c>
      <c r="N925" s="1" t="s">
        <v>645</v>
      </c>
      <c r="O925" s="1" t="s">
        <v>48</v>
      </c>
      <c r="P925" s="82">
        <v>0.98799999999999999</v>
      </c>
      <c r="Q925" s="1" t="s">
        <v>76</v>
      </c>
      <c r="R925" s="81" t="s">
        <v>476</v>
      </c>
      <c r="S925" s="1">
        <v>3</v>
      </c>
      <c r="T925" s="1" t="s">
        <v>120</v>
      </c>
      <c r="U925" s="1" t="s">
        <v>658</v>
      </c>
      <c r="V925" s="1" t="s">
        <v>655</v>
      </c>
      <c r="W925" s="1">
        <v>45</v>
      </c>
      <c r="X925" s="1" t="s">
        <v>463</v>
      </c>
      <c r="Y925" s="1" t="s">
        <v>645</v>
      </c>
      <c r="Z925" s="1">
        <v>0</v>
      </c>
      <c r="AA925" s="1">
        <v>0</v>
      </c>
      <c r="AB925" s="1">
        <v>0</v>
      </c>
      <c r="AC925" s="1">
        <v>1E-3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0.98799999999999999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1E-3</v>
      </c>
      <c r="CA925" s="1">
        <v>0</v>
      </c>
      <c r="CB925" s="1">
        <v>1E-3</v>
      </c>
      <c r="CC925" s="1">
        <v>1E-3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1E-3</v>
      </c>
      <c r="CL925" s="1">
        <v>2E-3</v>
      </c>
      <c r="CM925" s="1">
        <v>-62.919266239999999</v>
      </c>
      <c r="CN925" s="83">
        <v>42.360048740000003</v>
      </c>
    </row>
    <row r="926" spans="1:92" s="3" customFormat="1" x14ac:dyDescent="0.25">
      <c r="A926" s="72">
        <v>969</v>
      </c>
      <c r="B926" s="81" t="s">
        <v>760</v>
      </c>
      <c r="C926" s="1" t="s">
        <v>83</v>
      </c>
      <c r="D926" s="1" t="s">
        <v>79</v>
      </c>
      <c r="E926" s="1" t="s">
        <v>99</v>
      </c>
      <c r="F926" s="1" t="s">
        <v>665</v>
      </c>
      <c r="G926" s="1" t="s">
        <v>98</v>
      </c>
      <c r="H926" s="1" t="s">
        <v>48</v>
      </c>
      <c r="I926" s="1"/>
      <c r="J926" s="9" t="s">
        <v>544</v>
      </c>
      <c r="K926" s="10">
        <v>0.484961166666667</v>
      </c>
      <c r="L926" s="1" t="s">
        <v>641</v>
      </c>
      <c r="M926" s="1" t="s">
        <v>76</v>
      </c>
      <c r="N926" s="1" t="s">
        <v>649</v>
      </c>
      <c r="O926" s="1" t="s">
        <v>59</v>
      </c>
      <c r="P926" s="82">
        <v>0.29799999999999999</v>
      </c>
      <c r="Q926" s="1" t="s">
        <v>76</v>
      </c>
      <c r="R926" s="81" t="s">
        <v>87</v>
      </c>
      <c r="S926" s="1">
        <v>3</v>
      </c>
      <c r="T926" s="1" t="s">
        <v>78</v>
      </c>
      <c r="U926" s="1" t="s">
        <v>660</v>
      </c>
      <c r="V926" s="1" t="s">
        <v>655</v>
      </c>
      <c r="W926" s="1">
        <v>26</v>
      </c>
      <c r="X926" s="1" t="s">
        <v>1797</v>
      </c>
      <c r="Y926" s="1" t="s">
        <v>649</v>
      </c>
      <c r="Z926" s="1">
        <v>1E-3</v>
      </c>
      <c r="AA926" s="1">
        <v>3.0000000000000001E-3</v>
      </c>
      <c r="AB926" s="1">
        <v>3.0000000000000001E-3</v>
      </c>
      <c r="AC926" s="1">
        <v>3.3000000000000002E-2</v>
      </c>
      <c r="AD926" s="1">
        <v>3.0000000000000001E-3</v>
      </c>
      <c r="AE926" s="1">
        <v>2E-3</v>
      </c>
      <c r="AF926" s="1">
        <v>4.0000000000000001E-3</v>
      </c>
      <c r="AG926" s="1">
        <v>0</v>
      </c>
      <c r="AH926" s="1">
        <v>7.0000000000000001E-3</v>
      </c>
      <c r="AI926" s="1">
        <v>1E-3</v>
      </c>
      <c r="AJ926" s="1">
        <v>2E-3</v>
      </c>
      <c r="AK926" s="1">
        <v>5.0000000000000001E-3</v>
      </c>
      <c r="AL926" s="1">
        <v>1E-3</v>
      </c>
      <c r="AM926" s="1">
        <v>1E-3</v>
      </c>
      <c r="AN926" s="1">
        <v>3.0000000000000001E-3</v>
      </c>
      <c r="AO926" s="1">
        <v>5.0000000000000001E-3</v>
      </c>
      <c r="AP926" s="1">
        <v>2E-3</v>
      </c>
      <c r="AQ926" s="1">
        <v>2E-3</v>
      </c>
      <c r="AR926" s="1">
        <v>1E-3</v>
      </c>
      <c r="AS926" s="1">
        <v>3.6999999999999998E-2</v>
      </c>
      <c r="AT926" s="1">
        <v>1.0999999999999999E-2</v>
      </c>
      <c r="AU926" s="1">
        <v>3.0000000000000001E-3</v>
      </c>
      <c r="AV926" s="1">
        <v>2E-3</v>
      </c>
      <c r="AW926" s="1">
        <v>5.0000000000000001E-3</v>
      </c>
      <c r="AX926" s="1">
        <v>2E-3</v>
      </c>
      <c r="AY926" s="1">
        <v>8.0000000000000002E-3</v>
      </c>
      <c r="AZ926" s="1">
        <v>0.01</v>
      </c>
      <c r="BA926" s="1">
        <v>8.9999999999999993E-3</v>
      </c>
      <c r="BB926" s="1">
        <v>2E-3</v>
      </c>
      <c r="BC926" s="1">
        <v>1E-3</v>
      </c>
      <c r="BD926" s="1">
        <v>2.1999999999999999E-2</v>
      </c>
      <c r="BE926" s="1">
        <v>2.3E-2</v>
      </c>
      <c r="BF926" s="1">
        <v>1E-3</v>
      </c>
      <c r="BG926" s="1">
        <v>2E-3</v>
      </c>
      <c r="BH926" s="1">
        <v>2E-3</v>
      </c>
      <c r="BI926" s="1">
        <v>3.0000000000000001E-3</v>
      </c>
      <c r="BJ926" s="1">
        <v>1E-3</v>
      </c>
      <c r="BK926" s="1">
        <v>2E-3</v>
      </c>
      <c r="BL926" s="1">
        <v>8.9999999999999993E-3</v>
      </c>
      <c r="BM926" s="1">
        <v>3.0000000000000001E-3</v>
      </c>
      <c r="BN926" s="1">
        <v>8.3000000000000004E-2</v>
      </c>
      <c r="BO926" s="1">
        <v>2E-3</v>
      </c>
      <c r="BP926" s="1">
        <v>1E-3</v>
      </c>
      <c r="BQ926" s="1">
        <v>3.5999999999999997E-2</v>
      </c>
      <c r="BR926" s="1">
        <v>4.0000000000000001E-3</v>
      </c>
      <c r="BS926" s="1">
        <v>2E-3</v>
      </c>
      <c r="BT926" s="1">
        <v>2E-3</v>
      </c>
      <c r="BU926" s="1">
        <v>4.0000000000000001E-3</v>
      </c>
      <c r="BV926" s="1">
        <v>3.0000000000000001E-3</v>
      </c>
      <c r="BW926" s="1">
        <v>3.0000000000000001E-3</v>
      </c>
      <c r="BX926" s="1">
        <v>8.0000000000000002E-3</v>
      </c>
      <c r="BY926" s="1">
        <v>7.0000000000000001E-3</v>
      </c>
      <c r="BZ926" s="1">
        <v>1.4999999999999999E-2</v>
      </c>
      <c r="CA926" s="1">
        <v>2E-3</v>
      </c>
      <c r="CB926" s="1">
        <v>0.29799999999999999</v>
      </c>
      <c r="CC926" s="1">
        <v>3.5000000000000003E-2</v>
      </c>
      <c r="CD926" s="1">
        <v>0</v>
      </c>
      <c r="CE926" s="1">
        <v>3.0000000000000001E-3</v>
      </c>
      <c r="CF926" s="1">
        <v>4.0000000000000001E-3</v>
      </c>
      <c r="CG926" s="1">
        <v>3.1E-2</v>
      </c>
      <c r="CH926" s="1">
        <v>5.0000000000000001E-3</v>
      </c>
      <c r="CI926" s="1">
        <v>4.0000000000000001E-3</v>
      </c>
      <c r="CJ926" s="1">
        <v>0.03</v>
      </c>
      <c r="CK926" s="1">
        <v>0.14199999999999999</v>
      </c>
      <c r="CL926" s="1">
        <v>3.9E-2</v>
      </c>
      <c r="CM926" s="1">
        <v>-44.687447110000001</v>
      </c>
      <c r="CN926" s="83">
        <v>40.48955368</v>
      </c>
    </row>
    <row r="927" spans="1:92" s="3" customFormat="1" x14ac:dyDescent="0.25">
      <c r="A927" s="72">
        <v>642</v>
      </c>
      <c r="B927" s="81" t="s">
        <v>1441</v>
      </c>
      <c r="C927" s="1" t="s">
        <v>83</v>
      </c>
      <c r="D927" s="1" t="s">
        <v>73</v>
      </c>
      <c r="E927" s="1" t="s">
        <v>99</v>
      </c>
      <c r="F927" s="1" t="s">
        <v>128</v>
      </c>
      <c r="G927" s="1" t="s">
        <v>303</v>
      </c>
      <c r="H927" s="1" t="s">
        <v>570</v>
      </c>
      <c r="I927" s="1"/>
      <c r="J927" s="9" t="s">
        <v>544</v>
      </c>
      <c r="K927" s="10">
        <v>0.52164750000000004</v>
      </c>
      <c r="L927" s="1" t="s">
        <v>1716</v>
      </c>
      <c r="M927" s="1" t="s">
        <v>506</v>
      </c>
      <c r="N927" s="1" t="s">
        <v>648</v>
      </c>
      <c r="O927" s="1" t="s">
        <v>32</v>
      </c>
      <c r="P927" s="82">
        <v>1</v>
      </c>
      <c r="Q927" s="1" t="s">
        <v>76</v>
      </c>
      <c r="R927" s="81" t="s">
        <v>77</v>
      </c>
      <c r="S927" s="1">
        <v>3</v>
      </c>
      <c r="T927" s="1" t="s">
        <v>78</v>
      </c>
      <c r="U927" s="1" t="s">
        <v>658</v>
      </c>
      <c r="V927" s="1" t="s">
        <v>654</v>
      </c>
      <c r="W927" s="1">
        <v>19</v>
      </c>
      <c r="X927" s="1" t="s">
        <v>437</v>
      </c>
      <c r="Y927" s="1" t="s">
        <v>648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1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-44.261892580000001</v>
      </c>
      <c r="CN927" s="83">
        <v>53.11583066</v>
      </c>
    </row>
    <row r="928" spans="1:92" s="3" customFormat="1" x14ac:dyDescent="0.25">
      <c r="A928" s="72">
        <v>971</v>
      </c>
      <c r="B928" s="81" t="s">
        <v>739</v>
      </c>
      <c r="C928" s="1" t="s">
        <v>83</v>
      </c>
      <c r="D928" s="1" t="s">
        <v>79</v>
      </c>
      <c r="E928" s="1" t="s">
        <v>74</v>
      </c>
      <c r="F928" s="1" t="s">
        <v>665</v>
      </c>
      <c r="G928" s="1" t="s">
        <v>98</v>
      </c>
      <c r="H928" s="1" t="s">
        <v>48</v>
      </c>
      <c r="I928" s="1"/>
      <c r="J928" s="9" t="s">
        <v>544</v>
      </c>
      <c r="K928" s="10">
        <v>0.47330566666666601</v>
      </c>
      <c r="L928" s="1" t="s">
        <v>641</v>
      </c>
      <c r="M928" s="1" t="s">
        <v>76</v>
      </c>
      <c r="N928" s="1" t="s">
        <v>644</v>
      </c>
      <c r="O928" s="1" t="s">
        <v>24</v>
      </c>
      <c r="P928" s="82">
        <v>0.20399999999999999</v>
      </c>
      <c r="Q928" s="1" t="s">
        <v>76</v>
      </c>
      <c r="R928" s="81" t="s">
        <v>478</v>
      </c>
      <c r="S928" s="1">
        <v>2</v>
      </c>
      <c r="T928" s="1" t="s">
        <v>120</v>
      </c>
      <c r="U928" s="1" t="s">
        <v>658</v>
      </c>
      <c r="V928" s="1" t="s">
        <v>655</v>
      </c>
      <c r="W928" s="1">
        <v>55</v>
      </c>
      <c r="X928" s="1" t="s">
        <v>479</v>
      </c>
      <c r="Y928" s="1" t="s">
        <v>644</v>
      </c>
      <c r="Z928" s="1">
        <v>1E-3</v>
      </c>
      <c r="AA928" s="1">
        <v>3.0000000000000001E-3</v>
      </c>
      <c r="AB928" s="1">
        <v>3.0000000000000001E-3</v>
      </c>
      <c r="AC928" s="1">
        <v>4.7E-2</v>
      </c>
      <c r="AD928" s="1">
        <v>3.0000000000000001E-3</v>
      </c>
      <c r="AE928" s="1">
        <v>3.0000000000000001E-3</v>
      </c>
      <c r="AF928" s="1">
        <v>8.0000000000000002E-3</v>
      </c>
      <c r="AG928" s="1">
        <v>0</v>
      </c>
      <c r="AH928" s="1">
        <v>6.0000000000000001E-3</v>
      </c>
      <c r="AI928" s="1">
        <v>1E-3</v>
      </c>
      <c r="AJ928" s="1">
        <v>2E-3</v>
      </c>
      <c r="AK928" s="1">
        <v>8.9999999999999993E-3</v>
      </c>
      <c r="AL928" s="1">
        <v>1E-3</v>
      </c>
      <c r="AM928" s="1">
        <v>1E-3</v>
      </c>
      <c r="AN928" s="1">
        <v>2E-3</v>
      </c>
      <c r="AO928" s="1">
        <v>3.0000000000000001E-3</v>
      </c>
      <c r="AP928" s="1">
        <v>2E-3</v>
      </c>
      <c r="AQ928" s="1">
        <v>2E-3</v>
      </c>
      <c r="AR928" s="1">
        <v>2E-3</v>
      </c>
      <c r="AS928" s="1">
        <v>0.20399999999999999</v>
      </c>
      <c r="AT928" s="1">
        <v>1.0999999999999999E-2</v>
      </c>
      <c r="AU928" s="1">
        <v>3.0000000000000001E-3</v>
      </c>
      <c r="AV928" s="1">
        <v>2E-3</v>
      </c>
      <c r="AW928" s="1">
        <v>5.0000000000000001E-3</v>
      </c>
      <c r="AX928" s="1">
        <v>2E-3</v>
      </c>
      <c r="AY928" s="1">
        <v>5.0000000000000001E-3</v>
      </c>
      <c r="AZ928" s="1">
        <v>0.01</v>
      </c>
      <c r="BA928" s="1">
        <v>1.0999999999999999E-2</v>
      </c>
      <c r="BB928" s="1">
        <v>2E-3</v>
      </c>
      <c r="BC928" s="1">
        <v>2E-3</v>
      </c>
      <c r="BD928" s="1">
        <v>1.4999999999999999E-2</v>
      </c>
      <c r="BE928" s="1">
        <v>5.5E-2</v>
      </c>
      <c r="BF928" s="1">
        <v>2E-3</v>
      </c>
      <c r="BG928" s="1">
        <v>2E-3</v>
      </c>
      <c r="BH928" s="1">
        <v>3.0000000000000001E-3</v>
      </c>
      <c r="BI928" s="1">
        <v>3.0000000000000001E-3</v>
      </c>
      <c r="BJ928" s="1">
        <v>1E-3</v>
      </c>
      <c r="BK928" s="1">
        <v>2E-3</v>
      </c>
      <c r="BL928" s="1">
        <v>8.0000000000000002E-3</v>
      </c>
      <c r="BM928" s="1">
        <v>3.0000000000000001E-3</v>
      </c>
      <c r="BN928" s="1">
        <v>5.5E-2</v>
      </c>
      <c r="BO928" s="1">
        <v>2E-3</v>
      </c>
      <c r="BP928" s="1">
        <v>1E-3</v>
      </c>
      <c r="BQ928" s="1">
        <v>1.7000000000000001E-2</v>
      </c>
      <c r="BR928" s="1">
        <v>3.0000000000000001E-3</v>
      </c>
      <c r="BS928" s="1">
        <v>2E-3</v>
      </c>
      <c r="BT928" s="1">
        <v>2E-3</v>
      </c>
      <c r="BU928" s="1">
        <v>3.0000000000000001E-3</v>
      </c>
      <c r="BV928" s="1">
        <v>2E-3</v>
      </c>
      <c r="BW928" s="1">
        <v>4.0000000000000001E-3</v>
      </c>
      <c r="BX928" s="1">
        <v>8.0000000000000002E-3</v>
      </c>
      <c r="BY928" s="1">
        <v>8.0000000000000002E-3</v>
      </c>
      <c r="BZ928" s="1">
        <v>1.2999999999999999E-2</v>
      </c>
      <c r="CA928" s="1">
        <v>3.0000000000000001E-3</v>
      </c>
      <c r="CB928" s="1">
        <v>0.13400000000000001</v>
      </c>
      <c r="CC928" s="1">
        <v>2.4E-2</v>
      </c>
      <c r="CD928" s="1">
        <v>0</v>
      </c>
      <c r="CE928" s="1">
        <v>3.0000000000000001E-3</v>
      </c>
      <c r="CF928" s="1">
        <v>3.0000000000000001E-3</v>
      </c>
      <c r="CG928" s="1">
        <v>8.9999999999999993E-3</v>
      </c>
      <c r="CH928" s="1">
        <v>8.0000000000000002E-3</v>
      </c>
      <c r="CI928" s="1">
        <v>7.0000000000000001E-3</v>
      </c>
      <c r="CJ928" s="1">
        <v>2.3E-2</v>
      </c>
      <c r="CK928" s="1">
        <v>0.183</v>
      </c>
      <c r="CL928" s="1">
        <v>3.3000000000000002E-2</v>
      </c>
      <c r="CM928" s="1">
        <v>45.644771759999998</v>
      </c>
      <c r="CN928" s="83">
        <v>-71.230980439999996</v>
      </c>
    </row>
    <row r="929" spans="1:92" s="3" customFormat="1" x14ac:dyDescent="0.25">
      <c r="A929" s="72">
        <v>972</v>
      </c>
      <c r="B929" s="81" t="s">
        <v>721</v>
      </c>
      <c r="C929" s="1" t="s">
        <v>83</v>
      </c>
      <c r="D929" s="1" t="s">
        <v>79</v>
      </c>
      <c r="E929" s="1" t="s">
        <v>74</v>
      </c>
      <c r="F929" s="1" t="s">
        <v>225</v>
      </c>
      <c r="G929" s="1" t="s">
        <v>76</v>
      </c>
      <c r="H929" s="1" t="s">
        <v>68</v>
      </c>
      <c r="I929" s="1"/>
      <c r="J929" s="9" t="s">
        <v>544</v>
      </c>
      <c r="K929" s="10">
        <v>0.37715650000000001</v>
      </c>
      <c r="L929" s="1" t="s">
        <v>641</v>
      </c>
      <c r="M929" s="1" t="s">
        <v>76</v>
      </c>
      <c r="N929" s="1" t="s">
        <v>644</v>
      </c>
      <c r="O929" s="1" t="s">
        <v>5</v>
      </c>
      <c r="P929" s="82">
        <v>0.30199999999999999</v>
      </c>
      <c r="Q929" s="1" t="s">
        <v>76</v>
      </c>
      <c r="R929" s="81" t="s">
        <v>171</v>
      </c>
      <c r="S929" s="1">
        <v>3</v>
      </c>
      <c r="T929" s="1" t="s">
        <v>120</v>
      </c>
      <c r="U929" s="1" t="s">
        <v>658</v>
      </c>
      <c r="V929" s="1" t="s">
        <v>654</v>
      </c>
      <c r="W929" s="1">
        <v>72</v>
      </c>
      <c r="X929" s="1" t="s">
        <v>480</v>
      </c>
      <c r="Y929" s="1" t="s">
        <v>644</v>
      </c>
      <c r="Z929" s="1">
        <v>0.30199999999999999</v>
      </c>
      <c r="AA929" s="1">
        <v>4.0000000000000001E-3</v>
      </c>
      <c r="AB929" s="1">
        <v>4.0000000000000001E-3</v>
      </c>
      <c r="AC929" s="1">
        <v>7.0999999999999994E-2</v>
      </c>
      <c r="AD929" s="1">
        <v>8.9999999999999993E-3</v>
      </c>
      <c r="AE929" s="1">
        <v>5.0000000000000001E-3</v>
      </c>
      <c r="AF929" s="1">
        <v>4.0000000000000001E-3</v>
      </c>
      <c r="AG929" s="1">
        <v>0</v>
      </c>
      <c r="AH929" s="1">
        <v>5.8999999999999997E-2</v>
      </c>
      <c r="AI929" s="1">
        <v>5.0000000000000001E-3</v>
      </c>
      <c r="AJ929" s="1">
        <v>3.0000000000000001E-3</v>
      </c>
      <c r="AK929" s="1">
        <v>4.0000000000000001E-3</v>
      </c>
      <c r="AL929" s="1">
        <v>1E-3</v>
      </c>
      <c r="AM929" s="1">
        <v>2E-3</v>
      </c>
      <c r="AN929" s="1">
        <v>1.7999999999999999E-2</v>
      </c>
      <c r="AO929" s="1">
        <v>3.0000000000000001E-3</v>
      </c>
      <c r="AP929" s="1">
        <v>3.0000000000000001E-3</v>
      </c>
      <c r="AQ929" s="1">
        <v>2E-3</v>
      </c>
      <c r="AR929" s="1">
        <v>3.0000000000000001E-3</v>
      </c>
      <c r="AS929" s="1">
        <v>8.9999999999999993E-3</v>
      </c>
      <c r="AT929" s="1">
        <v>6.0000000000000001E-3</v>
      </c>
      <c r="AU929" s="1">
        <v>4.0000000000000001E-3</v>
      </c>
      <c r="AV929" s="1">
        <v>1.0999999999999999E-2</v>
      </c>
      <c r="AW929" s="1">
        <v>4.0000000000000001E-3</v>
      </c>
      <c r="AX929" s="1">
        <v>8.9999999999999993E-3</v>
      </c>
      <c r="AY929" s="1">
        <v>0.01</v>
      </c>
      <c r="AZ929" s="1">
        <v>8.9999999999999993E-3</v>
      </c>
      <c r="BA929" s="1">
        <v>1.2999999999999999E-2</v>
      </c>
      <c r="BB929" s="1">
        <v>3.0000000000000001E-3</v>
      </c>
      <c r="BC929" s="1">
        <v>2E-3</v>
      </c>
      <c r="BD929" s="1">
        <v>2.3E-2</v>
      </c>
      <c r="BE929" s="1">
        <v>5.0000000000000001E-3</v>
      </c>
      <c r="BF929" s="1">
        <v>2.5000000000000001E-2</v>
      </c>
      <c r="BG929" s="1">
        <v>1E-3</v>
      </c>
      <c r="BH929" s="1">
        <v>4.0000000000000001E-3</v>
      </c>
      <c r="BI929" s="1">
        <v>2E-3</v>
      </c>
      <c r="BJ929" s="1">
        <v>2E-3</v>
      </c>
      <c r="BK929" s="1">
        <v>2E-3</v>
      </c>
      <c r="BL929" s="1">
        <v>5.0000000000000001E-3</v>
      </c>
      <c r="BM929" s="1">
        <v>3.0000000000000001E-3</v>
      </c>
      <c r="BN929" s="1">
        <v>8.9999999999999993E-3</v>
      </c>
      <c r="BO929" s="1">
        <v>2E-3</v>
      </c>
      <c r="BP929" s="1">
        <v>2E-3</v>
      </c>
      <c r="BQ929" s="1">
        <v>8.0000000000000002E-3</v>
      </c>
      <c r="BR929" s="1">
        <v>5.0000000000000001E-3</v>
      </c>
      <c r="BS929" s="1">
        <v>4.0000000000000001E-3</v>
      </c>
      <c r="BT929" s="1">
        <v>2E-3</v>
      </c>
      <c r="BU929" s="1">
        <v>6.0000000000000001E-3</v>
      </c>
      <c r="BV929" s="1">
        <v>3.0000000000000001E-3</v>
      </c>
      <c r="BW929" s="1">
        <v>3.0000000000000001E-3</v>
      </c>
      <c r="BX929" s="1">
        <v>1.7000000000000001E-2</v>
      </c>
      <c r="BY929" s="1">
        <v>8.9999999999999993E-3</v>
      </c>
      <c r="BZ929" s="1">
        <v>0.01</v>
      </c>
      <c r="CA929" s="1">
        <v>4.0000000000000001E-3</v>
      </c>
      <c r="CB929" s="1">
        <v>7.0000000000000001E-3</v>
      </c>
      <c r="CC929" s="1">
        <v>8.0000000000000002E-3</v>
      </c>
      <c r="CD929" s="1">
        <v>0</v>
      </c>
      <c r="CE929" s="1">
        <v>4.0000000000000001E-3</v>
      </c>
      <c r="CF929" s="1">
        <v>5.0000000000000001E-3</v>
      </c>
      <c r="CG929" s="1">
        <v>1.6E-2</v>
      </c>
      <c r="CH929" s="1">
        <v>5.0000000000000001E-3</v>
      </c>
      <c r="CI929" s="1">
        <v>4.0000000000000001E-3</v>
      </c>
      <c r="CJ929" s="1">
        <v>1.2999999999999999E-2</v>
      </c>
      <c r="CK929" s="1">
        <v>0.161</v>
      </c>
      <c r="CL929" s="1">
        <v>3.7999999999999999E-2</v>
      </c>
      <c r="CM929" s="1">
        <v>25.383421670000001</v>
      </c>
      <c r="CN929" s="83">
        <v>-41.175736010000001</v>
      </c>
    </row>
    <row r="930" spans="1:92" s="3" customFormat="1" x14ac:dyDescent="0.25">
      <c r="A930" s="72">
        <v>973</v>
      </c>
      <c r="B930" s="81" t="s">
        <v>746</v>
      </c>
      <c r="C930" s="1" t="s">
        <v>83</v>
      </c>
      <c r="D930" s="1" t="s">
        <v>79</v>
      </c>
      <c r="E930" s="1" t="s">
        <v>74</v>
      </c>
      <c r="F930" s="1" t="s">
        <v>669</v>
      </c>
      <c r="G930" s="1" t="s">
        <v>98</v>
      </c>
      <c r="H930" s="1" t="s">
        <v>68</v>
      </c>
      <c r="I930" s="1"/>
      <c r="J930" s="9" t="s">
        <v>544</v>
      </c>
      <c r="K930" s="10">
        <v>0.41204516666666602</v>
      </c>
      <c r="L930" s="1" t="s">
        <v>641</v>
      </c>
      <c r="M930" s="1" t="s">
        <v>76</v>
      </c>
      <c r="N930" s="1" t="s">
        <v>649</v>
      </c>
      <c r="O930" s="1" t="s">
        <v>68</v>
      </c>
      <c r="P930" s="82">
        <v>0.3</v>
      </c>
      <c r="Q930" s="1" t="s">
        <v>76</v>
      </c>
      <c r="R930" s="81" t="s">
        <v>153</v>
      </c>
      <c r="S930" s="1">
        <v>3</v>
      </c>
      <c r="T930" s="1" t="s">
        <v>120</v>
      </c>
      <c r="U930" s="1" t="s">
        <v>658</v>
      </c>
      <c r="V930" s="1" t="s">
        <v>655</v>
      </c>
      <c r="W930" s="1">
        <v>83</v>
      </c>
      <c r="X930" s="1" t="s">
        <v>481</v>
      </c>
      <c r="Y930" s="1" t="s">
        <v>649</v>
      </c>
      <c r="Z930" s="1">
        <v>4.0000000000000001E-3</v>
      </c>
      <c r="AA930" s="1">
        <v>6.0000000000000001E-3</v>
      </c>
      <c r="AB930" s="1">
        <v>6.0000000000000001E-3</v>
      </c>
      <c r="AC930" s="1">
        <v>3.6999999999999998E-2</v>
      </c>
      <c r="AD930" s="1">
        <v>1.0999999999999999E-2</v>
      </c>
      <c r="AE930" s="1">
        <v>6.0000000000000001E-3</v>
      </c>
      <c r="AF930" s="1">
        <v>5.0000000000000001E-3</v>
      </c>
      <c r="AG930" s="1">
        <v>1E-3</v>
      </c>
      <c r="AH930" s="1">
        <v>2.5000000000000001E-2</v>
      </c>
      <c r="AI930" s="1">
        <v>5.0000000000000001E-3</v>
      </c>
      <c r="AJ930" s="1">
        <v>4.0000000000000001E-3</v>
      </c>
      <c r="AK930" s="1">
        <v>1.2999999999999999E-2</v>
      </c>
      <c r="AL930" s="1">
        <v>2E-3</v>
      </c>
      <c r="AM930" s="1">
        <v>2E-3</v>
      </c>
      <c r="AN930" s="1">
        <v>8.0000000000000002E-3</v>
      </c>
      <c r="AO930" s="1">
        <v>8.0000000000000002E-3</v>
      </c>
      <c r="AP930" s="1">
        <v>5.0000000000000001E-3</v>
      </c>
      <c r="AQ930" s="1">
        <v>4.0000000000000001E-3</v>
      </c>
      <c r="AR930" s="1">
        <v>4.0000000000000001E-3</v>
      </c>
      <c r="AS930" s="1">
        <v>2.3E-2</v>
      </c>
      <c r="AT930" s="1">
        <v>1.7000000000000001E-2</v>
      </c>
      <c r="AU930" s="1">
        <v>5.0000000000000001E-3</v>
      </c>
      <c r="AV930" s="1">
        <v>4.0000000000000001E-3</v>
      </c>
      <c r="AW930" s="1">
        <v>0.01</v>
      </c>
      <c r="AX930" s="1">
        <v>4.9000000000000002E-2</v>
      </c>
      <c r="AY930" s="1">
        <v>1.4E-2</v>
      </c>
      <c r="AZ930" s="1">
        <v>1.0999999999999999E-2</v>
      </c>
      <c r="BA930" s="1">
        <v>1.7000000000000001E-2</v>
      </c>
      <c r="BB930" s="1">
        <v>5.0000000000000001E-3</v>
      </c>
      <c r="BC930" s="1">
        <v>3.0000000000000001E-3</v>
      </c>
      <c r="BD930" s="1">
        <v>0.03</v>
      </c>
      <c r="BE930" s="1">
        <v>5.0000000000000001E-3</v>
      </c>
      <c r="BF930" s="1">
        <v>1.2E-2</v>
      </c>
      <c r="BG930" s="1">
        <v>8.9999999999999993E-3</v>
      </c>
      <c r="BH930" s="1">
        <v>1.4E-2</v>
      </c>
      <c r="BI930" s="1">
        <v>5.0000000000000001E-3</v>
      </c>
      <c r="BJ930" s="1">
        <v>2E-3</v>
      </c>
      <c r="BK930" s="1">
        <v>5.0000000000000001E-3</v>
      </c>
      <c r="BL930" s="1">
        <v>1.2999999999999999E-2</v>
      </c>
      <c r="BM930" s="1">
        <v>7.0000000000000001E-3</v>
      </c>
      <c r="BN930" s="1">
        <v>1.2999999999999999E-2</v>
      </c>
      <c r="BO930" s="1">
        <v>3.0000000000000001E-3</v>
      </c>
      <c r="BP930" s="1">
        <v>2E-3</v>
      </c>
      <c r="BQ930" s="1">
        <v>1.2E-2</v>
      </c>
      <c r="BR930" s="1">
        <v>6.0000000000000001E-3</v>
      </c>
      <c r="BS930" s="1">
        <v>5.0000000000000001E-3</v>
      </c>
      <c r="BT930" s="1">
        <v>3.0000000000000001E-3</v>
      </c>
      <c r="BU930" s="1">
        <v>4.0000000000000001E-3</v>
      </c>
      <c r="BV930" s="1">
        <v>5.0000000000000001E-3</v>
      </c>
      <c r="BW930" s="1">
        <v>6.0000000000000001E-3</v>
      </c>
      <c r="BX930" s="1">
        <v>2.8000000000000001E-2</v>
      </c>
      <c r="BY930" s="1">
        <v>2.3E-2</v>
      </c>
      <c r="BZ930" s="1">
        <v>1.2E-2</v>
      </c>
      <c r="CA930" s="1">
        <v>0.01</v>
      </c>
      <c r="CB930" s="1">
        <v>3.0000000000000001E-3</v>
      </c>
      <c r="CC930" s="1">
        <v>8.9999999999999993E-3</v>
      </c>
      <c r="CD930" s="1">
        <v>0</v>
      </c>
      <c r="CE930" s="1">
        <v>5.0000000000000001E-3</v>
      </c>
      <c r="CF930" s="1">
        <v>0.01</v>
      </c>
      <c r="CG930" s="1">
        <v>4.8000000000000001E-2</v>
      </c>
      <c r="CH930" s="1">
        <v>1.2E-2</v>
      </c>
      <c r="CI930" s="1">
        <v>1.0999999999999999E-2</v>
      </c>
      <c r="CJ930" s="1">
        <v>3.2000000000000001E-2</v>
      </c>
      <c r="CK930" s="1">
        <v>0.3</v>
      </c>
      <c r="CL930" s="1">
        <v>2.1999999999999999E-2</v>
      </c>
      <c r="CM930" s="1">
        <v>27.620571510000001</v>
      </c>
      <c r="CN930" s="83">
        <v>-49.601031640000002</v>
      </c>
    </row>
    <row r="931" spans="1:92" s="3" customFormat="1" x14ac:dyDescent="0.25">
      <c r="A931" s="72">
        <v>974</v>
      </c>
      <c r="B931" s="81" t="s">
        <v>785</v>
      </c>
      <c r="C931" s="1" t="s">
        <v>83</v>
      </c>
      <c r="D931" s="1" t="s">
        <v>79</v>
      </c>
      <c r="E931" s="1" t="s">
        <v>74</v>
      </c>
      <c r="F931" s="1" t="s">
        <v>665</v>
      </c>
      <c r="G931" s="1" t="s">
        <v>98</v>
      </c>
      <c r="H931" s="1" t="s">
        <v>48</v>
      </c>
      <c r="I931" s="1"/>
      <c r="J931" s="9" t="s">
        <v>544</v>
      </c>
      <c r="K931" s="10">
        <v>0.41739599999999899</v>
      </c>
      <c r="L931" s="1" t="s">
        <v>641</v>
      </c>
      <c r="M931" s="1" t="s">
        <v>76</v>
      </c>
      <c r="N931" s="1" t="s">
        <v>644</v>
      </c>
      <c r="O931" s="1" t="s">
        <v>68</v>
      </c>
      <c r="P931" s="82">
        <v>0.45400000000000001</v>
      </c>
      <c r="Q931" s="1" t="s">
        <v>76</v>
      </c>
      <c r="R931" s="81" t="s">
        <v>157</v>
      </c>
      <c r="S931" s="1">
        <v>2</v>
      </c>
      <c r="T931" s="1" t="s">
        <v>120</v>
      </c>
      <c r="U931" s="1" t="s">
        <v>658</v>
      </c>
      <c r="V931" s="1" t="s">
        <v>655</v>
      </c>
      <c r="W931" s="1">
        <v>61</v>
      </c>
      <c r="X931" s="1" t="s">
        <v>482</v>
      </c>
      <c r="Y931" s="1" t="s">
        <v>644</v>
      </c>
      <c r="Z931" s="1">
        <v>7.0000000000000001E-3</v>
      </c>
      <c r="AA931" s="1">
        <v>6.0000000000000001E-3</v>
      </c>
      <c r="AB931" s="1">
        <v>5.0000000000000001E-3</v>
      </c>
      <c r="AC931" s="1">
        <v>2.9000000000000001E-2</v>
      </c>
      <c r="AD931" s="1">
        <v>8.9999999999999993E-3</v>
      </c>
      <c r="AE931" s="1">
        <v>3.0000000000000001E-3</v>
      </c>
      <c r="AF931" s="1">
        <v>4.0000000000000001E-3</v>
      </c>
      <c r="AG931" s="1">
        <v>1E-3</v>
      </c>
      <c r="AH931" s="1">
        <v>1.9E-2</v>
      </c>
      <c r="AI931" s="1">
        <v>3.0000000000000001E-3</v>
      </c>
      <c r="AJ931" s="1">
        <v>4.0000000000000001E-3</v>
      </c>
      <c r="AK931" s="1">
        <v>7.0000000000000001E-3</v>
      </c>
      <c r="AL931" s="1">
        <v>4.0000000000000001E-3</v>
      </c>
      <c r="AM931" s="1">
        <v>3.0000000000000001E-3</v>
      </c>
      <c r="AN931" s="1">
        <v>6.0000000000000001E-3</v>
      </c>
      <c r="AO931" s="1">
        <v>4.0000000000000001E-3</v>
      </c>
      <c r="AP931" s="1">
        <v>3.0000000000000001E-3</v>
      </c>
      <c r="AQ931" s="1">
        <v>3.0000000000000001E-3</v>
      </c>
      <c r="AR931" s="1">
        <v>4.0000000000000001E-3</v>
      </c>
      <c r="AS931" s="1">
        <v>1.2E-2</v>
      </c>
      <c r="AT931" s="1">
        <v>8.9999999999999993E-3</v>
      </c>
      <c r="AU931" s="1">
        <v>4.0000000000000001E-3</v>
      </c>
      <c r="AV931" s="1">
        <v>4.0000000000000001E-3</v>
      </c>
      <c r="AW931" s="1">
        <v>8.0000000000000002E-3</v>
      </c>
      <c r="AX931" s="1">
        <v>6.4000000000000001E-2</v>
      </c>
      <c r="AY931" s="1">
        <v>1.0999999999999999E-2</v>
      </c>
      <c r="AZ931" s="1">
        <v>8.0000000000000002E-3</v>
      </c>
      <c r="BA931" s="1">
        <v>1.2999999999999999E-2</v>
      </c>
      <c r="BB931" s="1">
        <v>3.0000000000000001E-3</v>
      </c>
      <c r="BC931" s="1">
        <v>2E-3</v>
      </c>
      <c r="BD931" s="1">
        <v>1.7999999999999999E-2</v>
      </c>
      <c r="BE931" s="1">
        <v>4.0000000000000001E-3</v>
      </c>
      <c r="BF931" s="1">
        <v>4.0000000000000001E-3</v>
      </c>
      <c r="BG931" s="1">
        <v>0.01</v>
      </c>
      <c r="BH931" s="1">
        <v>4.0000000000000001E-3</v>
      </c>
      <c r="BI931" s="1">
        <v>3.0000000000000001E-3</v>
      </c>
      <c r="BJ931" s="1">
        <v>2E-3</v>
      </c>
      <c r="BK931" s="1">
        <v>2E-3</v>
      </c>
      <c r="BL931" s="1">
        <v>1.6E-2</v>
      </c>
      <c r="BM931" s="1">
        <v>4.0000000000000001E-3</v>
      </c>
      <c r="BN931" s="1">
        <v>8.9999999999999993E-3</v>
      </c>
      <c r="BO931" s="1">
        <v>2E-3</v>
      </c>
      <c r="BP931" s="1">
        <v>2E-3</v>
      </c>
      <c r="BQ931" s="1">
        <v>1.2E-2</v>
      </c>
      <c r="BR931" s="1">
        <v>5.0000000000000001E-3</v>
      </c>
      <c r="BS931" s="1">
        <v>4.0000000000000001E-3</v>
      </c>
      <c r="BT931" s="1">
        <v>2E-3</v>
      </c>
      <c r="BU931" s="1">
        <v>4.0000000000000001E-3</v>
      </c>
      <c r="BV931" s="1">
        <v>3.0000000000000001E-3</v>
      </c>
      <c r="BW931" s="1">
        <v>4.0000000000000001E-3</v>
      </c>
      <c r="BX931" s="1">
        <v>1.4999999999999999E-2</v>
      </c>
      <c r="BY931" s="1">
        <v>1.6E-2</v>
      </c>
      <c r="BZ931" s="1">
        <v>0.02</v>
      </c>
      <c r="CA931" s="1">
        <v>7.0000000000000001E-3</v>
      </c>
      <c r="CB931" s="1">
        <v>3.0000000000000001E-3</v>
      </c>
      <c r="CC931" s="1">
        <v>0.01</v>
      </c>
      <c r="CD931" s="1">
        <v>1E-3</v>
      </c>
      <c r="CE931" s="1">
        <v>5.0000000000000001E-3</v>
      </c>
      <c r="CF931" s="1">
        <v>7.0000000000000001E-3</v>
      </c>
      <c r="CG931" s="1">
        <v>2.9000000000000001E-2</v>
      </c>
      <c r="CH931" s="1">
        <v>7.0000000000000001E-3</v>
      </c>
      <c r="CI931" s="1">
        <v>5.0000000000000001E-3</v>
      </c>
      <c r="CJ931" s="1">
        <v>2.3E-2</v>
      </c>
      <c r="CK931" s="1">
        <v>0.45400000000000001</v>
      </c>
      <c r="CL931" s="1">
        <v>1.7999999999999999E-2</v>
      </c>
      <c r="CM931" s="1">
        <v>22.946740139999999</v>
      </c>
      <c r="CN931" s="83">
        <v>-26.720917849999999</v>
      </c>
    </row>
    <row r="932" spans="1:92" s="3" customFormat="1" x14ac:dyDescent="0.25">
      <c r="A932" s="72">
        <v>975</v>
      </c>
      <c r="B932" s="81" t="s">
        <v>748</v>
      </c>
      <c r="C932" s="1" t="s">
        <v>83</v>
      </c>
      <c r="D932" s="1" t="s">
        <v>79</v>
      </c>
      <c r="E932" s="1" t="s">
        <v>99</v>
      </c>
      <c r="F932" s="1" t="s">
        <v>665</v>
      </c>
      <c r="G932" s="1" t="s">
        <v>98</v>
      </c>
      <c r="H932" s="1" t="s">
        <v>48</v>
      </c>
      <c r="I932" s="1"/>
      <c r="J932" s="9" t="s">
        <v>544</v>
      </c>
      <c r="K932" s="10">
        <v>0.52899766666666603</v>
      </c>
      <c r="L932" s="1" t="s">
        <v>641</v>
      </c>
      <c r="M932" s="1" t="s">
        <v>76</v>
      </c>
      <c r="N932" s="1" t="s">
        <v>644</v>
      </c>
      <c r="O932" s="1" t="s">
        <v>60</v>
      </c>
      <c r="P932" s="82">
        <v>0.33600000000000002</v>
      </c>
      <c r="Q932" s="1" t="s">
        <v>76</v>
      </c>
      <c r="R932" s="81" t="s">
        <v>178</v>
      </c>
      <c r="S932" s="1">
        <v>3</v>
      </c>
      <c r="T932" s="1" t="s">
        <v>120</v>
      </c>
      <c r="U932" s="1" t="s">
        <v>659</v>
      </c>
      <c r="V932" s="1" t="s">
        <v>655</v>
      </c>
      <c r="W932" s="1">
        <v>24</v>
      </c>
      <c r="X932" s="1" t="s">
        <v>1798</v>
      </c>
      <c r="Y932" s="1" t="s">
        <v>644</v>
      </c>
      <c r="Z932" s="1">
        <v>2E-3</v>
      </c>
      <c r="AA932" s="1">
        <v>4.0000000000000001E-3</v>
      </c>
      <c r="AB932" s="1">
        <v>4.0000000000000001E-3</v>
      </c>
      <c r="AC932" s="1">
        <v>5.6000000000000001E-2</v>
      </c>
      <c r="AD932" s="1">
        <v>4.0000000000000001E-3</v>
      </c>
      <c r="AE932" s="1">
        <v>3.0000000000000001E-3</v>
      </c>
      <c r="AF932" s="1">
        <v>4.0000000000000001E-3</v>
      </c>
      <c r="AG932" s="1">
        <v>0</v>
      </c>
      <c r="AH932" s="1">
        <v>0.01</v>
      </c>
      <c r="AI932" s="1">
        <v>4.0000000000000001E-3</v>
      </c>
      <c r="AJ932" s="1">
        <v>2E-3</v>
      </c>
      <c r="AK932" s="1">
        <v>7.0000000000000001E-3</v>
      </c>
      <c r="AL932" s="1">
        <v>1E-3</v>
      </c>
      <c r="AM932" s="1">
        <v>2E-3</v>
      </c>
      <c r="AN932" s="1">
        <v>3.0000000000000001E-3</v>
      </c>
      <c r="AO932" s="1">
        <v>3.0000000000000001E-3</v>
      </c>
      <c r="AP932" s="1">
        <v>2E-3</v>
      </c>
      <c r="AQ932" s="1">
        <v>2E-3</v>
      </c>
      <c r="AR932" s="1">
        <v>2E-3</v>
      </c>
      <c r="AS932" s="1">
        <v>1.7000000000000001E-2</v>
      </c>
      <c r="AT932" s="1">
        <v>8.9999999999999993E-3</v>
      </c>
      <c r="AU932" s="1">
        <v>3.0000000000000001E-3</v>
      </c>
      <c r="AV932" s="1">
        <v>3.0000000000000001E-3</v>
      </c>
      <c r="AW932" s="1">
        <v>4.0000000000000001E-3</v>
      </c>
      <c r="AX932" s="1">
        <v>4.0000000000000001E-3</v>
      </c>
      <c r="AY932" s="1">
        <v>7.0000000000000001E-3</v>
      </c>
      <c r="AZ932" s="1">
        <v>0.01</v>
      </c>
      <c r="BA932" s="1">
        <v>1.0999999999999999E-2</v>
      </c>
      <c r="BB932" s="1">
        <v>3.0000000000000001E-3</v>
      </c>
      <c r="BC932" s="1">
        <v>2E-3</v>
      </c>
      <c r="BD932" s="1">
        <v>1.7000000000000001E-2</v>
      </c>
      <c r="BE932" s="1">
        <v>1.2E-2</v>
      </c>
      <c r="BF932" s="1">
        <v>2E-3</v>
      </c>
      <c r="BG932" s="1">
        <v>1E-3</v>
      </c>
      <c r="BH932" s="1">
        <v>2E-3</v>
      </c>
      <c r="BI932" s="1">
        <v>3.0000000000000001E-3</v>
      </c>
      <c r="BJ932" s="1">
        <v>2E-3</v>
      </c>
      <c r="BK932" s="1">
        <v>3.0000000000000001E-3</v>
      </c>
      <c r="BL932" s="1">
        <v>0.01</v>
      </c>
      <c r="BM932" s="1">
        <v>3.0000000000000001E-3</v>
      </c>
      <c r="BN932" s="1">
        <v>2.4E-2</v>
      </c>
      <c r="BO932" s="1">
        <v>2E-3</v>
      </c>
      <c r="BP932" s="1">
        <v>1E-3</v>
      </c>
      <c r="BQ932" s="1">
        <v>9.1999999999999998E-2</v>
      </c>
      <c r="BR932" s="1">
        <v>2.5999999999999999E-2</v>
      </c>
      <c r="BS932" s="1">
        <v>2E-3</v>
      </c>
      <c r="BT932" s="1">
        <v>2E-3</v>
      </c>
      <c r="BU932" s="1">
        <v>5.0000000000000001E-3</v>
      </c>
      <c r="BV932" s="1">
        <v>2E-3</v>
      </c>
      <c r="BW932" s="1">
        <v>4.0000000000000001E-3</v>
      </c>
      <c r="BX932" s="1">
        <v>8.0000000000000002E-3</v>
      </c>
      <c r="BY932" s="1">
        <v>7.0000000000000001E-3</v>
      </c>
      <c r="BZ932" s="1">
        <v>2.3E-2</v>
      </c>
      <c r="CA932" s="1">
        <v>3.0000000000000001E-3</v>
      </c>
      <c r="CB932" s="1">
        <v>4.4999999999999998E-2</v>
      </c>
      <c r="CC932" s="1">
        <v>0.33600000000000002</v>
      </c>
      <c r="CD932" s="1">
        <v>0</v>
      </c>
      <c r="CE932" s="1">
        <v>4.0000000000000001E-3</v>
      </c>
      <c r="CF932" s="1">
        <v>4.0000000000000001E-3</v>
      </c>
      <c r="CG932" s="1">
        <v>2.7E-2</v>
      </c>
      <c r="CH932" s="1">
        <v>6.0000000000000001E-3</v>
      </c>
      <c r="CI932" s="1">
        <v>5.0000000000000001E-3</v>
      </c>
      <c r="CJ932" s="1">
        <v>3.6999999999999998E-2</v>
      </c>
      <c r="CK932" s="1">
        <v>4.9000000000000002E-2</v>
      </c>
      <c r="CL932" s="1">
        <v>4.1000000000000002E-2</v>
      </c>
      <c r="CM932" s="1">
        <v>-60.95033583</v>
      </c>
      <c r="CN932" s="83">
        <v>21.743345309999999</v>
      </c>
    </row>
    <row r="933" spans="1:92" s="3" customFormat="1" x14ac:dyDescent="0.25">
      <c r="A933" s="72">
        <v>976</v>
      </c>
      <c r="B933" s="81" t="s">
        <v>794</v>
      </c>
      <c r="C933" s="1" t="s">
        <v>83</v>
      </c>
      <c r="D933" s="1" t="s">
        <v>73</v>
      </c>
      <c r="E933" s="1" t="s">
        <v>74</v>
      </c>
      <c r="F933" s="1" t="s">
        <v>665</v>
      </c>
      <c r="G933" s="1" t="s">
        <v>198</v>
      </c>
      <c r="H933" s="1" t="s">
        <v>48</v>
      </c>
      <c r="I933" s="1"/>
      <c r="J933" s="9" t="s">
        <v>544</v>
      </c>
      <c r="K933" s="10">
        <v>0.48577750000000097</v>
      </c>
      <c r="L933" s="1" t="s">
        <v>641</v>
      </c>
      <c r="M933" s="1" t="s">
        <v>76</v>
      </c>
      <c r="N933" s="1" t="s">
        <v>644</v>
      </c>
      <c r="O933" s="1" t="s">
        <v>68</v>
      </c>
      <c r="P933" s="82">
        <v>0.41899999999999998</v>
      </c>
      <c r="Q933" s="1" t="s">
        <v>76</v>
      </c>
      <c r="R933" s="81" t="s">
        <v>169</v>
      </c>
      <c r="S933" s="1">
        <v>3</v>
      </c>
      <c r="T933" s="1" t="s">
        <v>120</v>
      </c>
      <c r="U933" s="1" t="s">
        <v>658</v>
      </c>
      <c r="V933" s="1" t="s">
        <v>655</v>
      </c>
      <c r="W933" s="1">
        <v>65</v>
      </c>
      <c r="X933" s="1" t="s">
        <v>1799</v>
      </c>
      <c r="Y933" s="1" t="s">
        <v>644</v>
      </c>
      <c r="Z933" s="1">
        <v>1E-3</v>
      </c>
      <c r="AA933" s="1">
        <v>3.0000000000000001E-3</v>
      </c>
      <c r="AB933" s="1">
        <v>2E-3</v>
      </c>
      <c r="AC933" s="1">
        <v>4.0000000000000001E-3</v>
      </c>
      <c r="AD933" s="1">
        <v>2E-3</v>
      </c>
      <c r="AE933" s="1">
        <v>1E-3</v>
      </c>
      <c r="AF933" s="1">
        <v>2.1999999999999999E-2</v>
      </c>
      <c r="AG933" s="1">
        <v>0</v>
      </c>
      <c r="AH933" s="1">
        <v>7.0000000000000001E-3</v>
      </c>
      <c r="AI933" s="1">
        <v>2E-3</v>
      </c>
      <c r="AJ933" s="1">
        <v>1E-3</v>
      </c>
      <c r="AK933" s="1">
        <v>5.0000000000000001E-3</v>
      </c>
      <c r="AL933" s="1">
        <v>1.4999999999999999E-2</v>
      </c>
      <c r="AM933" s="1">
        <v>1E-3</v>
      </c>
      <c r="AN933" s="1">
        <v>2E-3</v>
      </c>
      <c r="AO933" s="1">
        <v>2E-3</v>
      </c>
      <c r="AP933" s="1">
        <v>1E-3</v>
      </c>
      <c r="AQ933" s="1">
        <v>1E-3</v>
      </c>
      <c r="AR933" s="1">
        <v>1E-3</v>
      </c>
      <c r="AS933" s="1">
        <v>5.0000000000000001E-3</v>
      </c>
      <c r="AT933" s="1">
        <v>3.0000000000000001E-3</v>
      </c>
      <c r="AU933" s="1">
        <v>2E-3</v>
      </c>
      <c r="AV933" s="1">
        <v>2E-3</v>
      </c>
      <c r="AW933" s="1">
        <v>3.0000000000000001E-3</v>
      </c>
      <c r="AX933" s="1">
        <v>0.37</v>
      </c>
      <c r="AY933" s="1">
        <v>3.0000000000000001E-3</v>
      </c>
      <c r="AZ933" s="1">
        <v>3.0000000000000001E-3</v>
      </c>
      <c r="BA933" s="1">
        <v>6.0000000000000001E-3</v>
      </c>
      <c r="BB933" s="1">
        <v>1E-3</v>
      </c>
      <c r="BC933" s="1">
        <v>2E-3</v>
      </c>
      <c r="BD933" s="1">
        <v>6.0000000000000001E-3</v>
      </c>
      <c r="BE933" s="1">
        <v>1E-3</v>
      </c>
      <c r="BF933" s="1">
        <v>1E-3</v>
      </c>
      <c r="BG933" s="1">
        <v>3.0000000000000001E-3</v>
      </c>
      <c r="BH933" s="1">
        <v>1E-3</v>
      </c>
      <c r="BI933" s="1">
        <v>1E-3</v>
      </c>
      <c r="BJ933" s="1">
        <v>1E-3</v>
      </c>
      <c r="BK933" s="1">
        <v>1E-3</v>
      </c>
      <c r="BL933" s="1">
        <v>1.0999999999999999E-2</v>
      </c>
      <c r="BM933" s="1">
        <v>8.0000000000000002E-3</v>
      </c>
      <c r="BN933" s="1">
        <v>2E-3</v>
      </c>
      <c r="BO933" s="1">
        <v>1E-3</v>
      </c>
      <c r="BP933" s="1">
        <v>1E-3</v>
      </c>
      <c r="BQ933" s="1">
        <v>6.0000000000000001E-3</v>
      </c>
      <c r="BR933" s="1">
        <v>3.0000000000000001E-3</v>
      </c>
      <c r="BS933" s="1">
        <v>1E-3</v>
      </c>
      <c r="BT933" s="1">
        <v>4.0000000000000001E-3</v>
      </c>
      <c r="BU933" s="1">
        <v>2E-3</v>
      </c>
      <c r="BV933" s="1">
        <v>1E-3</v>
      </c>
      <c r="BW933" s="1">
        <v>2E-3</v>
      </c>
      <c r="BX933" s="1">
        <v>5.0000000000000001E-3</v>
      </c>
      <c r="BY933" s="1">
        <v>5.0000000000000001E-3</v>
      </c>
      <c r="BZ933" s="1">
        <v>6.0000000000000001E-3</v>
      </c>
      <c r="CA933" s="1">
        <v>3.0000000000000001E-3</v>
      </c>
      <c r="CB933" s="1">
        <v>1E-3</v>
      </c>
      <c r="CC933" s="1">
        <v>2E-3</v>
      </c>
      <c r="CD933" s="1">
        <v>0</v>
      </c>
      <c r="CE933" s="1">
        <v>2E-3</v>
      </c>
      <c r="CF933" s="1">
        <v>2E-3</v>
      </c>
      <c r="CG933" s="1">
        <v>4.0000000000000001E-3</v>
      </c>
      <c r="CH933" s="1">
        <v>3.0000000000000001E-3</v>
      </c>
      <c r="CI933" s="1">
        <v>7.0000000000000001E-3</v>
      </c>
      <c r="CJ933" s="1">
        <v>5.0000000000000001E-3</v>
      </c>
      <c r="CK933" s="1">
        <v>0.41899999999999998</v>
      </c>
      <c r="CL933" s="1">
        <v>6.0000000000000001E-3</v>
      </c>
      <c r="CM933" s="1">
        <v>21.76583686</v>
      </c>
      <c r="CN933" s="83">
        <v>-28.168312839999999</v>
      </c>
    </row>
    <row r="934" spans="1:92" s="3" customFormat="1" x14ac:dyDescent="0.25">
      <c r="A934" s="72">
        <v>977</v>
      </c>
      <c r="B934" s="81" t="s">
        <v>800</v>
      </c>
      <c r="C934" s="1" t="s">
        <v>83</v>
      </c>
      <c r="D934" s="1" t="s">
        <v>73</v>
      </c>
      <c r="E934" s="1" t="s">
        <v>99</v>
      </c>
      <c r="F934" s="1" t="s">
        <v>483</v>
      </c>
      <c r="G934" s="1" t="s">
        <v>76</v>
      </c>
      <c r="H934" s="1" t="s">
        <v>54</v>
      </c>
      <c r="I934" s="1"/>
      <c r="J934" s="9" t="s">
        <v>544</v>
      </c>
      <c r="K934" s="10">
        <v>0.491136666666667</v>
      </c>
      <c r="L934" s="1" t="s">
        <v>641</v>
      </c>
      <c r="M934" s="1" t="s">
        <v>76</v>
      </c>
      <c r="N934" s="1" t="s">
        <v>644</v>
      </c>
      <c r="O934" s="1" t="s">
        <v>30</v>
      </c>
      <c r="P934" s="82">
        <v>0.27600000000000002</v>
      </c>
      <c r="Q934" s="1" t="s">
        <v>76</v>
      </c>
      <c r="R934" s="81" t="s">
        <v>157</v>
      </c>
      <c r="S934" s="1">
        <v>3</v>
      </c>
      <c r="T934" s="1" t="s">
        <v>120</v>
      </c>
      <c r="U934" s="1" t="s">
        <v>658</v>
      </c>
      <c r="V934" s="1" t="s">
        <v>655</v>
      </c>
      <c r="W934" s="1">
        <v>57</v>
      </c>
      <c r="X934" s="1" t="s">
        <v>484</v>
      </c>
      <c r="Y934" s="1" t="s">
        <v>644</v>
      </c>
      <c r="Z934" s="1">
        <v>2E-3</v>
      </c>
      <c r="AA934" s="1">
        <v>4.0000000000000001E-3</v>
      </c>
      <c r="AB934" s="1">
        <v>3.0000000000000001E-3</v>
      </c>
      <c r="AC934" s="1">
        <v>1.0999999999999999E-2</v>
      </c>
      <c r="AD934" s="1">
        <v>3.0000000000000001E-3</v>
      </c>
      <c r="AE934" s="1">
        <v>2E-3</v>
      </c>
      <c r="AF934" s="1">
        <v>4.0000000000000001E-3</v>
      </c>
      <c r="AG934" s="1">
        <v>2E-3</v>
      </c>
      <c r="AH934" s="1">
        <v>8.0000000000000002E-3</v>
      </c>
      <c r="AI934" s="1">
        <v>1E-3</v>
      </c>
      <c r="AJ934" s="1">
        <v>2E-3</v>
      </c>
      <c r="AK934" s="1">
        <v>6.0000000000000001E-3</v>
      </c>
      <c r="AL934" s="1">
        <v>4.0000000000000001E-3</v>
      </c>
      <c r="AM934" s="1">
        <v>1E-3</v>
      </c>
      <c r="AN934" s="1">
        <v>2E-3</v>
      </c>
      <c r="AO934" s="1">
        <v>4.0000000000000001E-3</v>
      </c>
      <c r="AP934" s="1">
        <v>2E-3</v>
      </c>
      <c r="AQ934" s="1">
        <v>2E-3</v>
      </c>
      <c r="AR934" s="1">
        <v>3.0000000000000001E-3</v>
      </c>
      <c r="AS934" s="1">
        <v>1.0999999999999999E-2</v>
      </c>
      <c r="AT934" s="1">
        <v>8.0000000000000002E-3</v>
      </c>
      <c r="AU934" s="1">
        <v>8.0000000000000002E-3</v>
      </c>
      <c r="AV934" s="1">
        <v>2E-3</v>
      </c>
      <c r="AW934" s="1">
        <v>7.0000000000000001E-3</v>
      </c>
      <c r="AX934" s="1">
        <v>5.0000000000000001E-3</v>
      </c>
      <c r="AY934" s="1">
        <v>0.27600000000000002</v>
      </c>
      <c r="AZ934" s="1">
        <v>7.0000000000000007E-2</v>
      </c>
      <c r="BA934" s="1">
        <v>2.4E-2</v>
      </c>
      <c r="BB934" s="1">
        <v>3.0000000000000001E-3</v>
      </c>
      <c r="BC934" s="1">
        <v>2E-3</v>
      </c>
      <c r="BD934" s="1">
        <v>1.2999999999999999E-2</v>
      </c>
      <c r="BE934" s="1">
        <v>3.0000000000000001E-3</v>
      </c>
      <c r="BF934" s="1">
        <v>2E-3</v>
      </c>
      <c r="BG934" s="1">
        <v>2E-3</v>
      </c>
      <c r="BH934" s="1">
        <v>2E-3</v>
      </c>
      <c r="BI934" s="1">
        <v>2E-3</v>
      </c>
      <c r="BJ934" s="1">
        <v>2E-3</v>
      </c>
      <c r="BK934" s="1">
        <v>4.0000000000000001E-3</v>
      </c>
      <c r="BL934" s="1">
        <v>1.7999999999999999E-2</v>
      </c>
      <c r="BM934" s="1">
        <v>4.0000000000000001E-3</v>
      </c>
      <c r="BN934" s="1">
        <v>5.0000000000000001E-3</v>
      </c>
      <c r="BO934" s="1">
        <v>2E-3</v>
      </c>
      <c r="BP934" s="1">
        <v>1E-3</v>
      </c>
      <c r="BQ934" s="1">
        <v>1.7000000000000001E-2</v>
      </c>
      <c r="BR934" s="1">
        <v>6.0000000000000001E-3</v>
      </c>
      <c r="BS934" s="1">
        <v>3.0000000000000001E-3</v>
      </c>
      <c r="BT934" s="1">
        <v>2E-3</v>
      </c>
      <c r="BU934" s="1">
        <v>3.0000000000000001E-3</v>
      </c>
      <c r="BV934" s="1">
        <v>2E-3</v>
      </c>
      <c r="BW934" s="1">
        <v>0.219</v>
      </c>
      <c r="BX934" s="1">
        <v>7.0000000000000001E-3</v>
      </c>
      <c r="BY934" s="1">
        <v>8.9999999999999993E-3</v>
      </c>
      <c r="BZ934" s="1">
        <v>1.2E-2</v>
      </c>
      <c r="CA934" s="1">
        <v>4.0000000000000001E-3</v>
      </c>
      <c r="CB934" s="1">
        <v>2E-3</v>
      </c>
      <c r="CC934" s="1">
        <v>4.0000000000000001E-3</v>
      </c>
      <c r="CD934" s="1">
        <v>5.0000000000000001E-3</v>
      </c>
      <c r="CE934" s="1">
        <v>4.0000000000000001E-3</v>
      </c>
      <c r="CF934" s="1">
        <v>3.0000000000000001E-3</v>
      </c>
      <c r="CG934" s="1">
        <v>6.0000000000000001E-3</v>
      </c>
      <c r="CH934" s="1">
        <v>1.2999999999999999E-2</v>
      </c>
      <c r="CI934" s="1">
        <v>5.0000000000000001E-3</v>
      </c>
      <c r="CJ934" s="1">
        <v>0.01</v>
      </c>
      <c r="CK934" s="1">
        <v>9.2999999999999999E-2</v>
      </c>
      <c r="CL934" s="1">
        <v>3.3000000000000002E-2</v>
      </c>
      <c r="CM934" s="1">
        <v>-46.872165250000002</v>
      </c>
      <c r="CN934" s="83">
        <v>48.29985293</v>
      </c>
    </row>
    <row r="935" spans="1:92" s="3" customFormat="1" x14ac:dyDescent="0.25">
      <c r="A935" s="72">
        <v>978</v>
      </c>
      <c r="B935" s="81" t="s">
        <v>720</v>
      </c>
      <c r="C935" s="1" t="s">
        <v>83</v>
      </c>
      <c r="D935" s="1" t="s">
        <v>73</v>
      </c>
      <c r="E935" s="1" t="s">
        <v>74</v>
      </c>
      <c r="F935" s="1" t="s">
        <v>665</v>
      </c>
      <c r="G935" s="1" t="s">
        <v>98</v>
      </c>
      <c r="H935" s="1" t="s">
        <v>48</v>
      </c>
      <c r="I935" s="1"/>
      <c r="J935" s="9" t="s">
        <v>544</v>
      </c>
      <c r="K935" s="10">
        <v>0.49523466666666599</v>
      </c>
      <c r="L935" s="1" t="s">
        <v>511</v>
      </c>
      <c r="M935" s="1" t="s">
        <v>76</v>
      </c>
      <c r="N935" s="1" t="s">
        <v>644</v>
      </c>
      <c r="O935" s="1" t="s">
        <v>54</v>
      </c>
      <c r="P935" s="82">
        <v>0.86199999999999999</v>
      </c>
      <c r="Q935" s="1" t="s">
        <v>76</v>
      </c>
      <c r="R935" s="81" t="s">
        <v>171</v>
      </c>
      <c r="S935" s="1">
        <v>2</v>
      </c>
      <c r="T935" s="1" t="s">
        <v>120</v>
      </c>
      <c r="U935" s="1" t="s">
        <v>659</v>
      </c>
      <c r="V935" s="1" t="s">
        <v>655</v>
      </c>
      <c r="W935" s="1">
        <v>21</v>
      </c>
      <c r="X935" s="1" t="s">
        <v>485</v>
      </c>
      <c r="Y935" s="1" t="s">
        <v>648</v>
      </c>
      <c r="Z935" s="1">
        <v>0</v>
      </c>
      <c r="AA935" s="1">
        <v>1E-3</v>
      </c>
      <c r="AB935" s="1">
        <v>1E-3</v>
      </c>
      <c r="AC935" s="1">
        <v>4.0000000000000001E-3</v>
      </c>
      <c r="AD935" s="1">
        <v>1E-3</v>
      </c>
      <c r="AE935" s="1">
        <v>1E-3</v>
      </c>
      <c r="AF935" s="1">
        <v>1E-3</v>
      </c>
      <c r="AG935" s="1">
        <v>0</v>
      </c>
      <c r="AH935" s="1">
        <v>3.0000000000000001E-3</v>
      </c>
      <c r="AI935" s="1">
        <v>0</v>
      </c>
      <c r="AJ935" s="1">
        <v>1E-3</v>
      </c>
      <c r="AK935" s="1">
        <v>3.0000000000000001E-3</v>
      </c>
      <c r="AL935" s="1">
        <v>1E-3</v>
      </c>
      <c r="AM935" s="1">
        <v>0</v>
      </c>
      <c r="AN935" s="1">
        <v>1E-3</v>
      </c>
      <c r="AO935" s="1">
        <v>1E-3</v>
      </c>
      <c r="AP935" s="1">
        <v>1E-3</v>
      </c>
      <c r="AQ935" s="1">
        <v>1E-3</v>
      </c>
      <c r="AR935" s="1">
        <v>1E-3</v>
      </c>
      <c r="AS935" s="1">
        <v>4.0000000000000001E-3</v>
      </c>
      <c r="AT935" s="1">
        <v>2E-3</v>
      </c>
      <c r="AU935" s="1">
        <v>2E-3</v>
      </c>
      <c r="AV935" s="1">
        <v>1E-3</v>
      </c>
      <c r="AW935" s="1">
        <v>2E-3</v>
      </c>
      <c r="AX935" s="1">
        <v>1E-3</v>
      </c>
      <c r="AY935" s="1">
        <v>8.9999999999999993E-3</v>
      </c>
      <c r="AZ935" s="1">
        <v>4.0000000000000001E-3</v>
      </c>
      <c r="BA935" s="1">
        <v>8.0000000000000002E-3</v>
      </c>
      <c r="BB935" s="1">
        <v>2E-3</v>
      </c>
      <c r="BC935" s="1">
        <v>0</v>
      </c>
      <c r="BD935" s="1">
        <v>3.0000000000000001E-3</v>
      </c>
      <c r="BE935" s="1">
        <v>1E-3</v>
      </c>
      <c r="BF935" s="1">
        <v>0</v>
      </c>
      <c r="BG935" s="1">
        <v>1E-3</v>
      </c>
      <c r="BH935" s="1">
        <v>1E-3</v>
      </c>
      <c r="BI935" s="1">
        <v>1E-3</v>
      </c>
      <c r="BJ935" s="1">
        <v>0</v>
      </c>
      <c r="BK935" s="1">
        <v>0</v>
      </c>
      <c r="BL935" s="1">
        <v>3.0000000000000001E-3</v>
      </c>
      <c r="BM935" s="1">
        <v>1E-3</v>
      </c>
      <c r="BN935" s="1">
        <v>1E-3</v>
      </c>
      <c r="BO935" s="1">
        <v>0</v>
      </c>
      <c r="BP935" s="1">
        <v>0</v>
      </c>
      <c r="BQ935" s="1">
        <v>3.0000000000000001E-3</v>
      </c>
      <c r="BR935" s="1">
        <v>1E-3</v>
      </c>
      <c r="BS935" s="1">
        <v>1E-3</v>
      </c>
      <c r="BT935" s="1">
        <v>1E-3</v>
      </c>
      <c r="BU935" s="1">
        <v>0</v>
      </c>
      <c r="BV935" s="1">
        <v>2E-3</v>
      </c>
      <c r="BW935" s="1">
        <v>0.86199999999999999</v>
      </c>
      <c r="BX935" s="1">
        <v>3.0000000000000001E-3</v>
      </c>
      <c r="BY935" s="1">
        <v>3.0000000000000001E-3</v>
      </c>
      <c r="BZ935" s="1">
        <v>2E-3</v>
      </c>
      <c r="CA935" s="1">
        <v>1E-3</v>
      </c>
      <c r="CB935" s="1">
        <v>0</v>
      </c>
      <c r="CC935" s="1">
        <v>1E-3</v>
      </c>
      <c r="CD935" s="1">
        <v>0</v>
      </c>
      <c r="CE935" s="1">
        <v>1E-3</v>
      </c>
      <c r="CF935" s="1">
        <v>1E-3</v>
      </c>
      <c r="CG935" s="1">
        <v>2E-3</v>
      </c>
      <c r="CH935" s="1">
        <v>3.0000000000000001E-3</v>
      </c>
      <c r="CI935" s="1">
        <v>1E-3</v>
      </c>
      <c r="CJ935" s="1">
        <v>3.0000000000000001E-3</v>
      </c>
      <c r="CK935" s="1">
        <v>3.4000000000000002E-2</v>
      </c>
      <c r="CL935" s="1">
        <v>5.0000000000000001E-3</v>
      </c>
      <c r="CM935" s="1">
        <v>-66.580048349999998</v>
      </c>
      <c r="CN935" s="83">
        <v>26.67343949</v>
      </c>
    </row>
    <row r="936" spans="1:92" s="3" customFormat="1" x14ac:dyDescent="0.25">
      <c r="A936" s="72">
        <v>980</v>
      </c>
      <c r="B936" s="81" t="s">
        <v>821</v>
      </c>
      <c r="C936" s="1" t="s">
        <v>83</v>
      </c>
      <c r="D936" s="1" t="s">
        <v>73</v>
      </c>
      <c r="E936" s="1" t="s">
        <v>74</v>
      </c>
      <c r="F936" s="1" t="s">
        <v>93</v>
      </c>
      <c r="G936" s="1" t="s">
        <v>94</v>
      </c>
      <c r="H936" s="1" t="s">
        <v>525</v>
      </c>
      <c r="I936" s="1"/>
      <c r="J936" s="9" t="s">
        <v>506</v>
      </c>
      <c r="K936" s="10">
        <v>0.27073233333333302</v>
      </c>
      <c r="L936" s="1" t="s">
        <v>641</v>
      </c>
      <c r="M936" s="1" t="s">
        <v>76</v>
      </c>
      <c r="N936" s="1" t="s">
        <v>644</v>
      </c>
      <c r="O936" s="1" t="s">
        <v>34</v>
      </c>
      <c r="P936" s="82">
        <v>0.55800000000000005</v>
      </c>
      <c r="Q936" s="1" t="s">
        <v>76</v>
      </c>
      <c r="R936" s="81" t="s">
        <v>87</v>
      </c>
      <c r="S936" s="1">
        <v>3</v>
      </c>
      <c r="T936" s="1" t="s">
        <v>78</v>
      </c>
      <c r="U936" s="1" t="s">
        <v>658</v>
      </c>
      <c r="V936" s="1" t="s">
        <v>655</v>
      </c>
      <c r="W936" s="1">
        <v>33</v>
      </c>
      <c r="X936" s="1" t="s">
        <v>486</v>
      </c>
      <c r="Y936" s="1" t="s">
        <v>644</v>
      </c>
      <c r="Z936" s="1">
        <v>0.182</v>
      </c>
      <c r="AA936" s="1">
        <v>1E-3</v>
      </c>
      <c r="AB936" s="1">
        <v>1E-3</v>
      </c>
      <c r="AC936" s="1">
        <v>0.02</v>
      </c>
      <c r="AD936" s="1">
        <v>1E-3</v>
      </c>
      <c r="AE936" s="1">
        <v>1E-3</v>
      </c>
      <c r="AF936" s="1">
        <v>1E-3</v>
      </c>
      <c r="AG936" s="1">
        <v>0</v>
      </c>
      <c r="AH936" s="1">
        <v>5.6000000000000001E-2</v>
      </c>
      <c r="AI936" s="1">
        <v>5.0000000000000001E-3</v>
      </c>
      <c r="AJ936" s="1">
        <v>1E-3</v>
      </c>
      <c r="AK936" s="1">
        <v>1E-3</v>
      </c>
      <c r="AL936" s="1">
        <v>0.01</v>
      </c>
      <c r="AM936" s="1">
        <v>0</v>
      </c>
      <c r="AN936" s="1">
        <v>2.1999999999999999E-2</v>
      </c>
      <c r="AO936" s="1">
        <v>1E-3</v>
      </c>
      <c r="AP936" s="1">
        <v>1E-3</v>
      </c>
      <c r="AQ936" s="1">
        <v>1E-3</v>
      </c>
      <c r="AR936" s="1">
        <v>1E-3</v>
      </c>
      <c r="AS936" s="1">
        <v>3.0000000000000001E-3</v>
      </c>
      <c r="AT936" s="1">
        <v>2E-3</v>
      </c>
      <c r="AU936" s="1">
        <v>1E-3</v>
      </c>
      <c r="AV936" s="1">
        <v>2E-3</v>
      </c>
      <c r="AW936" s="1">
        <v>1E-3</v>
      </c>
      <c r="AX936" s="1">
        <v>1.2999999999999999E-2</v>
      </c>
      <c r="AY936" s="1">
        <v>2E-3</v>
      </c>
      <c r="AZ936" s="1">
        <v>2E-3</v>
      </c>
      <c r="BA936" s="1">
        <v>5.0000000000000001E-3</v>
      </c>
      <c r="BB936" s="1">
        <v>1E-3</v>
      </c>
      <c r="BC936" s="1">
        <v>0.55800000000000005</v>
      </c>
      <c r="BD936" s="1">
        <v>7.0000000000000001E-3</v>
      </c>
      <c r="BE936" s="1">
        <v>1E-3</v>
      </c>
      <c r="BF936" s="1">
        <v>5.0000000000000001E-3</v>
      </c>
      <c r="BG936" s="1">
        <v>0</v>
      </c>
      <c r="BH936" s="1">
        <v>2E-3</v>
      </c>
      <c r="BI936" s="1">
        <v>1E-3</v>
      </c>
      <c r="BJ936" s="1">
        <v>0</v>
      </c>
      <c r="BK936" s="1">
        <v>1E-3</v>
      </c>
      <c r="BL936" s="1">
        <v>6.0000000000000001E-3</v>
      </c>
      <c r="BM936" s="1">
        <v>2E-3</v>
      </c>
      <c r="BN936" s="1">
        <v>2E-3</v>
      </c>
      <c r="BO936" s="1">
        <v>1E-3</v>
      </c>
      <c r="BP936" s="1">
        <v>0</v>
      </c>
      <c r="BQ936" s="1">
        <v>2E-3</v>
      </c>
      <c r="BR936" s="1">
        <v>2E-3</v>
      </c>
      <c r="BS936" s="1">
        <v>1E-3</v>
      </c>
      <c r="BT936" s="1">
        <v>1E-3</v>
      </c>
      <c r="BU936" s="1">
        <v>1E-3</v>
      </c>
      <c r="BV936" s="1">
        <v>1E-3</v>
      </c>
      <c r="BW936" s="1">
        <v>1E-3</v>
      </c>
      <c r="BX936" s="1">
        <v>8.0000000000000002E-3</v>
      </c>
      <c r="BY936" s="1">
        <v>7.0000000000000001E-3</v>
      </c>
      <c r="BZ936" s="1">
        <v>2E-3</v>
      </c>
      <c r="CA936" s="1">
        <v>2E-3</v>
      </c>
      <c r="CB936" s="1">
        <v>0</v>
      </c>
      <c r="CC936" s="1">
        <v>1E-3</v>
      </c>
      <c r="CD936" s="1">
        <v>0</v>
      </c>
      <c r="CE936" s="1">
        <v>1E-3</v>
      </c>
      <c r="CF936" s="1">
        <v>2E-3</v>
      </c>
      <c r="CG936" s="1">
        <v>4.0000000000000001E-3</v>
      </c>
      <c r="CH936" s="1">
        <v>2E-3</v>
      </c>
      <c r="CI936" s="1">
        <v>2E-3</v>
      </c>
      <c r="CJ936" s="1">
        <v>4.0000000000000001E-3</v>
      </c>
      <c r="CK936" s="1">
        <v>2.9000000000000001E-2</v>
      </c>
      <c r="CL936" s="1">
        <v>2E-3</v>
      </c>
      <c r="CM936" s="1">
        <v>4.2484272120000002</v>
      </c>
      <c r="CN936" s="83">
        <v>-24.721365649999999</v>
      </c>
    </row>
    <row r="937" spans="1:92" s="3" customFormat="1" x14ac:dyDescent="0.25">
      <c r="A937" s="72">
        <v>981</v>
      </c>
      <c r="B937" s="81" t="s">
        <v>782</v>
      </c>
      <c r="C937" s="1" t="s">
        <v>83</v>
      </c>
      <c r="D937" s="1" t="s">
        <v>73</v>
      </c>
      <c r="E937" s="1" t="s">
        <v>74</v>
      </c>
      <c r="F937" s="1" t="s">
        <v>93</v>
      </c>
      <c r="G937" s="1" t="s">
        <v>94</v>
      </c>
      <c r="H937" s="1" t="s">
        <v>525</v>
      </c>
      <c r="I937" s="1"/>
      <c r="J937" s="9" t="s">
        <v>506</v>
      </c>
      <c r="K937" s="10">
        <v>0.308065166666667</v>
      </c>
      <c r="L937" s="1" t="s">
        <v>587</v>
      </c>
      <c r="M937" s="1" t="s">
        <v>506</v>
      </c>
      <c r="N937" s="2" t="s">
        <v>1711</v>
      </c>
      <c r="O937" s="1" t="s">
        <v>34</v>
      </c>
      <c r="P937" s="82">
        <v>0.95099999999999996</v>
      </c>
      <c r="Q937" s="1" t="s">
        <v>76</v>
      </c>
      <c r="R937" s="81" t="s">
        <v>487</v>
      </c>
      <c r="S937" s="1" t="s">
        <v>76</v>
      </c>
      <c r="T937" s="1" t="s">
        <v>342</v>
      </c>
      <c r="U937" s="1" t="s">
        <v>658</v>
      </c>
      <c r="V937" s="1" t="s">
        <v>655</v>
      </c>
      <c r="W937" s="1">
        <v>62</v>
      </c>
      <c r="X937" s="1" t="s">
        <v>488</v>
      </c>
      <c r="Y937" s="2" t="s">
        <v>1711</v>
      </c>
      <c r="Z937" s="1">
        <v>0</v>
      </c>
      <c r="AA937" s="1">
        <v>0</v>
      </c>
      <c r="AB937" s="1">
        <v>0</v>
      </c>
      <c r="AC937" s="1">
        <v>2E-3</v>
      </c>
      <c r="AD937" s="1">
        <v>0</v>
      </c>
      <c r="AE937" s="1">
        <v>0</v>
      </c>
      <c r="AF937" s="1">
        <v>0</v>
      </c>
      <c r="AG937" s="1">
        <v>0</v>
      </c>
      <c r="AH937" s="1">
        <v>1E-3</v>
      </c>
      <c r="AI937" s="1">
        <v>0</v>
      </c>
      <c r="AJ937" s="1">
        <v>0</v>
      </c>
      <c r="AK937" s="1">
        <v>0</v>
      </c>
      <c r="AL937" s="1">
        <v>1.6E-2</v>
      </c>
      <c r="AM937" s="1">
        <v>0</v>
      </c>
      <c r="AN937" s="1">
        <v>1E-3</v>
      </c>
      <c r="AO937" s="1">
        <v>0</v>
      </c>
      <c r="AP937" s="1">
        <v>0</v>
      </c>
      <c r="AQ937" s="1">
        <v>0</v>
      </c>
      <c r="AR937" s="1">
        <v>0</v>
      </c>
      <c r="AS937" s="1">
        <v>1E-3</v>
      </c>
      <c r="AT937" s="1">
        <v>0</v>
      </c>
      <c r="AU937" s="1">
        <v>0</v>
      </c>
      <c r="AV937" s="1">
        <v>0</v>
      </c>
      <c r="AW937" s="1">
        <v>0</v>
      </c>
      <c r="AX937" s="1">
        <v>2E-3</v>
      </c>
      <c r="AY937" s="1">
        <v>0</v>
      </c>
      <c r="AZ937" s="1">
        <v>0</v>
      </c>
      <c r="BA937" s="1">
        <v>1E-3</v>
      </c>
      <c r="BB937" s="1">
        <v>0</v>
      </c>
      <c r="BC937" s="1">
        <v>0.95099999999999996</v>
      </c>
      <c r="BD937" s="1">
        <v>1E-3</v>
      </c>
      <c r="BE937" s="1">
        <v>0</v>
      </c>
      <c r="BF937" s="1">
        <v>2E-3</v>
      </c>
      <c r="BG937" s="1">
        <v>0</v>
      </c>
      <c r="BH937" s="1">
        <v>1E-3</v>
      </c>
      <c r="BI937" s="1">
        <v>0</v>
      </c>
      <c r="BJ937" s="1">
        <v>0</v>
      </c>
      <c r="BK937" s="1">
        <v>0</v>
      </c>
      <c r="BL937" s="1">
        <v>2E-3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2E-3</v>
      </c>
      <c r="BY937" s="1">
        <v>1E-3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1E-3</v>
      </c>
      <c r="CK937" s="1">
        <v>7.0000000000000001E-3</v>
      </c>
      <c r="CL937" s="1">
        <v>0</v>
      </c>
      <c r="CM937" s="1">
        <v>15.56544044</v>
      </c>
      <c r="CN937" s="83">
        <v>-29.750079280000001</v>
      </c>
    </row>
    <row r="938" spans="1:92" s="3" customFormat="1" x14ac:dyDescent="0.25">
      <c r="A938" s="72">
        <v>982</v>
      </c>
      <c r="B938" s="81" t="s">
        <v>758</v>
      </c>
      <c r="C938" s="1" t="s">
        <v>83</v>
      </c>
      <c r="D938" s="1" t="s">
        <v>73</v>
      </c>
      <c r="E938" s="1" t="s">
        <v>99</v>
      </c>
      <c r="F938" s="1" t="s">
        <v>128</v>
      </c>
      <c r="G938" s="1" t="s">
        <v>303</v>
      </c>
      <c r="H938" s="1" t="s">
        <v>441</v>
      </c>
      <c r="I938" s="1"/>
      <c r="J938" s="9" t="s">
        <v>441</v>
      </c>
      <c r="K938" s="10">
        <v>0.34021100000000098</v>
      </c>
      <c r="L938" s="1"/>
      <c r="M938" s="1"/>
      <c r="N938" s="1" t="s">
        <v>441</v>
      </c>
      <c r="O938" s="1" t="s">
        <v>441</v>
      </c>
      <c r="P938" s="82" t="s">
        <v>76</v>
      </c>
      <c r="Q938" s="1" t="s">
        <v>76</v>
      </c>
      <c r="R938" s="81" t="s">
        <v>87</v>
      </c>
      <c r="S938" s="1">
        <v>3</v>
      </c>
      <c r="T938" s="1" t="s">
        <v>78</v>
      </c>
      <c r="U938" s="1" t="s">
        <v>658</v>
      </c>
      <c r="V938" s="1" t="s">
        <v>655</v>
      </c>
      <c r="W938" s="1">
        <v>17</v>
      </c>
      <c r="X938" s="1"/>
      <c r="Y938" s="1" t="s">
        <v>441</v>
      </c>
      <c r="Z938" s="1" t="s">
        <v>76</v>
      </c>
      <c r="AA938" s="1" t="s">
        <v>76</v>
      </c>
      <c r="AB938" s="1" t="s">
        <v>76</v>
      </c>
      <c r="AC938" s="1" t="s">
        <v>76</v>
      </c>
      <c r="AD938" s="1" t="s">
        <v>76</v>
      </c>
      <c r="AE938" s="1" t="s">
        <v>76</v>
      </c>
      <c r="AF938" s="1" t="s">
        <v>76</v>
      </c>
      <c r="AG938" s="1" t="s">
        <v>76</v>
      </c>
      <c r="AH938" s="1" t="s">
        <v>76</v>
      </c>
      <c r="AI938" s="1" t="s">
        <v>76</v>
      </c>
      <c r="AJ938" s="1" t="s">
        <v>76</v>
      </c>
      <c r="AK938" s="1" t="s">
        <v>76</v>
      </c>
      <c r="AL938" s="1" t="s">
        <v>76</v>
      </c>
      <c r="AM938" s="1" t="s">
        <v>76</v>
      </c>
      <c r="AN938" s="1" t="s">
        <v>76</v>
      </c>
      <c r="AO938" s="1" t="s">
        <v>76</v>
      </c>
      <c r="AP938" s="1" t="s">
        <v>76</v>
      </c>
      <c r="AQ938" s="1" t="s">
        <v>76</v>
      </c>
      <c r="AR938" s="1" t="s">
        <v>76</v>
      </c>
      <c r="AS938" s="1" t="s">
        <v>76</v>
      </c>
      <c r="AT938" s="1" t="s">
        <v>76</v>
      </c>
      <c r="AU938" s="1" t="s">
        <v>76</v>
      </c>
      <c r="AV938" s="1" t="s">
        <v>76</v>
      </c>
      <c r="AW938" s="1" t="s">
        <v>76</v>
      </c>
      <c r="AX938" s="1" t="s">
        <v>76</v>
      </c>
      <c r="AY938" s="1" t="s">
        <v>76</v>
      </c>
      <c r="AZ938" s="1" t="s">
        <v>76</v>
      </c>
      <c r="BA938" s="1" t="s">
        <v>76</v>
      </c>
      <c r="BB938" s="1" t="s">
        <v>76</v>
      </c>
      <c r="BC938" s="1" t="s">
        <v>76</v>
      </c>
      <c r="BD938" s="1" t="s">
        <v>76</v>
      </c>
      <c r="BE938" s="1" t="s">
        <v>76</v>
      </c>
      <c r="BF938" s="1" t="s">
        <v>76</v>
      </c>
      <c r="BG938" s="1" t="s">
        <v>76</v>
      </c>
      <c r="BH938" s="1" t="s">
        <v>76</v>
      </c>
      <c r="BI938" s="1" t="s">
        <v>76</v>
      </c>
      <c r="BJ938" s="1" t="s">
        <v>76</v>
      </c>
      <c r="BK938" s="1" t="s">
        <v>76</v>
      </c>
      <c r="BL938" s="1" t="s">
        <v>76</v>
      </c>
      <c r="BM938" s="1" t="s">
        <v>76</v>
      </c>
      <c r="BN938" s="1" t="s">
        <v>76</v>
      </c>
      <c r="BO938" s="1" t="s">
        <v>76</v>
      </c>
      <c r="BP938" s="1" t="s">
        <v>76</v>
      </c>
      <c r="BQ938" s="1" t="s">
        <v>76</v>
      </c>
      <c r="BR938" s="1" t="s">
        <v>76</v>
      </c>
      <c r="BS938" s="1" t="s">
        <v>76</v>
      </c>
      <c r="BT938" s="1" t="s">
        <v>76</v>
      </c>
      <c r="BU938" s="1" t="s">
        <v>76</v>
      </c>
      <c r="BV938" s="1" t="s">
        <v>76</v>
      </c>
      <c r="BW938" s="1" t="s">
        <v>76</v>
      </c>
      <c r="BX938" s="1" t="s">
        <v>76</v>
      </c>
      <c r="BY938" s="1" t="s">
        <v>76</v>
      </c>
      <c r="BZ938" s="1" t="s">
        <v>76</v>
      </c>
      <c r="CA938" s="1" t="s">
        <v>76</v>
      </c>
      <c r="CB938" s="1" t="s">
        <v>76</v>
      </c>
      <c r="CC938" s="1" t="s">
        <v>76</v>
      </c>
      <c r="CD938" s="1" t="s">
        <v>76</v>
      </c>
      <c r="CE938" s="1" t="s">
        <v>76</v>
      </c>
      <c r="CF938" s="1" t="s">
        <v>76</v>
      </c>
      <c r="CG938" s="1" t="s">
        <v>76</v>
      </c>
      <c r="CH938" s="1" t="s">
        <v>76</v>
      </c>
      <c r="CI938" s="1" t="s">
        <v>76</v>
      </c>
      <c r="CJ938" s="1" t="s">
        <v>76</v>
      </c>
      <c r="CK938" s="1" t="s">
        <v>76</v>
      </c>
      <c r="CL938" s="1" t="s">
        <v>76</v>
      </c>
      <c r="CM938" s="1" t="s">
        <v>76</v>
      </c>
      <c r="CN938" s="83" t="s">
        <v>76</v>
      </c>
    </row>
    <row r="939" spans="1:92" s="3" customFormat="1" x14ac:dyDescent="0.25">
      <c r="A939" s="72">
        <v>987</v>
      </c>
      <c r="B939" s="81" t="s">
        <v>768</v>
      </c>
      <c r="C939" s="1" t="s">
        <v>83</v>
      </c>
      <c r="D939" s="1" t="s">
        <v>73</v>
      </c>
      <c r="E939" s="1" t="s">
        <v>74</v>
      </c>
      <c r="F939" s="1" t="s">
        <v>267</v>
      </c>
      <c r="G939" s="1" t="s">
        <v>80</v>
      </c>
      <c r="H939" s="1" t="s">
        <v>13</v>
      </c>
      <c r="I939" s="1"/>
      <c r="J939" s="9" t="s">
        <v>544</v>
      </c>
      <c r="K939" s="10">
        <v>0.410793666666667</v>
      </c>
      <c r="L939" s="1" t="s">
        <v>76</v>
      </c>
      <c r="M939" s="1" t="s">
        <v>506</v>
      </c>
      <c r="N939" s="1" t="s">
        <v>645</v>
      </c>
      <c r="O939" s="1" t="s">
        <v>13</v>
      </c>
      <c r="P939" s="82">
        <v>1</v>
      </c>
      <c r="Q939" s="1" t="s">
        <v>76</v>
      </c>
      <c r="R939" s="81" t="s">
        <v>95</v>
      </c>
      <c r="S939" s="1" t="s">
        <v>76</v>
      </c>
      <c r="T939" s="1" t="s">
        <v>78</v>
      </c>
      <c r="U939" s="1" t="s">
        <v>659</v>
      </c>
      <c r="V939" s="1" t="s">
        <v>655</v>
      </c>
      <c r="W939" s="1">
        <v>63</v>
      </c>
      <c r="X939" s="1" t="s">
        <v>489</v>
      </c>
      <c r="Y939" s="1" t="s">
        <v>645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1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-15.438419619999999</v>
      </c>
      <c r="CN939" s="83">
        <v>-118.4026128</v>
      </c>
    </row>
    <row r="940" spans="1:92" s="3" customFormat="1" x14ac:dyDescent="0.25">
      <c r="A940" s="72">
        <v>988</v>
      </c>
      <c r="B940" s="81" t="s">
        <v>738</v>
      </c>
      <c r="C940" s="1" t="s">
        <v>83</v>
      </c>
      <c r="D940" s="1" t="s">
        <v>73</v>
      </c>
      <c r="E940" s="1" t="s">
        <v>74</v>
      </c>
      <c r="F940" s="1" t="s">
        <v>267</v>
      </c>
      <c r="G940" s="1" t="s">
        <v>80</v>
      </c>
      <c r="H940" s="1" t="s">
        <v>13</v>
      </c>
      <c r="I940" s="1"/>
      <c r="J940" s="9" t="s">
        <v>544</v>
      </c>
      <c r="K940" s="10">
        <v>0.27582266666666699</v>
      </c>
      <c r="L940" s="1" t="s">
        <v>641</v>
      </c>
      <c r="M940" s="1" t="s">
        <v>76</v>
      </c>
      <c r="N940" s="1" t="s">
        <v>649</v>
      </c>
      <c r="O940" s="1" t="s">
        <v>13</v>
      </c>
      <c r="P940" s="82">
        <v>0.73599999999999999</v>
      </c>
      <c r="Q940" s="1" t="s">
        <v>76</v>
      </c>
      <c r="R940" s="81" t="s">
        <v>100</v>
      </c>
      <c r="S940" s="1" t="s">
        <v>76</v>
      </c>
      <c r="T940" s="1" t="s">
        <v>78</v>
      </c>
      <c r="U940" s="1" t="s">
        <v>658</v>
      </c>
      <c r="V940" s="1" t="s">
        <v>655</v>
      </c>
      <c r="W940" s="1">
        <v>84</v>
      </c>
      <c r="X940" s="1" t="s">
        <v>490</v>
      </c>
      <c r="Y940" s="1" t="s">
        <v>649</v>
      </c>
      <c r="Z940" s="1">
        <v>7.0999999999999994E-2</v>
      </c>
      <c r="AA940" s="1">
        <v>0</v>
      </c>
      <c r="AB940" s="1">
        <v>0</v>
      </c>
      <c r="AC940" s="1">
        <v>1.4E-2</v>
      </c>
      <c r="AD940" s="1">
        <v>0</v>
      </c>
      <c r="AE940" s="1">
        <v>1E-3</v>
      </c>
      <c r="AF940" s="1">
        <v>0</v>
      </c>
      <c r="AG940" s="1">
        <v>0</v>
      </c>
      <c r="AH940" s="1">
        <v>0.73599999999999999</v>
      </c>
      <c r="AI940" s="1">
        <v>0.111</v>
      </c>
      <c r="AJ940" s="1">
        <v>0</v>
      </c>
      <c r="AK940" s="1">
        <v>0</v>
      </c>
      <c r="AL940" s="1">
        <v>0</v>
      </c>
      <c r="AM940" s="1">
        <v>0</v>
      </c>
      <c r="AN940" s="1">
        <v>2.4E-2</v>
      </c>
      <c r="AO940" s="1">
        <v>0</v>
      </c>
      <c r="AP940" s="1">
        <v>0</v>
      </c>
      <c r="AQ940" s="1">
        <v>0</v>
      </c>
      <c r="AR940" s="1">
        <v>0</v>
      </c>
      <c r="AS940" s="1">
        <v>1E-3</v>
      </c>
      <c r="AT940" s="1">
        <v>1E-3</v>
      </c>
      <c r="AU940" s="1">
        <v>0</v>
      </c>
      <c r="AV940" s="1">
        <v>1E-3</v>
      </c>
      <c r="AW940" s="1">
        <v>0</v>
      </c>
      <c r="AX940" s="1">
        <v>4.0000000000000001E-3</v>
      </c>
      <c r="AY940" s="1">
        <v>1E-3</v>
      </c>
      <c r="AZ940" s="1">
        <v>1E-3</v>
      </c>
      <c r="BA940" s="1">
        <v>2E-3</v>
      </c>
      <c r="BB940" s="1">
        <v>0</v>
      </c>
      <c r="BC940" s="1">
        <v>0</v>
      </c>
      <c r="BD940" s="1">
        <v>4.0000000000000001E-3</v>
      </c>
      <c r="BE940" s="1">
        <v>0</v>
      </c>
      <c r="BF940" s="1">
        <v>3.0000000000000001E-3</v>
      </c>
      <c r="BG940" s="1">
        <v>0</v>
      </c>
      <c r="BH940" s="1">
        <v>1E-3</v>
      </c>
      <c r="BI940" s="1">
        <v>0</v>
      </c>
      <c r="BJ940" s="1">
        <v>0</v>
      </c>
      <c r="BK940" s="1">
        <v>0</v>
      </c>
      <c r="BL940" s="1">
        <v>1E-3</v>
      </c>
      <c r="BM940" s="1">
        <v>1E-3</v>
      </c>
      <c r="BN940" s="1">
        <v>0</v>
      </c>
      <c r="BO940" s="1">
        <v>0</v>
      </c>
      <c r="BP940" s="1">
        <v>0</v>
      </c>
      <c r="BQ940" s="1">
        <v>1E-3</v>
      </c>
      <c r="BR940" s="1">
        <v>2E-3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2E-3</v>
      </c>
      <c r="BY940" s="1">
        <v>1E-3</v>
      </c>
      <c r="BZ940" s="1">
        <v>1E-3</v>
      </c>
      <c r="CA940" s="1">
        <v>1E-3</v>
      </c>
      <c r="CB940" s="1">
        <v>0</v>
      </c>
      <c r="CC940" s="1">
        <v>0</v>
      </c>
      <c r="CD940" s="1">
        <v>0</v>
      </c>
      <c r="CE940" s="1">
        <v>0</v>
      </c>
      <c r="CF940" s="1">
        <v>1E-3</v>
      </c>
      <c r="CG940" s="1">
        <v>5.0000000000000001E-3</v>
      </c>
      <c r="CH940" s="1">
        <v>1E-3</v>
      </c>
      <c r="CI940" s="1">
        <v>0</v>
      </c>
      <c r="CJ940" s="1">
        <v>2E-3</v>
      </c>
      <c r="CK940" s="1">
        <v>1E-3</v>
      </c>
      <c r="CL940" s="1">
        <v>1E-3</v>
      </c>
      <c r="CM940" s="1">
        <v>-18.840959590000001</v>
      </c>
      <c r="CN940" s="83">
        <v>-64.122977579999997</v>
      </c>
    </row>
    <row r="941" spans="1:92" s="3" customFormat="1" x14ac:dyDescent="0.25">
      <c r="A941" s="72">
        <v>989</v>
      </c>
      <c r="B941" s="81" t="s">
        <v>737</v>
      </c>
      <c r="C941" s="1" t="s">
        <v>83</v>
      </c>
      <c r="D941" s="1" t="s">
        <v>73</v>
      </c>
      <c r="E941" s="1" t="s">
        <v>74</v>
      </c>
      <c r="F941" s="1" t="s">
        <v>267</v>
      </c>
      <c r="G941" s="1" t="s">
        <v>80</v>
      </c>
      <c r="H941" s="1" t="s">
        <v>13</v>
      </c>
      <c r="I941" s="1"/>
      <c r="J941" s="9" t="s">
        <v>544</v>
      </c>
      <c r="K941" s="10">
        <v>0.43056483333333301</v>
      </c>
      <c r="L941" s="1" t="s">
        <v>76</v>
      </c>
      <c r="M941" s="1" t="s">
        <v>506</v>
      </c>
      <c r="N941" s="1" t="s">
        <v>645</v>
      </c>
      <c r="O941" s="1" t="s">
        <v>13</v>
      </c>
      <c r="P941" s="82">
        <v>0.999</v>
      </c>
      <c r="Q941" s="1" t="s">
        <v>76</v>
      </c>
      <c r="R941" s="81" t="s">
        <v>276</v>
      </c>
      <c r="S941" s="1" t="s">
        <v>76</v>
      </c>
      <c r="T941" s="1" t="s">
        <v>78</v>
      </c>
      <c r="U941" s="1" t="s">
        <v>658</v>
      </c>
      <c r="V941" s="1" t="s">
        <v>655</v>
      </c>
      <c r="W941" s="1">
        <v>63</v>
      </c>
      <c r="X941" s="1" t="s">
        <v>491</v>
      </c>
      <c r="Y941" s="1" t="s">
        <v>645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0.999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-27.603170819999999</v>
      </c>
      <c r="CN941" s="83">
        <v>-129.04591629999999</v>
      </c>
    </row>
    <row r="942" spans="1:92" s="3" customFormat="1" x14ac:dyDescent="0.25">
      <c r="A942" s="72">
        <v>990</v>
      </c>
      <c r="B942" s="81" t="s">
        <v>728</v>
      </c>
      <c r="C942" s="1" t="s">
        <v>83</v>
      </c>
      <c r="D942" s="1" t="s">
        <v>73</v>
      </c>
      <c r="E942" s="1" t="s">
        <v>74</v>
      </c>
      <c r="F942" s="1" t="s">
        <v>267</v>
      </c>
      <c r="G942" s="1" t="s">
        <v>80</v>
      </c>
      <c r="H942" s="1" t="s">
        <v>13</v>
      </c>
      <c r="I942" s="1"/>
      <c r="J942" s="9" t="s">
        <v>544</v>
      </c>
      <c r="K942" s="10">
        <v>0.388606333333333</v>
      </c>
      <c r="L942" s="1" t="s">
        <v>76</v>
      </c>
      <c r="M942" s="1" t="s">
        <v>506</v>
      </c>
      <c r="N942" s="1" t="s">
        <v>645</v>
      </c>
      <c r="O942" s="1" t="s">
        <v>13</v>
      </c>
      <c r="P942" s="82">
        <v>0.999</v>
      </c>
      <c r="Q942" s="1" t="s">
        <v>76</v>
      </c>
      <c r="R942" s="81" t="s">
        <v>100</v>
      </c>
      <c r="S942" s="1" t="s">
        <v>76</v>
      </c>
      <c r="T942" s="1" t="s">
        <v>78</v>
      </c>
      <c r="U942" s="1" t="s">
        <v>658</v>
      </c>
      <c r="V942" s="1" t="s">
        <v>655</v>
      </c>
      <c r="W942" s="1">
        <v>67</v>
      </c>
      <c r="X942" s="1" t="s">
        <v>492</v>
      </c>
      <c r="Y942" s="1" t="s">
        <v>645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0.999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-15.63107988</v>
      </c>
      <c r="CN942" s="83">
        <v>-116.72246939999999</v>
      </c>
    </row>
    <row r="943" spans="1:92" s="3" customFormat="1" x14ac:dyDescent="0.25">
      <c r="A943" s="72">
        <v>991</v>
      </c>
      <c r="B943" s="81" t="s">
        <v>1223</v>
      </c>
      <c r="C943" s="1" t="s">
        <v>72</v>
      </c>
      <c r="D943" s="1" t="s">
        <v>79</v>
      </c>
      <c r="E943" s="1" t="s">
        <v>74</v>
      </c>
      <c r="F943" s="1" t="s">
        <v>102</v>
      </c>
      <c r="G943" s="1" t="s">
        <v>80</v>
      </c>
      <c r="H943" s="1" t="s">
        <v>53</v>
      </c>
      <c r="I943" s="1"/>
      <c r="J943" s="9" t="s">
        <v>544</v>
      </c>
      <c r="K943" s="10">
        <v>0.387678999999999</v>
      </c>
      <c r="L943" s="1" t="s">
        <v>641</v>
      </c>
      <c r="M943" s="1" t="s">
        <v>76</v>
      </c>
      <c r="N943" s="1" t="s">
        <v>644</v>
      </c>
      <c r="O943" s="1" t="s">
        <v>55</v>
      </c>
      <c r="P943" s="82">
        <v>0.59399999999999997</v>
      </c>
      <c r="Q943" s="1" t="s">
        <v>76</v>
      </c>
      <c r="R943" s="81" t="s">
        <v>87</v>
      </c>
      <c r="S943" s="1" t="s">
        <v>76</v>
      </c>
      <c r="T943" s="1" t="s">
        <v>78</v>
      </c>
      <c r="U943" s="1" t="s">
        <v>658</v>
      </c>
      <c r="V943" s="1" t="s">
        <v>655</v>
      </c>
      <c r="W943" s="1">
        <v>23</v>
      </c>
      <c r="X943" s="1" t="s">
        <v>121</v>
      </c>
      <c r="Y943" s="1" t="s">
        <v>644</v>
      </c>
      <c r="Z943" s="1">
        <v>4.0000000000000001E-3</v>
      </c>
      <c r="AA943" s="1">
        <v>3.0000000000000001E-3</v>
      </c>
      <c r="AB943" s="1">
        <v>4.0000000000000001E-3</v>
      </c>
      <c r="AC943" s="1">
        <v>0.01</v>
      </c>
      <c r="AD943" s="1">
        <v>5.0000000000000001E-3</v>
      </c>
      <c r="AE943" s="1">
        <v>4.0000000000000001E-3</v>
      </c>
      <c r="AF943" s="1">
        <v>4.0000000000000001E-3</v>
      </c>
      <c r="AG943" s="1">
        <v>0</v>
      </c>
      <c r="AH943" s="1">
        <v>1.2E-2</v>
      </c>
      <c r="AI943" s="1">
        <v>1E-3</v>
      </c>
      <c r="AJ943" s="1">
        <v>3.6999999999999998E-2</v>
      </c>
      <c r="AK943" s="1">
        <v>5.0000000000000001E-3</v>
      </c>
      <c r="AL943" s="1">
        <v>0</v>
      </c>
      <c r="AM943" s="1">
        <v>3.0000000000000001E-3</v>
      </c>
      <c r="AN943" s="1">
        <v>3.2000000000000001E-2</v>
      </c>
      <c r="AO943" s="1">
        <v>2E-3</v>
      </c>
      <c r="AP943" s="1">
        <v>2E-3</v>
      </c>
      <c r="AQ943" s="1">
        <v>2E-3</v>
      </c>
      <c r="AR943" s="1">
        <v>4.0000000000000001E-3</v>
      </c>
      <c r="AS943" s="1">
        <v>7.0000000000000001E-3</v>
      </c>
      <c r="AT943" s="1">
        <v>3.0000000000000001E-3</v>
      </c>
      <c r="AU943" s="1">
        <v>4.0000000000000001E-3</v>
      </c>
      <c r="AV943" s="1">
        <v>5.0000000000000001E-3</v>
      </c>
      <c r="AW943" s="1">
        <v>4.0000000000000001E-3</v>
      </c>
      <c r="AX943" s="1">
        <v>4.0000000000000001E-3</v>
      </c>
      <c r="AY943" s="1">
        <v>5.0000000000000001E-3</v>
      </c>
      <c r="AZ943" s="1">
        <v>8.0000000000000002E-3</v>
      </c>
      <c r="BA943" s="1">
        <v>1.0999999999999999E-2</v>
      </c>
      <c r="BB943" s="1">
        <v>5.0000000000000001E-3</v>
      </c>
      <c r="BC943" s="1">
        <v>2E-3</v>
      </c>
      <c r="BD943" s="1">
        <v>1.4E-2</v>
      </c>
      <c r="BE943" s="1">
        <v>2E-3</v>
      </c>
      <c r="BF943" s="1">
        <v>2E-3</v>
      </c>
      <c r="BG943" s="1">
        <v>2E-3</v>
      </c>
      <c r="BH943" s="1">
        <v>1E-3</v>
      </c>
      <c r="BI943" s="1">
        <v>1E-3</v>
      </c>
      <c r="BJ943" s="1">
        <v>2E-3</v>
      </c>
      <c r="BK943" s="1">
        <v>1E-3</v>
      </c>
      <c r="BL943" s="1">
        <v>4.0000000000000001E-3</v>
      </c>
      <c r="BM943" s="1">
        <v>2E-3</v>
      </c>
      <c r="BN943" s="1">
        <v>3.0000000000000001E-3</v>
      </c>
      <c r="BO943" s="1">
        <v>3.0000000000000001E-3</v>
      </c>
      <c r="BP943" s="1">
        <v>1E-3</v>
      </c>
      <c r="BQ943" s="1">
        <v>5.0000000000000001E-3</v>
      </c>
      <c r="BR943" s="1">
        <v>2E-3</v>
      </c>
      <c r="BS943" s="1">
        <v>4.0000000000000001E-3</v>
      </c>
      <c r="BT943" s="1">
        <v>2E-3</v>
      </c>
      <c r="BU943" s="1">
        <v>5.5E-2</v>
      </c>
      <c r="BV943" s="1">
        <v>3.0000000000000001E-3</v>
      </c>
      <c r="BW943" s="1">
        <v>3.0000000000000001E-3</v>
      </c>
      <c r="BX943" s="1">
        <v>0.59399999999999997</v>
      </c>
      <c r="BY943" s="1">
        <v>7.0000000000000001E-3</v>
      </c>
      <c r="BZ943" s="1">
        <v>6.0000000000000001E-3</v>
      </c>
      <c r="CA943" s="1">
        <v>3.0000000000000001E-3</v>
      </c>
      <c r="CB943" s="1">
        <v>1E-3</v>
      </c>
      <c r="CC943" s="1">
        <v>3.0000000000000001E-3</v>
      </c>
      <c r="CD943" s="1">
        <v>0</v>
      </c>
      <c r="CE943" s="1">
        <v>2E-3</v>
      </c>
      <c r="CF943" s="1">
        <v>2E-3</v>
      </c>
      <c r="CG943" s="1">
        <v>4.0000000000000001E-3</v>
      </c>
      <c r="CH943" s="1">
        <v>4.0000000000000001E-3</v>
      </c>
      <c r="CI943" s="1">
        <v>4.0000000000000001E-3</v>
      </c>
      <c r="CJ943" s="1">
        <v>5.0000000000000001E-3</v>
      </c>
      <c r="CK943" s="1">
        <v>5.2999999999999999E-2</v>
      </c>
      <c r="CL943" s="1">
        <v>0.01</v>
      </c>
      <c r="CM943" s="1">
        <v>-0.32958543499999998</v>
      </c>
      <c r="CN943" s="83">
        <v>117.5650483</v>
      </c>
    </row>
    <row r="944" spans="1:92" s="3" customFormat="1" x14ac:dyDescent="0.25">
      <c r="A944" s="72">
        <v>992</v>
      </c>
      <c r="B944" s="81" t="s">
        <v>1163</v>
      </c>
      <c r="C944" s="1" t="s">
        <v>72</v>
      </c>
      <c r="D944" s="1" t="s">
        <v>79</v>
      </c>
      <c r="E944" s="1" t="s">
        <v>99</v>
      </c>
      <c r="F944" s="1" t="s">
        <v>113</v>
      </c>
      <c r="G944" s="1" t="s">
        <v>80</v>
      </c>
      <c r="H944" s="1" t="s">
        <v>530</v>
      </c>
      <c r="I944" s="1"/>
      <c r="J944" s="9" t="s">
        <v>506</v>
      </c>
      <c r="K944" s="10">
        <v>0.37347483333333298</v>
      </c>
      <c r="L944" s="1" t="s">
        <v>641</v>
      </c>
      <c r="M944" s="1" t="s">
        <v>76</v>
      </c>
      <c r="N944" s="1" t="s">
        <v>644</v>
      </c>
      <c r="O944" s="1" t="s">
        <v>52</v>
      </c>
      <c r="P944" s="82">
        <v>0.41299999999999998</v>
      </c>
      <c r="Q944" s="1" t="s">
        <v>76</v>
      </c>
      <c r="R944" s="81" t="s">
        <v>77</v>
      </c>
      <c r="S944" s="1" t="s">
        <v>76</v>
      </c>
      <c r="T944" s="1" t="s">
        <v>78</v>
      </c>
      <c r="U944" s="1" t="s">
        <v>658</v>
      </c>
      <c r="V944" s="1" t="s">
        <v>655</v>
      </c>
      <c r="W944" s="1">
        <v>20</v>
      </c>
      <c r="X944" s="1" t="s">
        <v>76</v>
      </c>
      <c r="Y944" s="1" t="s">
        <v>644</v>
      </c>
      <c r="Z944" s="1">
        <v>8.0000000000000002E-3</v>
      </c>
      <c r="AA944" s="1">
        <v>4.0000000000000001E-3</v>
      </c>
      <c r="AB944" s="1">
        <v>4.0000000000000001E-3</v>
      </c>
      <c r="AC944" s="1">
        <v>1.4E-2</v>
      </c>
      <c r="AD944" s="1">
        <v>5.0000000000000001E-3</v>
      </c>
      <c r="AE944" s="1">
        <v>8.9999999999999993E-3</v>
      </c>
      <c r="AF944" s="1">
        <v>7.0000000000000001E-3</v>
      </c>
      <c r="AG944" s="1">
        <v>0</v>
      </c>
      <c r="AH944" s="1">
        <v>1.7999999999999999E-2</v>
      </c>
      <c r="AI944" s="1">
        <v>2E-3</v>
      </c>
      <c r="AJ944" s="1">
        <v>4.3999999999999997E-2</v>
      </c>
      <c r="AK944" s="1">
        <v>8.9999999999999993E-3</v>
      </c>
      <c r="AL944" s="1">
        <v>0</v>
      </c>
      <c r="AM944" s="1">
        <v>3.0000000000000001E-3</v>
      </c>
      <c r="AN944" s="1">
        <v>3.7999999999999999E-2</v>
      </c>
      <c r="AO944" s="1">
        <v>3.0000000000000001E-3</v>
      </c>
      <c r="AP944" s="1">
        <v>3.0000000000000001E-3</v>
      </c>
      <c r="AQ944" s="1">
        <v>2E-3</v>
      </c>
      <c r="AR944" s="1">
        <v>0.01</v>
      </c>
      <c r="AS944" s="1">
        <v>0.01</v>
      </c>
      <c r="AT944" s="1">
        <v>5.0000000000000001E-3</v>
      </c>
      <c r="AU944" s="1">
        <v>7.0000000000000001E-3</v>
      </c>
      <c r="AV944" s="1">
        <v>3.0000000000000001E-3</v>
      </c>
      <c r="AW944" s="1">
        <v>4.0000000000000001E-3</v>
      </c>
      <c r="AX944" s="1">
        <v>4.0000000000000001E-3</v>
      </c>
      <c r="AY944" s="1">
        <v>8.0000000000000002E-3</v>
      </c>
      <c r="AZ944" s="1">
        <v>1.2E-2</v>
      </c>
      <c r="BA944" s="1">
        <v>1.9E-2</v>
      </c>
      <c r="BB944" s="1">
        <v>8.0000000000000002E-3</v>
      </c>
      <c r="BC944" s="1">
        <v>2E-3</v>
      </c>
      <c r="BD944" s="1">
        <v>2.3E-2</v>
      </c>
      <c r="BE944" s="1">
        <v>2E-3</v>
      </c>
      <c r="BF944" s="1">
        <v>8.0000000000000002E-3</v>
      </c>
      <c r="BG944" s="1">
        <v>1E-3</v>
      </c>
      <c r="BH944" s="1">
        <v>4.0000000000000001E-3</v>
      </c>
      <c r="BI944" s="1">
        <v>2E-3</v>
      </c>
      <c r="BJ944" s="1">
        <v>1E-3</v>
      </c>
      <c r="BK944" s="1">
        <v>2E-3</v>
      </c>
      <c r="BL944" s="1">
        <v>7.0000000000000001E-3</v>
      </c>
      <c r="BM944" s="1">
        <v>2E-3</v>
      </c>
      <c r="BN944" s="1">
        <v>5.0000000000000001E-3</v>
      </c>
      <c r="BO944" s="1">
        <v>1.2E-2</v>
      </c>
      <c r="BP944" s="1">
        <v>1E-3</v>
      </c>
      <c r="BQ944" s="1">
        <v>7.0000000000000001E-3</v>
      </c>
      <c r="BR944" s="1">
        <v>3.0000000000000001E-3</v>
      </c>
      <c r="BS944" s="1">
        <v>1.6E-2</v>
      </c>
      <c r="BT944" s="1">
        <v>4.0000000000000001E-3</v>
      </c>
      <c r="BU944" s="1">
        <v>0.41299999999999998</v>
      </c>
      <c r="BV944" s="1">
        <v>7.0000000000000001E-3</v>
      </c>
      <c r="BW944" s="1">
        <v>4.0000000000000001E-3</v>
      </c>
      <c r="BX944" s="1">
        <v>5.6000000000000001E-2</v>
      </c>
      <c r="BY944" s="1">
        <v>1.0999999999999999E-2</v>
      </c>
      <c r="BZ944" s="1">
        <v>7.0000000000000001E-3</v>
      </c>
      <c r="CA944" s="1">
        <v>5.0000000000000001E-3</v>
      </c>
      <c r="CB944" s="1">
        <v>2E-3</v>
      </c>
      <c r="CC944" s="1">
        <v>3.0000000000000001E-3</v>
      </c>
      <c r="CD944" s="1">
        <v>0</v>
      </c>
      <c r="CE944" s="1">
        <v>3.0000000000000001E-3</v>
      </c>
      <c r="CF944" s="1">
        <v>3.0000000000000001E-3</v>
      </c>
      <c r="CG944" s="1">
        <v>6.0000000000000001E-3</v>
      </c>
      <c r="CH944" s="1">
        <v>6.0000000000000001E-3</v>
      </c>
      <c r="CI944" s="1">
        <v>8.0000000000000002E-3</v>
      </c>
      <c r="CJ944" s="1">
        <v>7.0000000000000001E-3</v>
      </c>
      <c r="CK944" s="1">
        <v>8.6999999999999994E-2</v>
      </c>
      <c r="CL944" s="1">
        <v>7.0000000000000001E-3</v>
      </c>
      <c r="CM944" s="1">
        <v>8.5501951950000006</v>
      </c>
      <c r="CN944" s="83">
        <v>122.77319799999999</v>
      </c>
    </row>
    <row r="945" spans="1:92" s="3" customFormat="1" x14ac:dyDescent="0.25">
      <c r="A945" s="72">
        <v>993</v>
      </c>
      <c r="B945" s="81" t="s">
        <v>1272</v>
      </c>
      <c r="C945" s="1" t="s">
        <v>72</v>
      </c>
      <c r="D945" s="1" t="s">
        <v>79</v>
      </c>
      <c r="E945" s="1" t="s">
        <v>99</v>
      </c>
      <c r="F945" s="1" t="s">
        <v>112</v>
      </c>
      <c r="G945" s="1" t="s">
        <v>80</v>
      </c>
      <c r="H945" s="1" t="s">
        <v>112</v>
      </c>
      <c r="I945" s="1"/>
      <c r="J945" s="9" t="s">
        <v>506</v>
      </c>
      <c r="K945" s="10">
        <v>0.42946466666666699</v>
      </c>
      <c r="L945" s="1" t="s">
        <v>641</v>
      </c>
      <c r="M945" s="1" t="s">
        <v>76</v>
      </c>
      <c r="N945" s="1" t="s">
        <v>644</v>
      </c>
      <c r="O945" s="1" t="s">
        <v>52</v>
      </c>
      <c r="P945" s="82">
        <v>0.74199999999999999</v>
      </c>
      <c r="Q945" s="1" t="s">
        <v>76</v>
      </c>
      <c r="R945" s="81" t="s">
        <v>91</v>
      </c>
      <c r="S945" s="1" t="s">
        <v>76</v>
      </c>
      <c r="T945" s="1" t="s">
        <v>78</v>
      </c>
      <c r="U945" s="1" t="s">
        <v>658</v>
      </c>
      <c r="V945" s="1" t="s">
        <v>655</v>
      </c>
      <c r="W945" s="1">
        <v>21</v>
      </c>
      <c r="X945" s="1" t="s">
        <v>76</v>
      </c>
      <c r="Y945" s="1" t="s">
        <v>644</v>
      </c>
      <c r="Z945" s="1">
        <v>1E-3</v>
      </c>
      <c r="AA945" s="1">
        <v>2E-3</v>
      </c>
      <c r="AB945" s="1">
        <v>2E-3</v>
      </c>
      <c r="AC945" s="1">
        <v>4.0000000000000001E-3</v>
      </c>
      <c r="AD945" s="1">
        <v>2E-3</v>
      </c>
      <c r="AE945" s="1">
        <v>5.0000000000000001E-3</v>
      </c>
      <c r="AF945" s="1">
        <v>5.0000000000000001E-3</v>
      </c>
      <c r="AG945" s="1">
        <v>0</v>
      </c>
      <c r="AH945" s="1">
        <v>7.0000000000000001E-3</v>
      </c>
      <c r="AI945" s="1">
        <v>1E-3</v>
      </c>
      <c r="AJ945" s="1">
        <v>8.9999999999999993E-3</v>
      </c>
      <c r="AK945" s="1">
        <v>3.5000000000000003E-2</v>
      </c>
      <c r="AL945" s="1">
        <v>0</v>
      </c>
      <c r="AM945" s="1">
        <v>2E-3</v>
      </c>
      <c r="AN945" s="1">
        <v>5.0000000000000001E-3</v>
      </c>
      <c r="AO945" s="1">
        <v>1E-3</v>
      </c>
      <c r="AP945" s="1">
        <v>1E-3</v>
      </c>
      <c r="AQ945" s="1">
        <v>1E-3</v>
      </c>
      <c r="AR945" s="1">
        <v>6.0000000000000001E-3</v>
      </c>
      <c r="AS945" s="1">
        <v>6.0000000000000001E-3</v>
      </c>
      <c r="AT945" s="1">
        <v>2E-3</v>
      </c>
      <c r="AU945" s="1">
        <v>3.0000000000000001E-3</v>
      </c>
      <c r="AV945" s="1">
        <v>1E-3</v>
      </c>
      <c r="AW945" s="1">
        <v>3.0000000000000001E-3</v>
      </c>
      <c r="AX945" s="1">
        <v>1E-3</v>
      </c>
      <c r="AY945" s="1">
        <v>3.0000000000000001E-3</v>
      </c>
      <c r="AZ945" s="1">
        <v>7.0000000000000001E-3</v>
      </c>
      <c r="BA945" s="1">
        <v>1.7999999999999999E-2</v>
      </c>
      <c r="BB945" s="1">
        <v>5.0000000000000001E-3</v>
      </c>
      <c r="BC945" s="1">
        <v>1E-3</v>
      </c>
      <c r="BD945" s="1">
        <v>8.9999999999999993E-3</v>
      </c>
      <c r="BE945" s="1">
        <v>1E-3</v>
      </c>
      <c r="BF945" s="1">
        <v>0</v>
      </c>
      <c r="BG945" s="1">
        <v>1E-3</v>
      </c>
      <c r="BH945" s="1">
        <v>1E-3</v>
      </c>
      <c r="BI945" s="1">
        <v>1E-3</v>
      </c>
      <c r="BJ945" s="1">
        <v>0</v>
      </c>
      <c r="BK945" s="1">
        <v>1E-3</v>
      </c>
      <c r="BL945" s="1">
        <v>2E-3</v>
      </c>
      <c r="BM945" s="1">
        <v>1E-3</v>
      </c>
      <c r="BN945" s="1">
        <v>2E-3</v>
      </c>
      <c r="BO945" s="1">
        <v>5.0000000000000001E-3</v>
      </c>
      <c r="BP945" s="1">
        <v>0</v>
      </c>
      <c r="BQ945" s="1">
        <v>5.0000000000000001E-3</v>
      </c>
      <c r="BR945" s="1">
        <v>1E-3</v>
      </c>
      <c r="BS945" s="1">
        <v>4.0000000000000001E-3</v>
      </c>
      <c r="BT945" s="1">
        <v>2E-3</v>
      </c>
      <c r="BU945" s="1">
        <v>0.74199999999999999</v>
      </c>
      <c r="BV945" s="1">
        <v>4.0000000000000001E-3</v>
      </c>
      <c r="BW945" s="1">
        <v>2E-3</v>
      </c>
      <c r="BX945" s="1">
        <v>1.2E-2</v>
      </c>
      <c r="BY945" s="1">
        <v>5.0000000000000001E-3</v>
      </c>
      <c r="BZ945" s="1">
        <v>3.0000000000000001E-3</v>
      </c>
      <c r="CA945" s="1">
        <v>3.0000000000000001E-3</v>
      </c>
      <c r="CB945" s="1">
        <v>1E-3</v>
      </c>
      <c r="CC945" s="1">
        <v>2E-3</v>
      </c>
      <c r="CD945" s="1">
        <v>0</v>
      </c>
      <c r="CE945" s="1">
        <v>1E-3</v>
      </c>
      <c r="CF945" s="1">
        <v>1E-3</v>
      </c>
      <c r="CG945" s="1">
        <v>2E-3</v>
      </c>
      <c r="CH945" s="1">
        <v>3.0000000000000001E-3</v>
      </c>
      <c r="CI945" s="1">
        <v>4.0000000000000001E-3</v>
      </c>
      <c r="CJ945" s="1">
        <v>5.0000000000000001E-3</v>
      </c>
      <c r="CK945" s="1">
        <v>2.5000000000000001E-2</v>
      </c>
      <c r="CL945" s="1">
        <v>4.0000000000000001E-3</v>
      </c>
      <c r="CM945" s="1">
        <v>-3.9390227580000001</v>
      </c>
      <c r="CN945" s="83">
        <v>125.8174077</v>
      </c>
    </row>
    <row r="946" spans="1:92" s="3" customFormat="1" x14ac:dyDescent="0.25">
      <c r="A946" s="72">
        <v>994</v>
      </c>
      <c r="B946" s="81" t="s">
        <v>1234</v>
      </c>
      <c r="C946" s="1" t="s">
        <v>72</v>
      </c>
      <c r="D946" s="1" t="s">
        <v>79</v>
      </c>
      <c r="E946" s="1" t="s">
        <v>74</v>
      </c>
      <c r="F946" s="1" t="s">
        <v>93</v>
      </c>
      <c r="G946" s="1" t="s">
        <v>80</v>
      </c>
      <c r="H946" s="1" t="s">
        <v>34</v>
      </c>
      <c r="I946" s="1"/>
      <c r="J946" s="9" t="s">
        <v>544</v>
      </c>
      <c r="K946" s="10">
        <v>0.42735016666666698</v>
      </c>
      <c r="L946" s="1" t="s">
        <v>76</v>
      </c>
      <c r="M946" s="1" t="s">
        <v>506</v>
      </c>
      <c r="N946" s="1" t="s">
        <v>645</v>
      </c>
      <c r="O946" s="1" t="s">
        <v>34</v>
      </c>
      <c r="P946" s="82">
        <v>0.998</v>
      </c>
      <c r="Q946" s="1" t="s">
        <v>76</v>
      </c>
      <c r="R946" s="81" t="s">
        <v>77</v>
      </c>
      <c r="S946" s="1" t="s">
        <v>76</v>
      </c>
      <c r="T946" s="1" t="s">
        <v>78</v>
      </c>
      <c r="U946" s="1" t="s">
        <v>658</v>
      </c>
      <c r="V946" s="1" t="s">
        <v>655</v>
      </c>
      <c r="W946" s="1">
        <v>21</v>
      </c>
      <c r="X946" s="1" t="s">
        <v>132</v>
      </c>
      <c r="Y946" s="1" t="s">
        <v>645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2E-3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0.998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1">
        <v>53.772336529999997</v>
      </c>
      <c r="CN946" s="83">
        <v>94.535213830000004</v>
      </c>
    </row>
    <row r="947" spans="1:92" s="3" customFormat="1" x14ac:dyDescent="0.25">
      <c r="A947" s="72">
        <v>995</v>
      </c>
      <c r="B947" s="81" t="s">
        <v>989</v>
      </c>
      <c r="C947" s="1" t="s">
        <v>72</v>
      </c>
      <c r="D947" s="1" t="s">
        <v>79</v>
      </c>
      <c r="E947" s="1" t="s">
        <v>74</v>
      </c>
      <c r="F947" s="1" t="s">
        <v>112</v>
      </c>
      <c r="G947" s="1" t="s">
        <v>80</v>
      </c>
      <c r="H947" s="1" t="s">
        <v>112</v>
      </c>
      <c r="I947" s="1"/>
      <c r="J947" s="9" t="s">
        <v>506</v>
      </c>
      <c r="K947" s="10">
        <v>0.41800283333333299</v>
      </c>
      <c r="L947" s="1" t="s">
        <v>641</v>
      </c>
      <c r="M947" s="1" t="s">
        <v>76</v>
      </c>
      <c r="N947" s="1" t="s">
        <v>644</v>
      </c>
      <c r="O947" s="1" t="s">
        <v>52</v>
      </c>
      <c r="P947" s="82">
        <v>0.88100000000000001</v>
      </c>
      <c r="Q947" s="1" t="s">
        <v>76</v>
      </c>
      <c r="R947" s="81" t="s">
        <v>114</v>
      </c>
      <c r="S947" s="1" t="s">
        <v>76</v>
      </c>
      <c r="T947" s="1" t="s">
        <v>78</v>
      </c>
      <c r="U947" s="1" t="s">
        <v>658</v>
      </c>
      <c r="V947" s="1" t="s">
        <v>655</v>
      </c>
      <c r="W947" s="1">
        <v>44</v>
      </c>
      <c r="X947" s="1" t="s">
        <v>76</v>
      </c>
      <c r="Y947" s="1" t="s">
        <v>644</v>
      </c>
      <c r="Z947" s="1">
        <v>0</v>
      </c>
      <c r="AA947" s="1">
        <v>1E-3</v>
      </c>
      <c r="AB947" s="1">
        <v>1E-3</v>
      </c>
      <c r="AC947" s="1">
        <v>2E-3</v>
      </c>
      <c r="AD947" s="1">
        <v>3.0000000000000001E-3</v>
      </c>
      <c r="AE947" s="1">
        <v>2E-3</v>
      </c>
      <c r="AF947" s="1">
        <v>2E-3</v>
      </c>
      <c r="AG947" s="1">
        <v>0</v>
      </c>
      <c r="AH947" s="1">
        <v>3.0000000000000001E-3</v>
      </c>
      <c r="AI947" s="1">
        <v>0</v>
      </c>
      <c r="AJ947" s="1">
        <v>6.0000000000000001E-3</v>
      </c>
      <c r="AK947" s="1">
        <v>5.0000000000000001E-3</v>
      </c>
      <c r="AL947" s="1">
        <v>0</v>
      </c>
      <c r="AM947" s="1">
        <v>1E-3</v>
      </c>
      <c r="AN947" s="1">
        <v>2E-3</v>
      </c>
      <c r="AO947" s="1">
        <v>1E-3</v>
      </c>
      <c r="AP947" s="1">
        <v>1E-3</v>
      </c>
      <c r="AQ947" s="1">
        <v>1E-3</v>
      </c>
      <c r="AR947" s="1">
        <v>1E-3</v>
      </c>
      <c r="AS947" s="1">
        <v>3.0000000000000001E-3</v>
      </c>
      <c r="AT947" s="1">
        <v>1E-3</v>
      </c>
      <c r="AU947" s="1">
        <v>1E-3</v>
      </c>
      <c r="AV947" s="1">
        <v>1E-3</v>
      </c>
      <c r="AW947" s="1">
        <v>1E-3</v>
      </c>
      <c r="AX947" s="1">
        <v>1E-3</v>
      </c>
      <c r="AY947" s="1">
        <v>2E-3</v>
      </c>
      <c r="AZ947" s="1">
        <v>4.0000000000000001E-3</v>
      </c>
      <c r="BA947" s="1">
        <v>5.0000000000000001E-3</v>
      </c>
      <c r="BB947" s="1">
        <v>3.0000000000000001E-3</v>
      </c>
      <c r="BC947" s="1">
        <v>0</v>
      </c>
      <c r="BD947" s="1">
        <v>5.0000000000000001E-3</v>
      </c>
      <c r="BE947" s="1">
        <v>1E-3</v>
      </c>
      <c r="BF947" s="1">
        <v>0</v>
      </c>
      <c r="BG947" s="1">
        <v>0</v>
      </c>
      <c r="BH947" s="1">
        <v>0</v>
      </c>
      <c r="BI947" s="1">
        <v>1E-3</v>
      </c>
      <c r="BJ947" s="1">
        <v>0</v>
      </c>
      <c r="BK947" s="1">
        <v>0</v>
      </c>
      <c r="BL947" s="1">
        <v>1E-3</v>
      </c>
      <c r="BM947" s="1">
        <v>1E-3</v>
      </c>
      <c r="BN947" s="1">
        <v>1E-3</v>
      </c>
      <c r="BO947" s="1">
        <v>1E-3</v>
      </c>
      <c r="BP947" s="1">
        <v>0</v>
      </c>
      <c r="BQ947" s="1">
        <v>2E-3</v>
      </c>
      <c r="BR947" s="1">
        <v>1E-3</v>
      </c>
      <c r="BS947" s="1">
        <v>2E-3</v>
      </c>
      <c r="BT947" s="1">
        <v>2E-3</v>
      </c>
      <c r="BU947" s="1">
        <v>0.88100000000000001</v>
      </c>
      <c r="BV947" s="1">
        <v>1E-3</v>
      </c>
      <c r="BW947" s="1">
        <v>1E-3</v>
      </c>
      <c r="BX947" s="1">
        <v>1.6E-2</v>
      </c>
      <c r="BY947" s="1">
        <v>3.0000000000000001E-3</v>
      </c>
      <c r="BZ947" s="1">
        <v>2E-3</v>
      </c>
      <c r="CA947" s="1">
        <v>1E-3</v>
      </c>
      <c r="CB947" s="1">
        <v>0</v>
      </c>
      <c r="CC947" s="1">
        <v>1E-3</v>
      </c>
      <c r="CD947" s="1">
        <v>0</v>
      </c>
      <c r="CE947" s="1">
        <v>1E-3</v>
      </c>
      <c r="CF947" s="1">
        <v>1E-3</v>
      </c>
      <c r="CG947" s="1">
        <v>1E-3</v>
      </c>
      <c r="CH947" s="1">
        <v>2E-3</v>
      </c>
      <c r="CI947" s="1">
        <v>3.0000000000000001E-3</v>
      </c>
      <c r="CJ947" s="1">
        <v>2E-3</v>
      </c>
      <c r="CK947" s="1">
        <v>0.01</v>
      </c>
      <c r="CL947" s="1">
        <v>2E-3</v>
      </c>
      <c r="CM947" s="1">
        <v>-7.2959682770000001</v>
      </c>
      <c r="CN947" s="83">
        <v>117.7818832</v>
      </c>
    </row>
    <row r="948" spans="1:92" s="3" customFormat="1" x14ac:dyDescent="0.25">
      <c r="A948" s="72">
        <v>996</v>
      </c>
      <c r="B948" s="81" t="s">
        <v>866</v>
      </c>
      <c r="C948" s="1" t="s">
        <v>72</v>
      </c>
      <c r="D948" s="1" t="s">
        <v>79</v>
      </c>
      <c r="E948" s="1" t="s">
        <v>74</v>
      </c>
      <c r="F948" s="1" t="s">
        <v>105</v>
      </c>
      <c r="G948" s="1" t="s">
        <v>76</v>
      </c>
      <c r="H948" s="1" t="s">
        <v>33</v>
      </c>
      <c r="I948" s="1"/>
      <c r="J948" s="9" t="s">
        <v>544</v>
      </c>
      <c r="K948" s="10">
        <v>0.418281666666666</v>
      </c>
      <c r="L948" s="1" t="s">
        <v>76</v>
      </c>
      <c r="M948" s="1" t="s">
        <v>506</v>
      </c>
      <c r="N948" s="1" t="s">
        <v>645</v>
      </c>
      <c r="O948" s="1" t="s">
        <v>33</v>
      </c>
      <c r="P948" s="82">
        <v>0.99199999999999999</v>
      </c>
      <c r="Q948" s="1" t="s">
        <v>76</v>
      </c>
      <c r="R948" s="81" t="s">
        <v>87</v>
      </c>
      <c r="S948" s="1" t="s">
        <v>76</v>
      </c>
      <c r="T948" s="1" t="s">
        <v>78</v>
      </c>
      <c r="U948" s="1" t="s">
        <v>658</v>
      </c>
      <c r="V948" s="1" t="s">
        <v>655</v>
      </c>
      <c r="W948" s="1">
        <v>22</v>
      </c>
      <c r="X948" s="1" t="s">
        <v>493</v>
      </c>
      <c r="Y948" s="1" t="s">
        <v>645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1E-3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0.99199999999999999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1E-3</v>
      </c>
      <c r="BV948" s="1">
        <v>0</v>
      </c>
      <c r="BW948" s="1">
        <v>0</v>
      </c>
      <c r="BX948" s="1">
        <v>1E-3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1E-3</v>
      </c>
      <c r="CL948" s="1">
        <v>0</v>
      </c>
      <c r="CM948" s="1">
        <v>-9.1169787339999999</v>
      </c>
      <c r="CN948" s="83">
        <v>130.68672000000001</v>
      </c>
    </row>
    <row r="949" spans="1:92" s="3" customFormat="1" x14ac:dyDescent="0.25">
      <c r="A949" s="72">
        <v>997</v>
      </c>
      <c r="B949" s="81" t="s">
        <v>1142</v>
      </c>
      <c r="C949" s="1" t="s">
        <v>72</v>
      </c>
      <c r="D949" s="1" t="s">
        <v>79</v>
      </c>
      <c r="E949" s="1" t="s">
        <v>99</v>
      </c>
      <c r="F949" s="1" t="s">
        <v>102</v>
      </c>
      <c r="G949" s="1" t="s">
        <v>80</v>
      </c>
      <c r="H949" s="1" t="s">
        <v>53</v>
      </c>
      <c r="I949" s="1"/>
      <c r="J949" s="9" t="s">
        <v>544</v>
      </c>
      <c r="K949" s="10">
        <v>0.37755450000000002</v>
      </c>
      <c r="L949" s="1" t="s">
        <v>641</v>
      </c>
      <c r="M949" s="1" t="s">
        <v>76</v>
      </c>
      <c r="N949" s="1" t="s">
        <v>644</v>
      </c>
      <c r="O949" s="1" t="s">
        <v>52</v>
      </c>
      <c r="P949" s="82">
        <v>0.30099999999999999</v>
      </c>
      <c r="Q949" s="1" t="s">
        <v>76</v>
      </c>
      <c r="R949" s="81" t="s">
        <v>87</v>
      </c>
      <c r="S949" s="1" t="s">
        <v>76</v>
      </c>
      <c r="T949" s="1" t="s">
        <v>78</v>
      </c>
      <c r="U949" s="1" t="s">
        <v>658</v>
      </c>
      <c r="V949" s="1" t="s">
        <v>655</v>
      </c>
      <c r="W949" s="1">
        <v>25</v>
      </c>
      <c r="X949" s="1" t="s">
        <v>121</v>
      </c>
      <c r="Y949" s="1" t="s">
        <v>644</v>
      </c>
      <c r="Z949" s="1">
        <v>1E-3</v>
      </c>
      <c r="AA949" s="1">
        <v>3.0000000000000001E-3</v>
      </c>
      <c r="AB949" s="1">
        <v>3.0000000000000001E-3</v>
      </c>
      <c r="AC949" s="1">
        <v>1.2999999999999999E-2</v>
      </c>
      <c r="AD949" s="1">
        <v>5.0000000000000001E-3</v>
      </c>
      <c r="AE949" s="1">
        <v>6.0000000000000001E-3</v>
      </c>
      <c r="AF949" s="1">
        <v>5.0000000000000001E-3</v>
      </c>
      <c r="AG949" s="1">
        <v>0</v>
      </c>
      <c r="AH949" s="1">
        <v>8.9999999999999993E-3</v>
      </c>
      <c r="AI949" s="1">
        <v>1E-3</v>
      </c>
      <c r="AJ949" s="1">
        <v>1.9E-2</v>
      </c>
      <c r="AK949" s="1">
        <v>1.7000000000000001E-2</v>
      </c>
      <c r="AL949" s="1">
        <v>0</v>
      </c>
      <c r="AM949" s="1">
        <v>2E-3</v>
      </c>
      <c r="AN949" s="1">
        <v>6.0000000000000001E-3</v>
      </c>
      <c r="AO949" s="1">
        <v>2E-3</v>
      </c>
      <c r="AP949" s="1">
        <v>2E-3</v>
      </c>
      <c r="AQ949" s="1">
        <v>2E-3</v>
      </c>
      <c r="AR949" s="1">
        <v>3.0000000000000001E-3</v>
      </c>
      <c r="AS949" s="1">
        <v>1.0999999999999999E-2</v>
      </c>
      <c r="AT949" s="1">
        <v>5.0000000000000001E-3</v>
      </c>
      <c r="AU949" s="1">
        <v>3.0000000000000001E-3</v>
      </c>
      <c r="AV949" s="1">
        <v>2E-3</v>
      </c>
      <c r="AW949" s="1">
        <v>3.0000000000000001E-3</v>
      </c>
      <c r="AX949" s="1">
        <v>2E-3</v>
      </c>
      <c r="AY949" s="1">
        <v>5.0000000000000001E-3</v>
      </c>
      <c r="AZ949" s="1">
        <v>8.9999999999999993E-3</v>
      </c>
      <c r="BA949" s="1">
        <v>1.2999999999999999E-2</v>
      </c>
      <c r="BB949" s="1">
        <v>0.01</v>
      </c>
      <c r="BC949" s="1">
        <v>2E-3</v>
      </c>
      <c r="BD949" s="1">
        <v>1.4999999999999999E-2</v>
      </c>
      <c r="BE949" s="1">
        <v>2E-3</v>
      </c>
      <c r="BF949" s="1">
        <v>1E-3</v>
      </c>
      <c r="BG949" s="1">
        <v>1E-3</v>
      </c>
      <c r="BH949" s="1">
        <v>2E-3</v>
      </c>
      <c r="BI949" s="1">
        <v>2E-3</v>
      </c>
      <c r="BJ949" s="1">
        <v>1E-3</v>
      </c>
      <c r="BK949" s="1">
        <v>1E-3</v>
      </c>
      <c r="BL949" s="1">
        <v>3.0000000000000001E-3</v>
      </c>
      <c r="BM949" s="1">
        <v>2E-3</v>
      </c>
      <c r="BN949" s="1">
        <v>4.0000000000000001E-3</v>
      </c>
      <c r="BO949" s="1">
        <v>1.0999999999999999E-2</v>
      </c>
      <c r="BP949" s="1">
        <v>1E-3</v>
      </c>
      <c r="BQ949" s="1">
        <v>7.0000000000000001E-3</v>
      </c>
      <c r="BR949" s="1">
        <v>3.0000000000000001E-3</v>
      </c>
      <c r="BS949" s="1">
        <v>3.0000000000000001E-3</v>
      </c>
      <c r="BT949" s="1">
        <v>3.0000000000000001E-3</v>
      </c>
      <c r="BU949" s="1">
        <v>0.30099999999999999</v>
      </c>
      <c r="BV949" s="1">
        <v>0.21099999999999999</v>
      </c>
      <c r="BW949" s="1">
        <v>3.0000000000000001E-3</v>
      </c>
      <c r="BX949" s="1">
        <v>0.13700000000000001</v>
      </c>
      <c r="BY949" s="1">
        <v>8.0000000000000002E-3</v>
      </c>
      <c r="BZ949" s="1">
        <v>5.0000000000000001E-3</v>
      </c>
      <c r="CA949" s="1">
        <v>3.0000000000000001E-3</v>
      </c>
      <c r="CB949" s="1">
        <v>1E-3</v>
      </c>
      <c r="CC949" s="1">
        <v>3.0000000000000001E-3</v>
      </c>
      <c r="CD949" s="1">
        <v>0</v>
      </c>
      <c r="CE949" s="1">
        <v>2E-3</v>
      </c>
      <c r="CF949" s="1">
        <v>2E-3</v>
      </c>
      <c r="CG949" s="1">
        <v>6.0000000000000001E-3</v>
      </c>
      <c r="CH949" s="1">
        <v>6.0000000000000001E-3</v>
      </c>
      <c r="CI949" s="1">
        <v>6.0000000000000001E-3</v>
      </c>
      <c r="CJ949" s="1">
        <v>6.0000000000000001E-3</v>
      </c>
      <c r="CK949" s="1">
        <v>6.8000000000000005E-2</v>
      </c>
      <c r="CL949" s="1">
        <v>4.0000000000000001E-3</v>
      </c>
      <c r="CM949" s="1">
        <v>0.58118991499999995</v>
      </c>
      <c r="CN949" s="83">
        <v>121.5821199</v>
      </c>
    </row>
    <row r="950" spans="1:92" s="3" customFormat="1" x14ac:dyDescent="0.25">
      <c r="A950" s="72">
        <v>998</v>
      </c>
      <c r="B950" s="81" t="s">
        <v>1186</v>
      </c>
      <c r="C950" s="1" t="s">
        <v>72</v>
      </c>
      <c r="D950" s="1" t="s">
        <v>79</v>
      </c>
      <c r="E950" s="1" t="s">
        <v>74</v>
      </c>
      <c r="F950" s="1" t="s">
        <v>112</v>
      </c>
      <c r="G950" s="1" t="s">
        <v>80</v>
      </c>
      <c r="H950" s="1" t="s">
        <v>112</v>
      </c>
      <c r="I950" s="1"/>
      <c r="J950" s="9" t="s">
        <v>506</v>
      </c>
      <c r="K950" s="10">
        <v>0.36225366666666697</v>
      </c>
      <c r="L950" s="1" t="s">
        <v>641</v>
      </c>
      <c r="M950" s="1" t="s">
        <v>76</v>
      </c>
      <c r="N950" s="1" t="s">
        <v>644</v>
      </c>
      <c r="O950" s="1" t="s">
        <v>68</v>
      </c>
      <c r="P950" s="82">
        <v>0.49399999999999999</v>
      </c>
      <c r="Q950" s="1" t="s">
        <v>76</v>
      </c>
      <c r="R950" s="81" t="s">
        <v>77</v>
      </c>
      <c r="S950" s="1" t="s">
        <v>76</v>
      </c>
      <c r="T950" s="1" t="s">
        <v>78</v>
      </c>
      <c r="U950" s="1" t="s">
        <v>658</v>
      </c>
      <c r="V950" s="1" t="s">
        <v>655</v>
      </c>
      <c r="W950" s="1">
        <v>10</v>
      </c>
      <c r="X950" s="1" t="s">
        <v>76</v>
      </c>
      <c r="Y950" s="1" t="s">
        <v>644</v>
      </c>
      <c r="Z950" s="1">
        <v>3.0000000000000001E-3</v>
      </c>
      <c r="AA950" s="1">
        <v>1E-3</v>
      </c>
      <c r="AB950" s="1">
        <v>1E-3</v>
      </c>
      <c r="AC950" s="1">
        <v>1E-3</v>
      </c>
      <c r="AD950" s="1">
        <v>1E-3</v>
      </c>
      <c r="AE950" s="1">
        <v>1E-3</v>
      </c>
      <c r="AF950" s="1">
        <v>2E-3</v>
      </c>
      <c r="AG950" s="1">
        <v>0</v>
      </c>
      <c r="AH950" s="1">
        <v>2E-3</v>
      </c>
      <c r="AI950" s="1">
        <v>0</v>
      </c>
      <c r="AJ950" s="1">
        <v>1E-3</v>
      </c>
      <c r="AK950" s="1">
        <v>1E-3</v>
      </c>
      <c r="AL950" s="1">
        <v>0</v>
      </c>
      <c r="AM950" s="1">
        <v>1E-3</v>
      </c>
      <c r="AN950" s="1">
        <v>2E-3</v>
      </c>
      <c r="AO950" s="1">
        <v>0</v>
      </c>
      <c r="AP950" s="1">
        <v>0</v>
      </c>
      <c r="AQ950" s="1">
        <v>0</v>
      </c>
      <c r="AR950" s="1">
        <v>7.0000000000000007E-2</v>
      </c>
      <c r="AS950" s="1">
        <v>1E-3</v>
      </c>
      <c r="AT950" s="1">
        <v>0</v>
      </c>
      <c r="AU950" s="1">
        <v>2E-3</v>
      </c>
      <c r="AV950" s="1">
        <v>1E-3</v>
      </c>
      <c r="AW950" s="1">
        <v>1E-3</v>
      </c>
      <c r="AX950" s="1">
        <v>4.0000000000000001E-3</v>
      </c>
      <c r="AY950" s="1">
        <v>1E-3</v>
      </c>
      <c r="AZ950" s="1">
        <v>2E-3</v>
      </c>
      <c r="BA950" s="1">
        <v>3.0000000000000001E-3</v>
      </c>
      <c r="BB950" s="1">
        <v>0</v>
      </c>
      <c r="BC950" s="1">
        <v>0</v>
      </c>
      <c r="BD950" s="1">
        <v>2E-3</v>
      </c>
      <c r="BE950" s="1">
        <v>0</v>
      </c>
      <c r="BF950" s="1">
        <v>1E-3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1E-3</v>
      </c>
      <c r="BM950" s="1">
        <v>0</v>
      </c>
      <c r="BN950" s="1">
        <v>0</v>
      </c>
      <c r="BO950" s="1">
        <v>1E-3</v>
      </c>
      <c r="BP950" s="1">
        <v>1E-3</v>
      </c>
      <c r="BQ950" s="1">
        <v>1E-3</v>
      </c>
      <c r="BR950" s="1">
        <v>0</v>
      </c>
      <c r="BS950" s="1">
        <v>1.4E-2</v>
      </c>
      <c r="BT950" s="1">
        <v>1E-3</v>
      </c>
      <c r="BU950" s="1">
        <v>0.36299999999999999</v>
      </c>
      <c r="BV950" s="1">
        <v>0</v>
      </c>
      <c r="BW950" s="1">
        <v>1E-3</v>
      </c>
      <c r="BX950" s="1">
        <v>2E-3</v>
      </c>
      <c r="BY950" s="1">
        <v>1E-3</v>
      </c>
      <c r="BZ950" s="1">
        <v>2E-3</v>
      </c>
      <c r="CA950" s="1">
        <v>1E-3</v>
      </c>
      <c r="CB950" s="1">
        <v>0</v>
      </c>
      <c r="CC950" s="1">
        <v>1E-3</v>
      </c>
      <c r="CD950" s="1">
        <v>0</v>
      </c>
      <c r="CE950" s="1">
        <v>0</v>
      </c>
      <c r="CF950" s="1">
        <v>0</v>
      </c>
      <c r="CG950" s="1">
        <v>0</v>
      </c>
      <c r="CH950" s="1">
        <v>1E-3</v>
      </c>
      <c r="CI950" s="1">
        <v>1E-3</v>
      </c>
      <c r="CJ950" s="1">
        <v>1E-3</v>
      </c>
      <c r="CK950" s="1">
        <v>0.49399999999999999</v>
      </c>
      <c r="CL950" s="1">
        <v>4.0000000000000001E-3</v>
      </c>
      <c r="CM950" s="1">
        <v>6.3284081370000003</v>
      </c>
      <c r="CN950" s="83">
        <v>115.3712448</v>
      </c>
    </row>
    <row r="951" spans="1:92" s="3" customFormat="1" x14ac:dyDescent="0.25">
      <c r="A951" s="72">
        <v>999</v>
      </c>
      <c r="B951" s="81" t="s">
        <v>1221</v>
      </c>
      <c r="C951" s="1" t="s">
        <v>72</v>
      </c>
      <c r="D951" s="1" t="s">
        <v>79</v>
      </c>
      <c r="E951" s="1" t="s">
        <v>74</v>
      </c>
      <c r="F951" s="1" t="s">
        <v>93</v>
      </c>
      <c r="G951" s="1" t="s">
        <v>80</v>
      </c>
      <c r="H951" s="1" t="s">
        <v>34</v>
      </c>
      <c r="I951" s="1"/>
      <c r="J951" s="9" t="s">
        <v>544</v>
      </c>
      <c r="K951" s="10">
        <v>0.36730000000000002</v>
      </c>
      <c r="L951" s="1" t="s">
        <v>76</v>
      </c>
      <c r="M951" s="1" t="s">
        <v>506</v>
      </c>
      <c r="N951" s="1" t="s">
        <v>645</v>
      </c>
      <c r="O951" s="1" t="s">
        <v>34</v>
      </c>
      <c r="P951" s="82">
        <v>0.999</v>
      </c>
      <c r="Q951" s="1" t="s">
        <v>76</v>
      </c>
      <c r="R951" s="81" t="s">
        <v>77</v>
      </c>
      <c r="S951" s="1" t="s">
        <v>76</v>
      </c>
      <c r="T951" s="1" t="s">
        <v>78</v>
      </c>
      <c r="U951" s="1" t="s">
        <v>658</v>
      </c>
      <c r="V951" s="1" t="s">
        <v>655</v>
      </c>
      <c r="W951" s="1">
        <v>21</v>
      </c>
      <c r="X951" s="1" t="s">
        <v>134</v>
      </c>
      <c r="Y951" s="1" t="s">
        <v>645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1E-3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0.999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49.180614460000001</v>
      </c>
      <c r="CN951" s="83">
        <v>98.955818179999994</v>
      </c>
    </row>
    <row r="952" spans="1:92" s="3" customFormat="1" x14ac:dyDescent="0.25">
      <c r="A952" s="72">
        <v>1000</v>
      </c>
      <c r="B952" s="81" t="s">
        <v>852</v>
      </c>
      <c r="C952" s="1" t="s">
        <v>72</v>
      </c>
      <c r="D952" s="1" t="s">
        <v>79</v>
      </c>
      <c r="E952" s="1" t="s">
        <v>99</v>
      </c>
      <c r="F952" s="1" t="s">
        <v>112</v>
      </c>
      <c r="G952" s="1" t="s">
        <v>80</v>
      </c>
      <c r="H952" s="1" t="s">
        <v>112</v>
      </c>
      <c r="I952" s="1"/>
      <c r="J952" s="9" t="s">
        <v>506</v>
      </c>
      <c r="K952" s="10">
        <v>0.438003166666666</v>
      </c>
      <c r="L952" s="1" t="s">
        <v>641</v>
      </c>
      <c r="M952" s="1" t="s">
        <v>76</v>
      </c>
      <c r="N952" s="1" t="s">
        <v>644</v>
      </c>
      <c r="O952" s="1" t="s">
        <v>55</v>
      </c>
      <c r="P952" s="82">
        <v>0.16900000000000001</v>
      </c>
      <c r="Q952" s="1" t="s">
        <v>76</v>
      </c>
      <c r="R952" s="81" t="s">
        <v>77</v>
      </c>
      <c r="S952" s="1" t="s">
        <v>76</v>
      </c>
      <c r="T952" s="1" t="s">
        <v>78</v>
      </c>
      <c r="U952" s="1" t="s">
        <v>658</v>
      </c>
      <c r="V952" s="1" t="s">
        <v>655</v>
      </c>
      <c r="W952" s="1">
        <v>34</v>
      </c>
      <c r="X952" s="1" t="s">
        <v>76</v>
      </c>
      <c r="Y952" s="1" t="s">
        <v>644</v>
      </c>
      <c r="Z952" s="1">
        <v>3.0000000000000001E-3</v>
      </c>
      <c r="AA952" s="1">
        <v>5.0000000000000001E-3</v>
      </c>
      <c r="AB952" s="1">
        <v>0.01</v>
      </c>
      <c r="AC952" s="1">
        <v>1.7000000000000001E-2</v>
      </c>
      <c r="AD952" s="1">
        <v>7.0000000000000001E-3</v>
      </c>
      <c r="AE952" s="1">
        <v>0.02</v>
      </c>
      <c r="AF952" s="1">
        <v>8.0000000000000002E-3</v>
      </c>
      <c r="AG952" s="1">
        <v>1E-3</v>
      </c>
      <c r="AH952" s="1">
        <v>2.1000000000000001E-2</v>
      </c>
      <c r="AI952" s="1">
        <v>2E-3</v>
      </c>
      <c r="AJ952" s="1">
        <v>0.11700000000000001</v>
      </c>
      <c r="AK952" s="1">
        <v>3.5999999999999997E-2</v>
      </c>
      <c r="AL952" s="1">
        <v>1E-3</v>
      </c>
      <c r="AM952" s="1">
        <v>4.0000000000000001E-3</v>
      </c>
      <c r="AN952" s="1">
        <v>1.7000000000000001E-2</v>
      </c>
      <c r="AO952" s="1">
        <v>5.0000000000000001E-3</v>
      </c>
      <c r="AP952" s="1">
        <v>4.0000000000000001E-3</v>
      </c>
      <c r="AQ952" s="1">
        <v>3.0000000000000001E-3</v>
      </c>
      <c r="AR952" s="1">
        <v>8.9999999999999993E-3</v>
      </c>
      <c r="AS952" s="1">
        <v>1.9E-2</v>
      </c>
      <c r="AT952" s="1">
        <v>8.0000000000000002E-3</v>
      </c>
      <c r="AU952" s="1">
        <v>8.9999999999999993E-3</v>
      </c>
      <c r="AV952" s="1">
        <v>4.0000000000000001E-3</v>
      </c>
      <c r="AW952" s="1">
        <v>6.0000000000000001E-3</v>
      </c>
      <c r="AX952" s="1">
        <v>5.0000000000000001E-3</v>
      </c>
      <c r="AY952" s="1">
        <v>7.0000000000000001E-3</v>
      </c>
      <c r="AZ952" s="1">
        <v>1.2999999999999999E-2</v>
      </c>
      <c r="BA952" s="1">
        <v>1.7999999999999999E-2</v>
      </c>
      <c r="BB952" s="1">
        <v>4.7E-2</v>
      </c>
      <c r="BC952" s="1">
        <v>3.0000000000000001E-3</v>
      </c>
      <c r="BD952" s="1">
        <v>2.3E-2</v>
      </c>
      <c r="BE952" s="1">
        <v>3.0000000000000001E-3</v>
      </c>
      <c r="BF952" s="1">
        <v>1E-3</v>
      </c>
      <c r="BG952" s="1">
        <v>3.0000000000000001E-3</v>
      </c>
      <c r="BH952" s="1">
        <v>3.0000000000000001E-3</v>
      </c>
      <c r="BI952" s="1">
        <v>3.0000000000000001E-3</v>
      </c>
      <c r="BJ952" s="1">
        <v>2E-3</v>
      </c>
      <c r="BK952" s="1">
        <v>2E-3</v>
      </c>
      <c r="BL952" s="1">
        <v>8.0000000000000002E-3</v>
      </c>
      <c r="BM952" s="1">
        <v>3.0000000000000001E-3</v>
      </c>
      <c r="BN952" s="1">
        <v>7.0000000000000001E-3</v>
      </c>
      <c r="BO952" s="1">
        <v>0.02</v>
      </c>
      <c r="BP952" s="1">
        <v>2E-3</v>
      </c>
      <c r="BQ952" s="1">
        <v>0.01</v>
      </c>
      <c r="BR952" s="1">
        <v>4.0000000000000001E-3</v>
      </c>
      <c r="BS952" s="1">
        <v>8.9999999999999993E-3</v>
      </c>
      <c r="BT952" s="1">
        <v>4.0000000000000001E-3</v>
      </c>
      <c r="BU952" s="1">
        <v>1.7999999999999999E-2</v>
      </c>
      <c r="BV952" s="1">
        <v>4.4999999999999998E-2</v>
      </c>
      <c r="BW952" s="1">
        <v>6.0000000000000001E-3</v>
      </c>
      <c r="BX952" s="1">
        <v>0.16900000000000001</v>
      </c>
      <c r="BY952" s="1">
        <v>1.2E-2</v>
      </c>
      <c r="BZ952" s="1">
        <v>0.01</v>
      </c>
      <c r="CA952" s="1">
        <v>5.0000000000000001E-3</v>
      </c>
      <c r="CB952" s="1">
        <v>3.0000000000000001E-3</v>
      </c>
      <c r="CC952" s="1">
        <v>6.0000000000000001E-3</v>
      </c>
      <c r="CD952" s="1">
        <v>1E-3</v>
      </c>
      <c r="CE952" s="1">
        <v>4.0000000000000001E-3</v>
      </c>
      <c r="CF952" s="1">
        <v>4.0000000000000001E-3</v>
      </c>
      <c r="CG952" s="1">
        <v>8.0000000000000002E-3</v>
      </c>
      <c r="CH952" s="1">
        <v>0.01</v>
      </c>
      <c r="CI952" s="1">
        <v>8.0000000000000002E-3</v>
      </c>
      <c r="CJ952" s="1">
        <v>0.01</v>
      </c>
      <c r="CK952" s="1">
        <v>0.13600000000000001</v>
      </c>
      <c r="CL952" s="1">
        <v>8.9999999999999993E-3</v>
      </c>
      <c r="CM952" s="1">
        <v>-13.20322719</v>
      </c>
      <c r="CN952" s="83">
        <v>121.9989899</v>
      </c>
    </row>
    <row r="953" spans="1:92" s="3" customFormat="1" x14ac:dyDescent="0.25">
      <c r="A953" s="72">
        <v>1001</v>
      </c>
      <c r="B953" s="81" t="s">
        <v>1353</v>
      </c>
      <c r="C953" s="1" t="s">
        <v>72</v>
      </c>
      <c r="D953" s="1" t="s">
        <v>79</v>
      </c>
      <c r="E953" s="1" t="s">
        <v>99</v>
      </c>
      <c r="F953" s="1" t="s">
        <v>113</v>
      </c>
      <c r="G953" s="1" t="s">
        <v>80</v>
      </c>
      <c r="H953" s="1" t="s">
        <v>530</v>
      </c>
      <c r="I953" s="1"/>
      <c r="J953" s="9" t="s">
        <v>506</v>
      </c>
      <c r="K953" s="10">
        <v>0.33680733333333301</v>
      </c>
      <c r="L953" s="1" t="s">
        <v>641</v>
      </c>
      <c r="M953" s="1" t="s">
        <v>76</v>
      </c>
      <c r="N953" s="1" t="s">
        <v>644</v>
      </c>
      <c r="O953" s="1" t="s">
        <v>52</v>
      </c>
      <c r="P953" s="82">
        <v>0.72299999999999998</v>
      </c>
      <c r="Q953" s="1" t="s">
        <v>76</v>
      </c>
      <c r="R953" s="81" t="s">
        <v>189</v>
      </c>
      <c r="S953" s="1" t="s">
        <v>76</v>
      </c>
      <c r="T953" s="1" t="s">
        <v>78</v>
      </c>
      <c r="U953" s="1" t="s">
        <v>658</v>
      </c>
      <c r="V953" s="1" t="s">
        <v>655</v>
      </c>
      <c r="W953" s="1">
        <v>8</v>
      </c>
      <c r="X953" s="1" t="s">
        <v>76</v>
      </c>
      <c r="Y953" s="1" t="s">
        <v>644</v>
      </c>
      <c r="Z953" s="1">
        <v>3.0000000000000001E-3</v>
      </c>
      <c r="AA953" s="1">
        <v>2E-3</v>
      </c>
      <c r="AB953" s="1">
        <v>2E-3</v>
      </c>
      <c r="AC953" s="1">
        <v>4.0000000000000001E-3</v>
      </c>
      <c r="AD953" s="1">
        <v>1.0999999999999999E-2</v>
      </c>
      <c r="AE953" s="1">
        <v>2E-3</v>
      </c>
      <c r="AF953" s="1">
        <v>4.0000000000000001E-3</v>
      </c>
      <c r="AG953" s="1">
        <v>0</v>
      </c>
      <c r="AH953" s="1">
        <v>6.0000000000000001E-3</v>
      </c>
      <c r="AI953" s="1">
        <v>1E-3</v>
      </c>
      <c r="AJ953" s="1">
        <v>4.0000000000000001E-3</v>
      </c>
      <c r="AK953" s="1">
        <v>5.0000000000000001E-3</v>
      </c>
      <c r="AL953" s="1">
        <v>0</v>
      </c>
      <c r="AM953" s="1">
        <v>1E-3</v>
      </c>
      <c r="AN953" s="1">
        <v>5.0000000000000001E-3</v>
      </c>
      <c r="AO953" s="1">
        <v>1E-3</v>
      </c>
      <c r="AP953" s="1">
        <v>1E-3</v>
      </c>
      <c r="AQ953" s="1">
        <v>1E-3</v>
      </c>
      <c r="AR953" s="1">
        <v>1.7000000000000001E-2</v>
      </c>
      <c r="AS953" s="1">
        <v>5.0000000000000001E-3</v>
      </c>
      <c r="AT953" s="1">
        <v>2E-3</v>
      </c>
      <c r="AU953" s="1">
        <v>5.0000000000000001E-3</v>
      </c>
      <c r="AV953" s="1">
        <v>1E-3</v>
      </c>
      <c r="AW953" s="1">
        <v>2E-3</v>
      </c>
      <c r="AX953" s="1">
        <v>3.0000000000000001E-3</v>
      </c>
      <c r="AY953" s="1">
        <v>4.0000000000000001E-3</v>
      </c>
      <c r="AZ953" s="1">
        <v>7.0000000000000001E-3</v>
      </c>
      <c r="BA953" s="1">
        <v>8.9999999999999993E-3</v>
      </c>
      <c r="BB953" s="1">
        <v>3.0000000000000001E-3</v>
      </c>
      <c r="BC953" s="1">
        <v>1E-3</v>
      </c>
      <c r="BD953" s="1">
        <v>8.0000000000000002E-3</v>
      </c>
      <c r="BE953" s="1">
        <v>1E-3</v>
      </c>
      <c r="BF953" s="1">
        <v>1E-3</v>
      </c>
      <c r="BG953" s="1">
        <v>1E-3</v>
      </c>
      <c r="BH953" s="1">
        <v>1E-3</v>
      </c>
      <c r="BI953" s="1">
        <v>1E-3</v>
      </c>
      <c r="BJ953" s="1">
        <v>1E-3</v>
      </c>
      <c r="BK953" s="1">
        <v>1E-3</v>
      </c>
      <c r="BL953" s="1">
        <v>2E-3</v>
      </c>
      <c r="BM953" s="1">
        <v>1E-3</v>
      </c>
      <c r="BN953" s="1">
        <v>2E-3</v>
      </c>
      <c r="BO953" s="1">
        <v>8.9999999999999993E-3</v>
      </c>
      <c r="BP953" s="1">
        <v>1E-3</v>
      </c>
      <c r="BQ953" s="1">
        <v>4.0000000000000001E-3</v>
      </c>
      <c r="BR953" s="1">
        <v>1E-3</v>
      </c>
      <c r="BS953" s="1">
        <v>1.7000000000000001E-2</v>
      </c>
      <c r="BT953" s="1">
        <v>2E-3</v>
      </c>
      <c r="BU953" s="1">
        <v>0.72299999999999998</v>
      </c>
      <c r="BV953" s="1">
        <v>2E-3</v>
      </c>
      <c r="BW953" s="1">
        <v>2E-3</v>
      </c>
      <c r="BX953" s="1">
        <v>1.2999999999999999E-2</v>
      </c>
      <c r="BY953" s="1">
        <v>6.0000000000000001E-3</v>
      </c>
      <c r="BZ953" s="1">
        <v>5.0000000000000001E-3</v>
      </c>
      <c r="CA953" s="1">
        <v>2E-3</v>
      </c>
      <c r="CB953" s="1">
        <v>1E-3</v>
      </c>
      <c r="CC953" s="1">
        <v>2E-3</v>
      </c>
      <c r="CD953" s="1">
        <v>0</v>
      </c>
      <c r="CE953" s="1">
        <v>1E-3</v>
      </c>
      <c r="CF953" s="1">
        <v>1E-3</v>
      </c>
      <c r="CG953" s="1">
        <v>2E-3</v>
      </c>
      <c r="CH953" s="1">
        <v>3.0000000000000001E-3</v>
      </c>
      <c r="CI953" s="1">
        <v>4.0000000000000001E-3</v>
      </c>
      <c r="CJ953" s="1">
        <v>3.0000000000000001E-3</v>
      </c>
      <c r="CK953" s="1">
        <v>5.8000000000000003E-2</v>
      </c>
      <c r="CL953" s="1">
        <v>5.0000000000000001E-3</v>
      </c>
      <c r="CM953" s="1">
        <v>13.13777981</v>
      </c>
      <c r="CN953" s="83">
        <v>120.3994915</v>
      </c>
    </row>
    <row r="954" spans="1:92" s="3" customFormat="1" x14ac:dyDescent="0.25">
      <c r="A954" s="72">
        <v>1002</v>
      </c>
      <c r="B954" s="81" t="s">
        <v>1149</v>
      </c>
      <c r="C954" s="1" t="s">
        <v>72</v>
      </c>
      <c r="D954" s="1" t="s">
        <v>79</v>
      </c>
      <c r="E954" s="1" t="s">
        <v>99</v>
      </c>
      <c r="F954" s="1" t="s">
        <v>75</v>
      </c>
      <c r="G954" s="1" t="s">
        <v>80</v>
      </c>
      <c r="H954" s="1" t="s">
        <v>526</v>
      </c>
      <c r="I954" s="1"/>
      <c r="J954" s="9" t="s">
        <v>506</v>
      </c>
      <c r="K954" s="10">
        <v>0.38604000000000099</v>
      </c>
      <c r="L954" s="1" t="s">
        <v>641</v>
      </c>
      <c r="M954" s="1" t="s">
        <v>76</v>
      </c>
      <c r="N954" s="1" t="s">
        <v>644</v>
      </c>
      <c r="O954" s="1" t="s">
        <v>33</v>
      </c>
      <c r="P954" s="82">
        <v>0.47399999999999998</v>
      </c>
      <c r="Q954" s="1" t="s">
        <v>76</v>
      </c>
      <c r="R954" s="81" t="s">
        <v>77</v>
      </c>
      <c r="S954" s="1" t="s">
        <v>76</v>
      </c>
      <c r="T954" s="1" t="s">
        <v>78</v>
      </c>
      <c r="U954" s="1" t="s">
        <v>658</v>
      </c>
      <c r="V954" s="1" t="s">
        <v>655</v>
      </c>
      <c r="W954" s="1">
        <v>5</v>
      </c>
      <c r="X954" s="1" t="s">
        <v>76</v>
      </c>
      <c r="Y954" s="1" t="s">
        <v>644</v>
      </c>
      <c r="Z954" s="1">
        <v>0</v>
      </c>
      <c r="AA954" s="1">
        <v>2E-3</v>
      </c>
      <c r="AB954" s="1">
        <v>1E-3</v>
      </c>
      <c r="AC954" s="1">
        <v>8.0000000000000002E-3</v>
      </c>
      <c r="AD954" s="1">
        <v>1E-3</v>
      </c>
      <c r="AE954" s="1">
        <v>2E-3</v>
      </c>
      <c r="AF954" s="1">
        <v>2E-3</v>
      </c>
      <c r="AG954" s="1">
        <v>0</v>
      </c>
      <c r="AH954" s="1">
        <v>4.0000000000000001E-3</v>
      </c>
      <c r="AI954" s="1">
        <v>0</v>
      </c>
      <c r="AJ954" s="1">
        <v>3.0000000000000001E-3</v>
      </c>
      <c r="AK954" s="1">
        <v>8.0000000000000002E-3</v>
      </c>
      <c r="AL954" s="1">
        <v>0</v>
      </c>
      <c r="AM954" s="1">
        <v>1E-3</v>
      </c>
      <c r="AN954" s="1">
        <v>2E-3</v>
      </c>
      <c r="AO954" s="1">
        <v>2E-3</v>
      </c>
      <c r="AP954" s="1">
        <v>1E-3</v>
      </c>
      <c r="AQ954" s="1">
        <v>1E-3</v>
      </c>
      <c r="AR954" s="1">
        <v>1E-3</v>
      </c>
      <c r="AS954" s="1">
        <v>5.0000000000000001E-3</v>
      </c>
      <c r="AT954" s="1">
        <v>2E-3</v>
      </c>
      <c r="AU954" s="1">
        <v>2E-3</v>
      </c>
      <c r="AV954" s="1">
        <v>1E-3</v>
      </c>
      <c r="AW954" s="1">
        <v>1E-3</v>
      </c>
      <c r="AX954" s="1">
        <v>1E-3</v>
      </c>
      <c r="AY954" s="1">
        <v>2E-3</v>
      </c>
      <c r="AZ954" s="1">
        <v>3.0000000000000001E-3</v>
      </c>
      <c r="BA954" s="1">
        <v>5.0000000000000001E-3</v>
      </c>
      <c r="BB954" s="1">
        <v>0.47399999999999998</v>
      </c>
      <c r="BC954" s="1">
        <v>1E-3</v>
      </c>
      <c r="BD954" s="1">
        <v>6.0000000000000001E-3</v>
      </c>
      <c r="BE954" s="1">
        <v>1E-3</v>
      </c>
      <c r="BF954" s="1">
        <v>0</v>
      </c>
      <c r="BG954" s="1">
        <v>1E-3</v>
      </c>
      <c r="BH954" s="1">
        <v>1E-3</v>
      </c>
      <c r="BI954" s="1">
        <v>1E-3</v>
      </c>
      <c r="BJ954" s="1">
        <v>0</v>
      </c>
      <c r="BK954" s="1">
        <v>1E-3</v>
      </c>
      <c r="BL954" s="1">
        <v>2E-3</v>
      </c>
      <c r="BM954" s="1">
        <v>1E-3</v>
      </c>
      <c r="BN954" s="1">
        <v>2E-3</v>
      </c>
      <c r="BO954" s="1">
        <v>6.0000000000000001E-3</v>
      </c>
      <c r="BP954" s="1">
        <v>0</v>
      </c>
      <c r="BQ954" s="1">
        <v>3.0000000000000001E-3</v>
      </c>
      <c r="BR954" s="1">
        <v>1E-3</v>
      </c>
      <c r="BS954" s="1">
        <v>1E-3</v>
      </c>
      <c r="BT954" s="1">
        <v>1E-3</v>
      </c>
      <c r="BU954" s="1">
        <v>1.2E-2</v>
      </c>
      <c r="BV954" s="1">
        <v>3.7999999999999999E-2</v>
      </c>
      <c r="BW954" s="1">
        <v>2E-3</v>
      </c>
      <c r="BX954" s="1">
        <v>0.33500000000000002</v>
      </c>
      <c r="BY954" s="1">
        <v>4.0000000000000001E-3</v>
      </c>
      <c r="BZ954" s="1">
        <v>2E-3</v>
      </c>
      <c r="CA954" s="1">
        <v>1E-3</v>
      </c>
      <c r="CB954" s="1">
        <v>0</v>
      </c>
      <c r="CC954" s="1">
        <v>1E-3</v>
      </c>
      <c r="CD954" s="1">
        <v>0</v>
      </c>
      <c r="CE954" s="1">
        <v>1E-3</v>
      </c>
      <c r="CF954" s="1">
        <v>1E-3</v>
      </c>
      <c r="CG954" s="1">
        <v>2E-3</v>
      </c>
      <c r="CH954" s="1">
        <v>3.0000000000000001E-3</v>
      </c>
      <c r="CI954" s="1">
        <v>3.0000000000000001E-3</v>
      </c>
      <c r="CJ954" s="1">
        <v>3.0000000000000001E-3</v>
      </c>
      <c r="CK954" s="1">
        <v>2.5999999999999999E-2</v>
      </c>
      <c r="CL954" s="1">
        <v>2E-3</v>
      </c>
      <c r="CM954" s="1">
        <v>-11.59490905</v>
      </c>
      <c r="CN954" s="83">
        <v>115.8327505</v>
      </c>
    </row>
    <row r="955" spans="1:92" s="3" customFormat="1" x14ac:dyDescent="0.25">
      <c r="A955" s="72">
        <v>1003</v>
      </c>
      <c r="B955" s="81" t="s">
        <v>1308</v>
      </c>
      <c r="C955" s="1" t="s">
        <v>72</v>
      </c>
      <c r="D955" s="1" t="s">
        <v>79</v>
      </c>
      <c r="E955" s="1" t="s">
        <v>99</v>
      </c>
      <c r="F955" s="1" t="s">
        <v>105</v>
      </c>
      <c r="G955" s="1" t="s">
        <v>80</v>
      </c>
      <c r="H955" s="1" t="s">
        <v>33</v>
      </c>
      <c r="I955" s="1"/>
      <c r="J955" s="9" t="s">
        <v>544</v>
      </c>
      <c r="K955" s="10">
        <v>0.39255600000000102</v>
      </c>
      <c r="L955" s="1" t="s">
        <v>76</v>
      </c>
      <c r="M955" s="1" t="s">
        <v>506</v>
      </c>
      <c r="N955" s="1" t="s">
        <v>645</v>
      </c>
      <c r="O955" s="1" t="s">
        <v>33</v>
      </c>
      <c r="P955" s="82">
        <v>0.96899999999999997</v>
      </c>
      <c r="Q955" s="1" t="s">
        <v>76</v>
      </c>
      <c r="R955" s="81" t="s">
        <v>104</v>
      </c>
      <c r="S955" s="1" t="s">
        <v>76</v>
      </c>
      <c r="T955" s="1" t="s">
        <v>78</v>
      </c>
      <c r="U955" s="1" t="s">
        <v>658</v>
      </c>
      <c r="V955" s="1" t="s">
        <v>655</v>
      </c>
      <c r="W955" s="1">
        <v>28</v>
      </c>
      <c r="X955" s="1" t="s">
        <v>494</v>
      </c>
      <c r="Y955" s="1" t="s">
        <v>645</v>
      </c>
      <c r="Z955" s="1">
        <v>0</v>
      </c>
      <c r="AA955" s="1">
        <v>0</v>
      </c>
      <c r="AB955" s="1">
        <v>0</v>
      </c>
      <c r="AC955" s="1">
        <v>1E-3</v>
      </c>
      <c r="AD955" s="1">
        <v>0</v>
      </c>
      <c r="AE955" s="1">
        <v>0</v>
      </c>
      <c r="AF955" s="1">
        <v>0</v>
      </c>
      <c r="AG955" s="1">
        <v>0</v>
      </c>
      <c r="AH955" s="1">
        <v>1E-3</v>
      </c>
      <c r="AI955" s="1">
        <v>0</v>
      </c>
      <c r="AJ955" s="1">
        <v>0</v>
      </c>
      <c r="AK955" s="1">
        <v>1E-3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1E-3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1E-3</v>
      </c>
      <c r="BB955" s="1">
        <v>0.96899999999999997</v>
      </c>
      <c r="BC955" s="1">
        <v>0</v>
      </c>
      <c r="BD955" s="1">
        <v>1E-3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8.0000000000000002E-3</v>
      </c>
      <c r="BV955" s="1">
        <v>1E-3</v>
      </c>
      <c r="BW955" s="1">
        <v>0</v>
      </c>
      <c r="BX955" s="1">
        <v>3.0000000000000001E-3</v>
      </c>
      <c r="BY955" s="1">
        <v>1E-3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3.0000000000000001E-3</v>
      </c>
      <c r="CL955" s="1">
        <v>0</v>
      </c>
      <c r="CM955" s="1">
        <v>-8.3061749670000005</v>
      </c>
      <c r="CN955" s="83">
        <v>126.9553856</v>
      </c>
    </row>
    <row r="956" spans="1:92" s="3" customFormat="1" x14ac:dyDescent="0.25">
      <c r="A956" s="72">
        <v>1004</v>
      </c>
      <c r="B956" s="81" t="s">
        <v>1214</v>
      </c>
      <c r="C956" s="1" t="s">
        <v>72</v>
      </c>
      <c r="D956" s="1" t="s">
        <v>79</v>
      </c>
      <c r="E956" s="1" t="s">
        <v>99</v>
      </c>
      <c r="F956" s="1" t="s">
        <v>93</v>
      </c>
      <c r="G956" s="1" t="s">
        <v>80</v>
      </c>
      <c r="H956" s="1" t="s">
        <v>34</v>
      </c>
      <c r="I956" s="1"/>
      <c r="J956" s="9" t="s">
        <v>544</v>
      </c>
      <c r="K956" s="10">
        <v>0.38947300000000001</v>
      </c>
      <c r="L956" s="1" t="s">
        <v>76</v>
      </c>
      <c r="M956" s="1" t="s">
        <v>506</v>
      </c>
      <c r="N956" s="1" t="s">
        <v>645</v>
      </c>
      <c r="O956" s="1" t="s">
        <v>34</v>
      </c>
      <c r="P956" s="82">
        <v>0.996</v>
      </c>
      <c r="Q956" s="1" t="s">
        <v>76</v>
      </c>
      <c r="R956" s="81" t="s">
        <v>77</v>
      </c>
      <c r="S956" s="1" t="s">
        <v>76</v>
      </c>
      <c r="T956" s="1" t="s">
        <v>78</v>
      </c>
      <c r="U956" s="1" t="s">
        <v>658</v>
      </c>
      <c r="V956" s="1" t="s">
        <v>655</v>
      </c>
      <c r="W956" s="1">
        <v>25</v>
      </c>
      <c r="X956" s="1" t="s">
        <v>132</v>
      </c>
      <c r="Y956" s="1" t="s">
        <v>645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2E-3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0.996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47.137621670000001</v>
      </c>
      <c r="CN956" s="83">
        <v>99.132301420000005</v>
      </c>
    </row>
    <row r="957" spans="1:92" s="3" customFormat="1" x14ac:dyDescent="0.25">
      <c r="A957" s="72">
        <v>1005</v>
      </c>
      <c r="B957" s="81" t="s">
        <v>867</v>
      </c>
      <c r="C957" s="1" t="s">
        <v>72</v>
      </c>
      <c r="D957" s="1" t="s">
        <v>79</v>
      </c>
      <c r="E957" s="1" t="s">
        <v>74</v>
      </c>
      <c r="F957" s="1" t="s">
        <v>105</v>
      </c>
      <c r="G957" s="1" t="s">
        <v>76</v>
      </c>
      <c r="H957" s="1" t="s">
        <v>33</v>
      </c>
      <c r="I957" s="1"/>
      <c r="J957" s="9" t="s">
        <v>544</v>
      </c>
      <c r="K957" s="10">
        <v>0.40821233333333301</v>
      </c>
      <c r="L957" s="1" t="s">
        <v>76</v>
      </c>
      <c r="M957" s="1" t="s">
        <v>506</v>
      </c>
      <c r="N957" s="1" t="s">
        <v>645</v>
      </c>
      <c r="O957" s="1" t="s">
        <v>33</v>
      </c>
      <c r="P957" s="82">
        <v>0.997</v>
      </c>
      <c r="Q957" s="1" t="s">
        <v>76</v>
      </c>
      <c r="R957" s="81" t="s">
        <v>142</v>
      </c>
      <c r="S957" s="1" t="s">
        <v>76</v>
      </c>
      <c r="T957" s="1" t="s">
        <v>78</v>
      </c>
      <c r="U957" s="1" t="s">
        <v>658</v>
      </c>
      <c r="V957" s="1" t="s">
        <v>655</v>
      </c>
      <c r="W957" s="1">
        <v>12</v>
      </c>
      <c r="X957" s="1" t="s">
        <v>495</v>
      </c>
      <c r="Y957" s="1" t="s">
        <v>645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0.997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1E-3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-13.3172218</v>
      </c>
      <c r="CN957" s="83">
        <v>117.26268109999999</v>
      </c>
    </row>
    <row r="958" spans="1:92" s="3" customFormat="1" x14ac:dyDescent="0.25">
      <c r="A958" s="72">
        <v>1006</v>
      </c>
      <c r="B958" s="81" t="s">
        <v>1325</v>
      </c>
      <c r="C958" s="1" t="s">
        <v>72</v>
      </c>
      <c r="D958" s="1" t="s">
        <v>79</v>
      </c>
      <c r="E958" s="1" t="s">
        <v>74</v>
      </c>
      <c r="F958" s="1" t="s">
        <v>75</v>
      </c>
      <c r="G958" s="1" t="s">
        <v>80</v>
      </c>
      <c r="H958" s="1" t="s">
        <v>526</v>
      </c>
      <c r="I958" s="1"/>
      <c r="J958" s="9" t="s">
        <v>506</v>
      </c>
      <c r="K958" s="10">
        <v>0.40453850000000002</v>
      </c>
      <c r="L958" s="1" t="s">
        <v>508</v>
      </c>
      <c r="M958" s="1" t="s">
        <v>76</v>
      </c>
      <c r="N958" s="1" t="s">
        <v>644</v>
      </c>
      <c r="O958" s="1" t="s">
        <v>33</v>
      </c>
      <c r="P958" s="82">
        <v>0.86299999999999999</v>
      </c>
      <c r="Q958" s="1" t="s">
        <v>76</v>
      </c>
      <c r="R958" s="81" t="s">
        <v>77</v>
      </c>
      <c r="S958" s="1" t="s">
        <v>76</v>
      </c>
      <c r="T958" s="1" t="s">
        <v>78</v>
      </c>
      <c r="U958" s="1" t="s">
        <v>658</v>
      </c>
      <c r="V958" s="1" t="s">
        <v>655</v>
      </c>
      <c r="W958" s="1">
        <v>14</v>
      </c>
      <c r="X958" s="1" t="s">
        <v>76</v>
      </c>
      <c r="Y958" s="1" t="s">
        <v>644</v>
      </c>
      <c r="Z958" s="1">
        <v>0</v>
      </c>
      <c r="AA958" s="1">
        <v>1E-3</v>
      </c>
      <c r="AB958" s="1">
        <v>1E-3</v>
      </c>
      <c r="AC958" s="1">
        <v>3.0000000000000001E-3</v>
      </c>
      <c r="AD958" s="1">
        <v>1E-3</v>
      </c>
      <c r="AE958" s="1">
        <v>1E-3</v>
      </c>
      <c r="AF958" s="1">
        <v>1E-3</v>
      </c>
      <c r="AG958" s="1">
        <v>0</v>
      </c>
      <c r="AH958" s="1">
        <v>2E-3</v>
      </c>
      <c r="AI958" s="1">
        <v>0</v>
      </c>
      <c r="AJ958" s="1">
        <v>1E-3</v>
      </c>
      <c r="AK958" s="1">
        <v>3.0000000000000001E-3</v>
      </c>
      <c r="AL958" s="1">
        <v>0</v>
      </c>
      <c r="AM958" s="1">
        <v>0</v>
      </c>
      <c r="AN958" s="1">
        <v>1E-3</v>
      </c>
      <c r="AO958" s="1">
        <v>1E-3</v>
      </c>
      <c r="AP958" s="1">
        <v>0</v>
      </c>
      <c r="AQ958" s="1">
        <v>0</v>
      </c>
      <c r="AR958" s="1">
        <v>0</v>
      </c>
      <c r="AS958" s="1">
        <v>2E-3</v>
      </c>
      <c r="AT958" s="1">
        <v>1E-3</v>
      </c>
      <c r="AU958" s="1">
        <v>1E-3</v>
      </c>
      <c r="AV958" s="1">
        <v>0</v>
      </c>
      <c r="AW958" s="1">
        <v>1E-3</v>
      </c>
      <c r="AX958" s="1">
        <v>0</v>
      </c>
      <c r="AY958" s="1">
        <v>1E-3</v>
      </c>
      <c r="AZ958" s="1">
        <v>1E-3</v>
      </c>
      <c r="BA958" s="1">
        <v>2E-3</v>
      </c>
      <c r="BB958" s="1">
        <v>0.86299999999999999</v>
      </c>
      <c r="BC958" s="1">
        <v>0</v>
      </c>
      <c r="BD958" s="1">
        <v>2E-3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1E-3</v>
      </c>
      <c r="BM958" s="1">
        <v>0</v>
      </c>
      <c r="BN958" s="1">
        <v>1E-3</v>
      </c>
      <c r="BO958" s="1">
        <v>2E-3</v>
      </c>
      <c r="BP958" s="1">
        <v>0</v>
      </c>
      <c r="BQ958" s="1">
        <v>1E-3</v>
      </c>
      <c r="BR958" s="1">
        <v>1E-3</v>
      </c>
      <c r="BS958" s="1">
        <v>1E-3</v>
      </c>
      <c r="BT958" s="1">
        <v>0</v>
      </c>
      <c r="BU958" s="1">
        <v>5.0000000000000001E-3</v>
      </c>
      <c r="BV958" s="1">
        <v>6.0000000000000001E-3</v>
      </c>
      <c r="BW958" s="1">
        <v>1E-3</v>
      </c>
      <c r="BX958" s="1">
        <v>6.9000000000000006E-2</v>
      </c>
      <c r="BY958" s="1">
        <v>2E-3</v>
      </c>
      <c r="BZ958" s="1">
        <v>1E-3</v>
      </c>
      <c r="CA958" s="1">
        <v>1E-3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1E-3</v>
      </c>
      <c r="CH958" s="1">
        <v>1E-3</v>
      </c>
      <c r="CI958" s="1">
        <v>1E-3</v>
      </c>
      <c r="CJ958" s="1">
        <v>1E-3</v>
      </c>
      <c r="CK958" s="1">
        <v>0.01</v>
      </c>
      <c r="CL958" s="1">
        <v>1E-3</v>
      </c>
      <c r="CM958" s="1">
        <v>-7.655509071</v>
      </c>
      <c r="CN958" s="83">
        <v>115.6431611</v>
      </c>
    </row>
    <row r="959" spans="1:92" s="3" customFormat="1" x14ac:dyDescent="0.25">
      <c r="A959" s="72">
        <v>1007</v>
      </c>
      <c r="B959" s="81" t="s">
        <v>886</v>
      </c>
      <c r="C959" s="1" t="s">
        <v>72</v>
      </c>
      <c r="D959" s="1" t="s">
        <v>79</v>
      </c>
      <c r="E959" s="1" t="s">
        <v>99</v>
      </c>
      <c r="F959" s="1" t="s">
        <v>112</v>
      </c>
      <c r="G959" s="1" t="s">
        <v>80</v>
      </c>
      <c r="H959" s="1" t="s">
        <v>112</v>
      </c>
      <c r="I959" s="1"/>
      <c r="J959" s="9" t="s">
        <v>506</v>
      </c>
      <c r="K959" s="10">
        <v>0.41984700000000003</v>
      </c>
      <c r="L959" s="1" t="s">
        <v>641</v>
      </c>
      <c r="M959" s="1" t="s">
        <v>76</v>
      </c>
      <c r="N959" s="1" t="s">
        <v>644</v>
      </c>
      <c r="O959" s="1" t="s">
        <v>52</v>
      </c>
      <c r="P959" s="82">
        <v>0.52100000000000002</v>
      </c>
      <c r="Q959" s="1" t="s">
        <v>76</v>
      </c>
      <c r="R959" s="81" t="s">
        <v>91</v>
      </c>
      <c r="S959" s="1" t="s">
        <v>76</v>
      </c>
      <c r="T959" s="1" t="s">
        <v>78</v>
      </c>
      <c r="U959" s="1" t="s">
        <v>658</v>
      </c>
      <c r="V959" s="1" t="s">
        <v>655</v>
      </c>
      <c r="W959" s="1">
        <v>12</v>
      </c>
      <c r="X959" s="1" t="s">
        <v>76</v>
      </c>
      <c r="Y959" s="1" t="s">
        <v>644</v>
      </c>
      <c r="Z959" s="1">
        <v>2E-3</v>
      </c>
      <c r="AA959" s="1">
        <v>4.0000000000000001E-3</v>
      </c>
      <c r="AB959" s="1">
        <v>5.0000000000000001E-3</v>
      </c>
      <c r="AC959" s="1">
        <v>0.01</v>
      </c>
      <c r="AD959" s="1">
        <v>4.0000000000000001E-3</v>
      </c>
      <c r="AE959" s="1">
        <v>8.9999999999999993E-3</v>
      </c>
      <c r="AF959" s="1">
        <v>8.9999999999999993E-3</v>
      </c>
      <c r="AG959" s="1">
        <v>0</v>
      </c>
      <c r="AH959" s="1">
        <v>1.7000000000000001E-2</v>
      </c>
      <c r="AI959" s="1">
        <v>1E-3</v>
      </c>
      <c r="AJ959" s="1">
        <v>1.2E-2</v>
      </c>
      <c r="AK959" s="1">
        <v>2.9000000000000001E-2</v>
      </c>
      <c r="AL959" s="1">
        <v>1E-3</v>
      </c>
      <c r="AM959" s="1">
        <v>4.0000000000000001E-3</v>
      </c>
      <c r="AN959" s="1">
        <v>8.9999999999999993E-3</v>
      </c>
      <c r="AO959" s="1">
        <v>3.0000000000000001E-3</v>
      </c>
      <c r="AP959" s="1">
        <v>2E-3</v>
      </c>
      <c r="AQ959" s="1">
        <v>2E-3</v>
      </c>
      <c r="AR959" s="1">
        <v>1.2E-2</v>
      </c>
      <c r="AS959" s="1">
        <v>1.2E-2</v>
      </c>
      <c r="AT959" s="1">
        <v>5.0000000000000001E-3</v>
      </c>
      <c r="AU959" s="1">
        <v>0.01</v>
      </c>
      <c r="AV959" s="1">
        <v>2E-3</v>
      </c>
      <c r="AW959" s="1">
        <v>5.0000000000000001E-3</v>
      </c>
      <c r="AX959" s="1">
        <v>4.0000000000000001E-3</v>
      </c>
      <c r="AY959" s="1">
        <v>6.0000000000000001E-3</v>
      </c>
      <c r="AZ959" s="1">
        <v>1.2E-2</v>
      </c>
      <c r="BA959" s="1">
        <v>0.02</v>
      </c>
      <c r="BB959" s="1">
        <v>6.0000000000000001E-3</v>
      </c>
      <c r="BC959" s="1">
        <v>2E-3</v>
      </c>
      <c r="BD959" s="1">
        <v>1.9E-2</v>
      </c>
      <c r="BE959" s="1">
        <v>3.0000000000000001E-3</v>
      </c>
      <c r="BF959" s="1">
        <v>1E-3</v>
      </c>
      <c r="BG959" s="1">
        <v>2E-3</v>
      </c>
      <c r="BH959" s="1">
        <v>2E-3</v>
      </c>
      <c r="BI959" s="1">
        <v>2E-3</v>
      </c>
      <c r="BJ959" s="1">
        <v>1E-3</v>
      </c>
      <c r="BK959" s="1">
        <v>2E-3</v>
      </c>
      <c r="BL959" s="1">
        <v>5.0000000000000001E-3</v>
      </c>
      <c r="BM959" s="1">
        <v>3.0000000000000001E-3</v>
      </c>
      <c r="BN959" s="1">
        <v>5.0000000000000001E-3</v>
      </c>
      <c r="BO959" s="1">
        <v>0.01</v>
      </c>
      <c r="BP959" s="1">
        <v>1E-3</v>
      </c>
      <c r="BQ959" s="1">
        <v>0.01</v>
      </c>
      <c r="BR959" s="1">
        <v>3.0000000000000001E-3</v>
      </c>
      <c r="BS959" s="1">
        <v>8.0000000000000002E-3</v>
      </c>
      <c r="BT959" s="1">
        <v>4.0000000000000001E-3</v>
      </c>
      <c r="BU959" s="1">
        <v>0.52100000000000002</v>
      </c>
      <c r="BV959" s="1">
        <v>5.0000000000000001E-3</v>
      </c>
      <c r="BW959" s="1">
        <v>4.0000000000000001E-3</v>
      </c>
      <c r="BX959" s="1">
        <v>1.6E-2</v>
      </c>
      <c r="BY959" s="1">
        <v>1.0999999999999999E-2</v>
      </c>
      <c r="BZ959" s="1">
        <v>8.0000000000000002E-3</v>
      </c>
      <c r="CA959" s="1">
        <v>4.0000000000000001E-3</v>
      </c>
      <c r="CB959" s="1">
        <v>2E-3</v>
      </c>
      <c r="CC959" s="1">
        <v>4.0000000000000001E-3</v>
      </c>
      <c r="CD959" s="1">
        <v>0</v>
      </c>
      <c r="CE959" s="1">
        <v>3.0000000000000001E-3</v>
      </c>
      <c r="CF959" s="1">
        <v>3.0000000000000001E-3</v>
      </c>
      <c r="CG959" s="1">
        <v>5.0000000000000001E-3</v>
      </c>
      <c r="CH959" s="1">
        <v>6.0000000000000001E-3</v>
      </c>
      <c r="CI959" s="1">
        <v>8.9999999999999993E-3</v>
      </c>
      <c r="CJ959" s="1">
        <v>8.9999999999999993E-3</v>
      </c>
      <c r="CK959" s="1">
        <v>8.2000000000000003E-2</v>
      </c>
      <c r="CL959" s="1">
        <v>8.9999999999999993E-3</v>
      </c>
      <c r="CM959" s="1">
        <v>-2.6061456120000002</v>
      </c>
      <c r="CN959" s="83">
        <v>126.02051299999999</v>
      </c>
    </row>
    <row r="960" spans="1:92" s="3" customFormat="1" x14ac:dyDescent="0.25">
      <c r="A960" s="72">
        <v>1008</v>
      </c>
      <c r="B960" s="81" t="s">
        <v>887</v>
      </c>
      <c r="C960" s="1" t="s">
        <v>72</v>
      </c>
      <c r="D960" s="1" t="s">
        <v>79</v>
      </c>
      <c r="E960" s="1" t="s">
        <v>74</v>
      </c>
      <c r="F960" s="1" t="s">
        <v>155</v>
      </c>
      <c r="G960" s="1" t="s">
        <v>80</v>
      </c>
      <c r="H960" s="1" t="s">
        <v>156</v>
      </c>
      <c r="I960" s="1"/>
      <c r="J960" s="9" t="s">
        <v>506</v>
      </c>
      <c r="K960" s="10">
        <v>0.45619183333333302</v>
      </c>
      <c r="L960" s="1" t="s">
        <v>641</v>
      </c>
      <c r="M960" s="1" t="s">
        <v>76</v>
      </c>
      <c r="N960" s="1" t="s">
        <v>644</v>
      </c>
      <c r="O960" s="1" t="s">
        <v>55</v>
      </c>
      <c r="P960" s="82">
        <v>0.10299999999999999</v>
      </c>
      <c r="Q960" s="1" t="s">
        <v>76</v>
      </c>
      <c r="R960" s="81" t="s">
        <v>114</v>
      </c>
      <c r="S960" s="1" t="s">
        <v>76</v>
      </c>
      <c r="T960" s="1" t="s">
        <v>78</v>
      </c>
      <c r="U960" s="1" t="s">
        <v>658</v>
      </c>
      <c r="V960" s="1" t="s">
        <v>655</v>
      </c>
      <c r="W960" s="1">
        <v>29</v>
      </c>
      <c r="X960" s="1" t="s">
        <v>76</v>
      </c>
      <c r="Y960" s="1" t="s">
        <v>644</v>
      </c>
      <c r="Z960" s="1">
        <v>3.0000000000000001E-3</v>
      </c>
      <c r="AA960" s="1">
        <v>6.0000000000000001E-3</v>
      </c>
      <c r="AB960" s="1">
        <v>8.9999999999999993E-3</v>
      </c>
      <c r="AC960" s="1">
        <v>4.4999999999999998E-2</v>
      </c>
      <c r="AD960" s="1">
        <v>8.0000000000000002E-3</v>
      </c>
      <c r="AE960" s="1">
        <v>1.7000000000000001E-2</v>
      </c>
      <c r="AF960" s="1">
        <v>1.2E-2</v>
      </c>
      <c r="AG960" s="1">
        <v>1E-3</v>
      </c>
      <c r="AH960" s="1">
        <v>2.3E-2</v>
      </c>
      <c r="AI960" s="1">
        <v>3.0000000000000001E-3</v>
      </c>
      <c r="AJ960" s="1">
        <v>8.9999999999999993E-3</v>
      </c>
      <c r="AK960" s="1">
        <v>4.3999999999999997E-2</v>
      </c>
      <c r="AL960" s="1">
        <v>1E-3</v>
      </c>
      <c r="AM960" s="1">
        <v>4.0000000000000001E-3</v>
      </c>
      <c r="AN960" s="1">
        <v>8.0000000000000002E-3</v>
      </c>
      <c r="AO960" s="1">
        <v>8.0000000000000002E-3</v>
      </c>
      <c r="AP960" s="1">
        <v>5.0000000000000001E-3</v>
      </c>
      <c r="AQ960" s="1">
        <v>4.0000000000000001E-3</v>
      </c>
      <c r="AR960" s="1">
        <v>4.0000000000000001E-3</v>
      </c>
      <c r="AS960" s="1">
        <v>9.2999999999999999E-2</v>
      </c>
      <c r="AT960" s="1">
        <v>1.4999999999999999E-2</v>
      </c>
      <c r="AU960" s="1">
        <v>7.0000000000000001E-3</v>
      </c>
      <c r="AV960" s="1">
        <v>4.0000000000000001E-3</v>
      </c>
      <c r="AW960" s="1">
        <v>1.0999999999999999E-2</v>
      </c>
      <c r="AX960" s="1">
        <v>5.0000000000000001E-3</v>
      </c>
      <c r="AY960" s="1">
        <v>0.01</v>
      </c>
      <c r="AZ960" s="1">
        <v>1.7999999999999999E-2</v>
      </c>
      <c r="BA960" s="1">
        <v>3.1E-2</v>
      </c>
      <c r="BB960" s="1">
        <v>2.5000000000000001E-2</v>
      </c>
      <c r="BC960" s="1">
        <v>3.0000000000000001E-3</v>
      </c>
      <c r="BD960" s="1">
        <v>4.1000000000000002E-2</v>
      </c>
      <c r="BE960" s="1">
        <v>7.0000000000000001E-3</v>
      </c>
      <c r="BF960" s="1">
        <v>2E-3</v>
      </c>
      <c r="BG960" s="1">
        <v>5.0000000000000001E-3</v>
      </c>
      <c r="BH960" s="1">
        <v>5.0000000000000001E-3</v>
      </c>
      <c r="BI960" s="1">
        <v>4.0000000000000001E-3</v>
      </c>
      <c r="BJ960" s="1">
        <v>2E-3</v>
      </c>
      <c r="BK960" s="1">
        <v>4.0000000000000001E-3</v>
      </c>
      <c r="BL960" s="1">
        <v>1.2999999999999999E-2</v>
      </c>
      <c r="BM960" s="1">
        <v>6.0000000000000001E-3</v>
      </c>
      <c r="BN960" s="1">
        <v>1.4E-2</v>
      </c>
      <c r="BO960" s="1">
        <v>7.0000000000000001E-3</v>
      </c>
      <c r="BP960" s="1">
        <v>1E-3</v>
      </c>
      <c r="BQ960" s="1">
        <v>1.9E-2</v>
      </c>
      <c r="BR960" s="1">
        <v>8.9999999999999993E-3</v>
      </c>
      <c r="BS960" s="1">
        <v>5.0000000000000001E-3</v>
      </c>
      <c r="BT960" s="1">
        <v>6.0000000000000001E-3</v>
      </c>
      <c r="BU960" s="1">
        <v>0.04</v>
      </c>
      <c r="BV960" s="1">
        <v>2.5999999999999999E-2</v>
      </c>
      <c r="BW960" s="1">
        <v>8.0000000000000002E-3</v>
      </c>
      <c r="BX960" s="1">
        <v>0.10299999999999999</v>
      </c>
      <c r="BY960" s="1">
        <v>1.7000000000000001E-2</v>
      </c>
      <c r="BZ960" s="1">
        <v>1.2999999999999999E-2</v>
      </c>
      <c r="CA960" s="1">
        <v>5.0000000000000001E-3</v>
      </c>
      <c r="CB960" s="1">
        <v>5.0000000000000001E-3</v>
      </c>
      <c r="CC960" s="1">
        <v>8.0000000000000002E-3</v>
      </c>
      <c r="CD960" s="1">
        <v>1E-3</v>
      </c>
      <c r="CE960" s="1">
        <v>6.0000000000000001E-3</v>
      </c>
      <c r="CF960" s="1">
        <v>5.0000000000000001E-3</v>
      </c>
      <c r="CG960" s="1">
        <v>8.9999999999999993E-3</v>
      </c>
      <c r="CH960" s="1">
        <v>0.02</v>
      </c>
      <c r="CI960" s="1">
        <v>1.6E-2</v>
      </c>
      <c r="CJ960" s="1">
        <v>2.1000000000000001E-2</v>
      </c>
      <c r="CK960" s="1">
        <v>0.1</v>
      </c>
      <c r="CL960" s="1">
        <v>1.4999999999999999E-2</v>
      </c>
      <c r="CM960" s="1">
        <v>-6.5323532430000002</v>
      </c>
      <c r="CN960" s="83">
        <v>116.3907535</v>
      </c>
    </row>
    <row r="961" spans="1:92" s="3" customFormat="1" x14ac:dyDescent="0.25">
      <c r="A961" s="72">
        <v>79</v>
      </c>
      <c r="B961" s="81" t="s">
        <v>865</v>
      </c>
      <c r="C961" s="1" t="s">
        <v>72</v>
      </c>
      <c r="D961" s="1" t="s">
        <v>79</v>
      </c>
      <c r="E961" s="1" t="s">
        <v>74</v>
      </c>
      <c r="F961" s="1" t="s">
        <v>669</v>
      </c>
      <c r="G961" s="1" t="s">
        <v>76</v>
      </c>
      <c r="H961" s="1" t="s">
        <v>68</v>
      </c>
      <c r="I961" s="1"/>
      <c r="J961" s="9" t="s">
        <v>544</v>
      </c>
      <c r="K961" s="10">
        <v>0.45062249999999898</v>
      </c>
      <c r="L961" s="1" t="s">
        <v>595</v>
      </c>
      <c r="M961" s="1" t="s">
        <v>506</v>
      </c>
      <c r="N961" s="1" t="s">
        <v>647</v>
      </c>
      <c r="O961" s="1" t="s">
        <v>10</v>
      </c>
      <c r="P961" s="82">
        <v>0.998</v>
      </c>
      <c r="Q961" s="1" t="s">
        <v>76</v>
      </c>
      <c r="R961" s="81" t="s">
        <v>129</v>
      </c>
      <c r="S961" s="1">
        <v>3</v>
      </c>
      <c r="T961" s="1" t="s">
        <v>120</v>
      </c>
      <c r="U961" s="1" t="s">
        <v>658</v>
      </c>
      <c r="V961" s="1" t="s">
        <v>655</v>
      </c>
      <c r="W961" s="1">
        <v>37</v>
      </c>
      <c r="X961" s="1" t="s">
        <v>148</v>
      </c>
      <c r="Y961" s="1" t="s">
        <v>647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0.998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1E-3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-13.78572756</v>
      </c>
      <c r="CN961" s="83">
        <v>148.85003169999999</v>
      </c>
    </row>
    <row r="962" spans="1:92" s="3" customFormat="1" x14ac:dyDescent="0.25">
      <c r="A962" s="72">
        <v>1010</v>
      </c>
      <c r="B962" s="81" t="s">
        <v>1192</v>
      </c>
      <c r="C962" s="1" t="s">
        <v>72</v>
      </c>
      <c r="D962" s="1" t="s">
        <v>79</v>
      </c>
      <c r="E962" s="1" t="s">
        <v>74</v>
      </c>
      <c r="F962" s="1" t="s">
        <v>112</v>
      </c>
      <c r="G962" s="1" t="s">
        <v>80</v>
      </c>
      <c r="H962" s="1" t="s">
        <v>112</v>
      </c>
      <c r="I962" s="1"/>
      <c r="J962" s="9" t="s">
        <v>506</v>
      </c>
      <c r="K962" s="10">
        <v>0.37569766666666699</v>
      </c>
      <c r="L962" s="1" t="s">
        <v>641</v>
      </c>
      <c r="M962" s="1" t="s">
        <v>76</v>
      </c>
      <c r="N962" s="1" t="s">
        <v>644</v>
      </c>
      <c r="O962" s="1" t="s">
        <v>52</v>
      </c>
      <c r="P962" s="82">
        <v>0.86899999999999999</v>
      </c>
      <c r="Q962" s="1" t="s">
        <v>76</v>
      </c>
      <c r="R962" s="81" t="s">
        <v>91</v>
      </c>
      <c r="S962" s="1" t="s">
        <v>76</v>
      </c>
      <c r="T962" s="1" t="s">
        <v>78</v>
      </c>
      <c r="U962" s="1" t="s">
        <v>658</v>
      </c>
      <c r="V962" s="1" t="s">
        <v>655</v>
      </c>
      <c r="W962" s="1">
        <v>24</v>
      </c>
      <c r="X962" s="1" t="s">
        <v>76</v>
      </c>
      <c r="Y962" s="1" t="s">
        <v>644</v>
      </c>
      <c r="Z962" s="1">
        <v>1E-3</v>
      </c>
      <c r="AA962" s="1">
        <v>1E-3</v>
      </c>
      <c r="AB962" s="1">
        <v>1E-3</v>
      </c>
      <c r="AC962" s="1">
        <v>2E-3</v>
      </c>
      <c r="AD962" s="1">
        <v>1E-3</v>
      </c>
      <c r="AE962" s="1">
        <v>1E-3</v>
      </c>
      <c r="AF962" s="1">
        <v>2E-3</v>
      </c>
      <c r="AG962" s="1">
        <v>0</v>
      </c>
      <c r="AH962" s="1">
        <v>3.0000000000000001E-3</v>
      </c>
      <c r="AI962" s="1">
        <v>0</v>
      </c>
      <c r="AJ962" s="1">
        <v>6.0000000000000001E-3</v>
      </c>
      <c r="AK962" s="1">
        <v>4.0000000000000001E-3</v>
      </c>
      <c r="AL962" s="1">
        <v>0</v>
      </c>
      <c r="AM962" s="1">
        <v>1E-3</v>
      </c>
      <c r="AN962" s="1">
        <v>3.0000000000000001E-3</v>
      </c>
      <c r="AO962" s="1">
        <v>1E-3</v>
      </c>
      <c r="AP962" s="1">
        <v>1E-3</v>
      </c>
      <c r="AQ962" s="1">
        <v>1E-3</v>
      </c>
      <c r="AR962" s="1">
        <v>0.01</v>
      </c>
      <c r="AS962" s="1">
        <v>3.0000000000000001E-3</v>
      </c>
      <c r="AT962" s="1">
        <v>1E-3</v>
      </c>
      <c r="AU962" s="1">
        <v>2E-3</v>
      </c>
      <c r="AV962" s="1">
        <v>1E-3</v>
      </c>
      <c r="AW962" s="1">
        <v>1E-3</v>
      </c>
      <c r="AX962" s="1">
        <v>1E-3</v>
      </c>
      <c r="AY962" s="1">
        <v>2E-3</v>
      </c>
      <c r="AZ962" s="1">
        <v>4.0000000000000001E-3</v>
      </c>
      <c r="BA962" s="1">
        <v>6.0000000000000001E-3</v>
      </c>
      <c r="BB962" s="1">
        <v>3.0000000000000001E-3</v>
      </c>
      <c r="BC962" s="1">
        <v>1E-3</v>
      </c>
      <c r="BD962" s="1">
        <v>5.0000000000000001E-3</v>
      </c>
      <c r="BE962" s="1">
        <v>1E-3</v>
      </c>
      <c r="BF962" s="1">
        <v>0</v>
      </c>
      <c r="BG962" s="1">
        <v>0</v>
      </c>
      <c r="BH962" s="1">
        <v>0</v>
      </c>
      <c r="BI962" s="1">
        <v>1E-3</v>
      </c>
      <c r="BJ962" s="1">
        <v>0</v>
      </c>
      <c r="BK962" s="1">
        <v>0</v>
      </c>
      <c r="BL962" s="1">
        <v>1E-3</v>
      </c>
      <c r="BM962" s="1">
        <v>1E-3</v>
      </c>
      <c r="BN962" s="1">
        <v>1E-3</v>
      </c>
      <c r="BO962" s="1">
        <v>3.0000000000000001E-3</v>
      </c>
      <c r="BP962" s="1">
        <v>0</v>
      </c>
      <c r="BQ962" s="1">
        <v>2E-3</v>
      </c>
      <c r="BR962" s="1">
        <v>1E-3</v>
      </c>
      <c r="BS962" s="1">
        <v>6.0000000000000001E-3</v>
      </c>
      <c r="BT962" s="1">
        <v>1E-3</v>
      </c>
      <c r="BU962" s="1">
        <v>0.86899999999999999</v>
      </c>
      <c r="BV962" s="1">
        <v>1E-3</v>
      </c>
      <c r="BW962" s="1">
        <v>1E-3</v>
      </c>
      <c r="BX962" s="1">
        <v>1.0999999999999999E-2</v>
      </c>
      <c r="BY962" s="1">
        <v>3.0000000000000001E-3</v>
      </c>
      <c r="BZ962" s="1">
        <v>2E-3</v>
      </c>
      <c r="CA962" s="1">
        <v>1E-3</v>
      </c>
      <c r="CB962" s="1">
        <v>0</v>
      </c>
      <c r="CC962" s="1">
        <v>1E-3</v>
      </c>
      <c r="CD962" s="1">
        <v>0</v>
      </c>
      <c r="CE962" s="1">
        <v>1E-3</v>
      </c>
      <c r="CF962" s="1">
        <v>1E-3</v>
      </c>
      <c r="CG962" s="1">
        <v>1E-3</v>
      </c>
      <c r="CH962" s="1">
        <v>1E-3</v>
      </c>
      <c r="CI962" s="1">
        <v>2E-3</v>
      </c>
      <c r="CJ962" s="1">
        <v>2E-3</v>
      </c>
      <c r="CK962" s="1">
        <v>1.4999999999999999E-2</v>
      </c>
      <c r="CL962" s="1">
        <v>2E-3</v>
      </c>
      <c r="CM962" s="1">
        <v>2.7321374810000001</v>
      </c>
      <c r="CN962" s="83">
        <v>121.3143585</v>
      </c>
    </row>
    <row r="963" spans="1:92" s="3" customFormat="1" x14ac:dyDescent="0.25">
      <c r="A963" s="72">
        <v>1011</v>
      </c>
      <c r="B963" s="81" t="s">
        <v>1085</v>
      </c>
      <c r="C963" s="1" t="s">
        <v>162</v>
      </c>
      <c r="D963" s="1" t="s">
        <v>73</v>
      </c>
      <c r="E963" s="1" t="s">
        <v>74</v>
      </c>
      <c r="F963" s="1" t="s">
        <v>84</v>
      </c>
      <c r="G963" s="1" t="s">
        <v>86</v>
      </c>
      <c r="H963" s="1" t="s">
        <v>85</v>
      </c>
      <c r="I963" s="1"/>
      <c r="J963" s="9" t="s">
        <v>544</v>
      </c>
      <c r="K963" s="10">
        <v>0.38530666666666702</v>
      </c>
      <c r="L963" s="1" t="s">
        <v>641</v>
      </c>
      <c r="M963" s="1" t="s">
        <v>76</v>
      </c>
      <c r="N963" s="1" t="s">
        <v>649</v>
      </c>
      <c r="O963" s="1" t="s">
        <v>19</v>
      </c>
      <c r="P963" s="82">
        <v>0.57299999999999995</v>
      </c>
      <c r="Q963" s="1">
        <f>SUM(AK963:AN963)</f>
        <v>0.877</v>
      </c>
      <c r="R963" s="81" t="s">
        <v>285</v>
      </c>
      <c r="S963" s="1">
        <v>2</v>
      </c>
      <c r="T963" s="1" t="s">
        <v>78</v>
      </c>
      <c r="U963" s="1" t="s">
        <v>658</v>
      </c>
      <c r="V963" s="1" t="s">
        <v>655</v>
      </c>
      <c r="W963" s="1">
        <v>78</v>
      </c>
      <c r="X963" s="1" t="s">
        <v>288</v>
      </c>
      <c r="Y963" s="1" t="s">
        <v>649</v>
      </c>
      <c r="Z963" s="1">
        <v>2E-3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1E-3</v>
      </c>
      <c r="AG963" s="1">
        <v>0</v>
      </c>
      <c r="AH963" s="1">
        <v>2E-3</v>
      </c>
      <c r="AI963" s="1">
        <v>0</v>
      </c>
      <c r="AJ963" s="1">
        <v>2E-3</v>
      </c>
      <c r="AK963" s="1">
        <v>1.4999999999999999E-2</v>
      </c>
      <c r="AL963" s="1">
        <v>0.16300000000000001</v>
      </c>
      <c r="AM963" s="1">
        <v>0.126</v>
      </c>
      <c r="AN963" s="1">
        <v>0.57299999999999995</v>
      </c>
      <c r="AO963" s="1">
        <v>0</v>
      </c>
      <c r="AP963" s="1">
        <v>0</v>
      </c>
      <c r="AQ963" s="1">
        <v>0</v>
      </c>
      <c r="AR963" s="1">
        <v>5.0000000000000001E-3</v>
      </c>
      <c r="AS963" s="1">
        <v>0</v>
      </c>
      <c r="AT963" s="1">
        <v>0</v>
      </c>
      <c r="AU963" s="1">
        <v>1E-3</v>
      </c>
      <c r="AV963" s="1">
        <v>1E-3</v>
      </c>
      <c r="AW963" s="1">
        <v>2E-3</v>
      </c>
      <c r="AX963" s="1">
        <v>4.0000000000000001E-3</v>
      </c>
      <c r="AY963" s="1">
        <v>0</v>
      </c>
      <c r="AZ963" s="1">
        <v>1E-3</v>
      </c>
      <c r="BA963" s="1">
        <v>1E-3</v>
      </c>
      <c r="BB963" s="1">
        <v>0</v>
      </c>
      <c r="BC963" s="1">
        <v>0</v>
      </c>
      <c r="BD963" s="1">
        <v>1E-3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1E-3</v>
      </c>
      <c r="BK963" s="1">
        <v>0</v>
      </c>
      <c r="BL963" s="1">
        <v>2E-3</v>
      </c>
      <c r="BM963" s="1">
        <v>0</v>
      </c>
      <c r="BN963" s="1">
        <v>0</v>
      </c>
      <c r="BO963" s="1">
        <v>0</v>
      </c>
      <c r="BP963" s="1">
        <v>0</v>
      </c>
      <c r="BQ963" s="1">
        <v>1E-3</v>
      </c>
      <c r="BR963" s="1">
        <v>0</v>
      </c>
      <c r="BS963" s="1">
        <v>1E-3</v>
      </c>
      <c r="BT963" s="1">
        <v>0</v>
      </c>
      <c r="BU963" s="1">
        <v>1E-3</v>
      </c>
      <c r="BV963" s="1">
        <v>0</v>
      </c>
      <c r="BW963" s="1">
        <v>0</v>
      </c>
      <c r="BX963" s="1">
        <v>1E-3</v>
      </c>
      <c r="BY963" s="1">
        <v>0</v>
      </c>
      <c r="BZ963" s="1">
        <v>4.0000000000000001E-3</v>
      </c>
      <c r="CA963" s="1">
        <v>1E-3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2E-3</v>
      </c>
      <c r="CH963" s="1">
        <v>0</v>
      </c>
      <c r="CI963" s="1">
        <v>0</v>
      </c>
      <c r="CJ963" s="1">
        <v>0</v>
      </c>
      <c r="CK963" s="1">
        <v>6.2E-2</v>
      </c>
      <c r="CL963" s="1">
        <v>1.6E-2</v>
      </c>
      <c r="CM963" s="1">
        <v>5.8319084080000003</v>
      </c>
      <c r="CN963" s="83">
        <v>102.638964</v>
      </c>
    </row>
    <row r="964" spans="1:92" s="3" customFormat="1" x14ac:dyDescent="0.25">
      <c r="A964" s="72">
        <v>1012</v>
      </c>
      <c r="B964" s="81" t="s">
        <v>889</v>
      </c>
      <c r="C964" s="1" t="s">
        <v>162</v>
      </c>
      <c r="D964" s="1" t="s">
        <v>73</v>
      </c>
      <c r="E964" s="1" t="s">
        <v>99</v>
      </c>
      <c r="F964" s="1" t="s">
        <v>84</v>
      </c>
      <c r="G964" s="1" t="s">
        <v>86</v>
      </c>
      <c r="H964" s="1" t="s">
        <v>85</v>
      </c>
      <c r="I964" s="1"/>
      <c r="J964" s="9" t="s">
        <v>544</v>
      </c>
      <c r="K964" s="10">
        <v>0.4569725</v>
      </c>
      <c r="L964" s="1" t="s">
        <v>76</v>
      </c>
      <c r="M964" s="1" t="s">
        <v>506</v>
      </c>
      <c r="N964" s="1" t="s">
        <v>645</v>
      </c>
      <c r="O964" s="1" t="s">
        <v>16</v>
      </c>
      <c r="P964" s="82">
        <v>0.996</v>
      </c>
      <c r="Q964" s="1" t="s">
        <v>76</v>
      </c>
      <c r="R964" s="81" t="s">
        <v>135</v>
      </c>
      <c r="S964" s="1">
        <v>2</v>
      </c>
      <c r="T964" s="1" t="s">
        <v>78</v>
      </c>
      <c r="U964" s="1" t="s">
        <v>658</v>
      </c>
      <c r="V964" s="1" t="s">
        <v>655</v>
      </c>
      <c r="W964" s="1">
        <v>44</v>
      </c>
      <c r="X964" s="1" t="s">
        <v>288</v>
      </c>
      <c r="Y964" s="1" t="s">
        <v>645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0.996</v>
      </c>
      <c r="AL964" s="1">
        <v>4.0000000000000001E-3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-10.526566150000001</v>
      </c>
      <c r="CN964" s="83">
        <v>140.27091229999999</v>
      </c>
    </row>
    <row r="965" spans="1:92" s="3" customFormat="1" x14ac:dyDescent="0.25">
      <c r="A965" s="72">
        <v>1013</v>
      </c>
      <c r="B965" s="81" t="s">
        <v>901</v>
      </c>
      <c r="C965" s="1" t="s">
        <v>162</v>
      </c>
      <c r="D965" s="1" t="s">
        <v>73</v>
      </c>
      <c r="E965" s="1" t="s">
        <v>99</v>
      </c>
      <c r="F965" s="1" t="s">
        <v>84</v>
      </c>
      <c r="G965" s="1" t="s">
        <v>86</v>
      </c>
      <c r="H965" s="1" t="s">
        <v>85</v>
      </c>
      <c r="I965" s="1"/>
      <c r="J965" s="9" t="s">
        <v>544</v>
      </c>
      <c r="K965" s="10">
        <v>0.63108649999999999</v>
      </c>
      <c r="L965" s="1" t="s">
        <v>641</v>
      </c>
      <c r="M965" s="1" t="s">
        <v>76</v>
      </c>
      <c r="N965" s="1" t="s">
        <v>649</v>
      </c>
      <c r="O965" s="1" t="s">
        <v>17</v>
      </c>
      <c r="P965" s="82">
        <v>0.68200000000000005</v>
      </c>
      <c r="Q965" s="1">
        <f>SUM(AK965:AN965)</f>
        <v>0.98799999999999999</v>
      </c>
      <c r="R965" s="81" t="s">
        <v>496</v>
      </c>
      <c r="S965" s="1">
        <v>2</v>
      </c>
      <c r="T965" s="1" t="s">
        <v>78</v>
      </c>
      <c r="U965" s="1" t="s">
        <v>658</v>
      </c>
      <c r="V965" s="1" t="s">
        <v>655</v>
      </c>
      <c r="W965" s="1">
        <v>72</v>
      </c>
      <c r="X965" s="1" t="s">
        <v>88</v>
      </c>
      <c r="Y965" s="1" t="s">
        <v>649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0.68200000000000005</v>
      </c>
      <c r="AM965" s="1">
        <v>0.30599999999999999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4.0000000000000001E-3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1E-3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1E-3</v>
      </c>
      <c r="CH965" s="1">
        <v>0</v>
      </c>
      <c r="CI965" s="1">
        <v>0</v>
      </c>
      <c r="CJ965" s="1">
        <v>0</v>
      </c>
      <c r="CK965" s="1">
        <v>0</v>
      </c>
      <c r="CL965" s="1">
        <v>0</v>
      </c>
      <c r="CM965" s="1">
        <v>-5.0087398509999996</v>
      </c>
      <c r="CN965" s="83">
        <v>67.805466859999996</v>
      </c>
    </row>
    <row r="966" spans="1:92" s="3" customFormat="1" x14ac:dyDescent="0.25">
      <c r="A966" s="72">
        <v>1014</v>
      </c>
      <c r="B966" s="81" t="s">
        <v>939</v>
      </c>
      <c r="C966" s="1" t="s">
        <v>162</v>
      </c>
      <c r="D966" s="1" t="s">
        <v>73</v>
      </c>
      <c r="E966" s="1" t="s">
        <v>99</v>
      </c>
      <c r="F966" s="1" t="s">
        <v>84</v>
      </c>
      <c r="G966" s="1" t="s">
        <v>86</v>
      </c>
      <c r="H966" s="1" t="s">
        <v>85</v>
      </c>
      <c r="I966" s="1"/>
      <c r="J966" s="9" t="s">
        <v>544</v>
      </c>
      <c r="K966" s="10">
        <v>0.35147983333333399</v>
      </c>
      <c r="L966" s="1" t="s">
        <v>641</v>
      </c>
      <c r="M966" s="1" t="s">
        <v>76</v>
      </c>
      <c r="N966" s="1" t="s">
        <v>649</v>
      </c>
      <c r="O966" s="1" t="s">
        <v>19</v>
      </c>
      <c r="P966" s="82">
        <v>0.39</v>
      </c>
      <c r="Q966" s="1">
        <f>SUM(AK966:AN966)</f>
        <v>0.46500000000000002</v>
      </c>
      <c r="R966" s="81" t="s">
        <v>183</v>
      </c>
      <c r="S966" s="1">
        <v>2</v>
      </c>
      <c r="T966" s="1" t="s">
        <v>78</v>
      </c>
      <c r="U966" s="1" t="s">
        <v>658</v>
      </c>
      <c r="V966" s="1" t="s">
        <v>655</v>
      </c>
      <c r="W966" s="1">
        <v>31</v>
      </c>
      <c r="X966" s="1" t="s">
        <v>288</v>
      </c>
      <c r="Y966" s="1" t="s">
        <v>649</v>
      </c>
      <c r="Z966" s="1">
        <v>3.0000000000000001E-3</v>
      </c>
      <c r="AA966" s="1">
        <v>2E-3</v>
      </c>
      <c r="AB966" s="1">
        <v>2E-3</v>
      </c>
      <c r="AC966" s="1">
        <v>2E-3</v>
      </c>
      <c r="AD966" s="1">
        <v>0.25600000000000001</v>
      </c>
      <c r="AE966" s="1">
        <v>3.0000000000000001E-3</v>
      </c>
      <c r="AF966" s="1">
        <v>3.0000000000000001E-3</v>
      </c>
      <c r="AG966" s="1">
        <v>0</v>
      </c>
      <c r="AH966" s="1">
        <v>1.2E-2</v>
      </c>
      <c r="AI966" s="1">
        <v>1E-3</v>
      </c>
      <c r="AJ966" s="1">
        <v>0.01</v>
      </c>
      <c r="AK966" s="1">
        <v>4.5999999999999999E-2</v>
      </c>
      <c r="AL966" s="1">
        <v>2E-3</v>
      </c>
      <c r="AM966" s="1">
        <v>2.7E-2</v>
      </c>
      <c r="AN966" s="1">
        <v>0.39</v>
      </c>
      <c r="AO966" s="1">
        <v>1E-3</v>
      </c>
      <c r="AP966" s="1">
        <v>1E-3</v>
      </c>
      <c r="AQ966" s="1">
        <v>3.0000000000000001E-3</v>
      </c>
      <c r="AR966" s="1">
        <v>6.0000000000000001E-3</v>
      </c>
      <c r="AS966" s="1">
        <v>5.0000000000000001E-3</v>
      </c>
      <c r="AT966" s="1">
        <v>2E-3</v>
      </c>
      <c r="AU966" s="1">
        <v>2E-3</v>
      </c>
      <c r="AV966" s="1">
        <v>2E-3</v>
      </c>
      <c r="AW966" s="1">
        <v>4.0000000000000001E-3</v>
      </c>
      <c r="AX966" s="1">
        <v>8.0000000000000002E-3</v>
      </c>
      <c r="AY966" s="1">
        <v>3.0000000000000001E-3</v>
      </c>
      <c r="AZ966" s="1">
        <v>8.9999999999999993E-3</v>
      </c>
      <c r="BA966" s="1">
        <v>7.0000000000000001E-3</v>
      </c>
      <c r="BB966" s="1">
        <v>2E-3</v>
      </c>
      <c r="BC966" s="1">
        <v>1E-3</v>
      </c>
      <c r="BD966" s="1">
        <v>8.9999999999999993E-3</v>
      </c>
      <c r="BE966" s="1">
        <v>1E-3</v>
      </c>
      <c r="BF966" s="1">
        <v>1E-3</v>
      </c>
      <c r="BG966" s="1">
        <v>1E-3</v>
      </c>
      <c r="BH966" s="1">
        <v>1E-3</v>
      </c>
      <c r="BI966" s="1">
        <v>1E-3</v>
      </c>
      <c r="BJ966" s="1">
        <v>5.0000000000000001E-3</v>
      </c>
      <c r="BK966" s="1">
        <v>1E-3</v>
      </c>
      <c r="BL966" s="1">
        <v>4.0000000000000001E-3</v>
      </c>
      <c r="BM966" s="1">
        <v>2E-3</v>
      </c>
      <c r="BN966" s="1">
        <v>3.0000000000000001E-3</v>
      </c>
      <c r="BO966" s="1">
        <v>1E-3</v>
      </c>
      <c r="BP966" s="1">
        <v>3.0000000000000001E-3</v>
      </c>
      <c r="BQ966" s="1">
        <v>4.0000000000000001E-3</v>
      </c>
      <c r="BR966" s="1">
        <v>2E-3</v>
      </c>
      <c r="BS966" s="1">
        <v>2E-3</v>
      </c>
      <c r="BT966" s="1">
        <v>1E-3</v>
      </c>
      <c r="BU966" s="1">
        <v>1.9E-2</v>
      </c>
      <c r="BV966" s="1">
        <v>2E-3</v>
      </c>
      <c r="BW966" s="1">
        <v>2E-3</v>
      </c>
      <c r="BX966" s="1">
        <v>5.0000000000000001E-3</v>
      </c>
      <c r="BY966" s="1">
        <v>7.0000000000000001E-3</v>
      </c>
      <c r="BZ966" s="1">
        <v>2.1999999999999999E-2</v>
      </c>
      <c r="CA966" s="1">
        <v>3.0000000000000001E-3</v>
      </c>
      <c r="CB966" s="1">
        <v>1E-3</v>
      </c>
      <c r="CC966" s="1">
        <v>2E-3</v>
      </c>
      <c r="CD966" s="1">
        <v>0</v>
      </c>
      <c r="CE966" s="1">
        <v>2E-3</v>
      </c>
      <c r="CF966" s="1">
        <v>2E-3</v>
      </c>
      <c r="CG966" s="1">
        <v>5.0000000000000001E-3</v>
      </c>
      <c r="CH966" s="1">
        <v>3.0000000000000001E-3</v>
      </c>
      <c r="CI966" s="1">
        <v>2E-3</v>
      </c>
      <c r="CJ966" s="1">
        <v>3.0000000000000001E-3</v>
      </c>
      <c r="CK966" s="1">
        <v>8.9999999999999993E-3</v>
      </c>
      <c r="CL966" s="1">
        <v>5.2999999999999999E-2</v>
      </c>
      <c r="CM966" s="1">
        <v>6.1977281319999999</v>
      </c>
      <c r="CN966" s="83">
        <v>105.40007</v>
      </c>
    </row>
    <row r="967" spans="1:92" s="3" customFormat="1" x14ac:dyDescent="0.25">
      <c r="A967" s="72">
        <v>1015</v>
      </c>
      <c r="B967" s="81" t="s">
        <v>904</v>
      </c>
      <c r="C967" s="1" t="s">
        <v>162</v>
      </c>
      <c r="D967" s="1" t="s">
        <v>73</v>
      </c>
      <c r="E967" s="1" t="s">
        <v>99</v>
      </c>
      <c r="F967" s="1" t="s">
        <v>84</v>
      </c>
      <c r="G967" s="1" t="s">
        <v>505</v>
      </c>
      <c r="H967" s="1" t="s">
        <v>85</v>
      </c>
      <c r="I967" s="1" t="s">
        <v>86</v>
      </c>
      <c r="J967" s="9" t="s">
        <v>544</v>
      </c>
      <c r="K967" s="10">
        <v>0.58781616666666703</v>
      </c>
      <c r="L967" s="1" t="s">
        <v>76</v>
      </c>
      <c r="M967" s="1" t="s">
        <v>506</v>
      </c>
      <c r="N967" s="1" t="s">
        <v>645</v>
      </c>
      <c r="O967" s="1" t="s">
        <v>17</v>
      </c>
      <c r="P967" s="82">
        <v>0.998</v>
      </c>
      <c r="Q967" s="1" t="s">
        <v>76</v>
      </c>
      <c r="R967" s="81" t="s">
        <v>114</v>
      </c>
      <c r="S967" s="1">
        <v>2</v>
      </c>
      <c r="T967" s="1" t="s">
        <v>78</v>
      </c>
      <c r="U967" s="1" t="s">
        <v>658</v>
      </c>
      <c r="V967" s="1" t="s">
        <v>655</v>
      </c>
      <c r="W967" s="1">
        <v>71</v>
      </c>
      <c r="X967" s="1" t="s">
        <v>88</v>
      </c>
      <c r="Y967" s="1" t="s">
        <v>645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0.998</v>
      </c>
      <c r="AM967" s="1">
        <v>2E-3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1">
        <v>5.0171028519999998</v>
      </c>
      <c r="CN967" s="83">
        <v>64.541943009999997</v>
      </c>
    </row>
    <row r="968" spans="1:92" s="3" customFormat="1" x14ac:dyDescent="0.25">
      <c r="A968" s="72">
        <v>1016</v>
      </c>
      <c r="B968" s="81" t="s">
        <v>856</v>
      </c>
      <c r="C968" s="1" t="s">
        <v>162</v>
      </c>
      <c r="D968" s="1" t="s">
        <v>73</v>
      </c>
      <c r="E968" s="1" t="s">
        <v>74</v>
      </c>
      <c r="F968" s="1" t="s">
        <v>84</v>
      </c>
      <c r="G968" s="1" t="s">
        <v>557</v>
      </c>
      <c r="H968" s="1" t="s">
        <v>85</v>
      </c>
      <c r="I968" s="1"/>
      <c r="J968" s="9" t="s">
        <v>544</v>
      </c>
      <c r="K968" s="10">
        <v>0.50067166666666696</v>
      </c>
      <c r="L968" s="1" t="s">
        <v>76</v>
      </c>
      <c r="M968" s="1" t="s">
        <v>506</v>
      </c>
      <c r="N968" s="1" t="s">
        <v>645</v>
      </c>
      <c r="O968" s="1" t="s">
        <v>16</v>
      </c>
      <c r="P968" s="82">
        <v>0.99399999999999999</v>
      </c>
      <c r="Q968" s="1" t="s">
        <v>76</v>
      </c>
      <c r="R968" s="81" t="s">
        <v>87</v>
      </c>
      <c r="S968" s="1">
        <v>1</v>
      </c>
      <c r="T968" s="1" t="s">
        <v>78</v>
      </c>
      <c r="U968" s="1" t="s">
        <v>658</v>
      </c>
      <c r="V968" s="1" t="s">
        <v>655</v>
      </c>
      <c r="W968" s="1">
        <v>10</v>
      </c>
      <c r="X968" s="1" t="s">
        <v>288</v>
      </c>
      <c r="Y968" s="1" t="s">
        <v>645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0.99399999999999999</v>
      </c>
      <c r="AL968" s="1">
        <v>4.0000000000000001E-3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-11.53886777</v>
      </c>
      <c r="CN968" s="83">
        <v>141.44331310000001</v>
      </c>
    </row>
    <row r="969" spans="1:92" s="3" customFormat="1" x14ac:dyDescent="0.25">
      <c r="A969" s="72">
        <v>1017</v>
      </c>
      <c r="B969" s="81" t="s">
        <v>992</v>
      </c>
      <c r="C969" s="1" t="s">
        <v>162</v>
      </c>
      <c r="D969" s="1" t="s">
        <v>73</v>
      </c>
      <c r="E969" s="1" t="s">
        <v>99</v>
      </c>
      <c r="F969" s="1" t="s">
        <v>84</v>
      </c>
      <c r="G969" s="1" t="s">
        <v>505</v>
      </c>
      <c r="H969" s="1" t="s">
        <v>85</v>
      </c>
      <c r="I969" s="1"/>
      <c r="J969" s="9" t="s">
        <v>544</v>
      </c>
      <c r="K969" s="10">
        <v>0.63129733333333204</v>
      </c>
      <c r="L969" s="1" t="s">
        <v>641</v>
      </c>
      <c r="M969" s="1" t="s">
        <v>76</v>
      </c>
      <c r="N969" s="1" t="s">
        <v>649</v>
      </c>
      <c r="O969" s="1" t="s">
        <v>17</v>
      </c>
      <c r="P969" s="82">
        <v>0.874</v>
      </c>
      <c r="Q969" s="1">
        <f>SUM(AK969:AN969)</f>
        <v>0.999</v>
      </c>
      <c r="R969" s="81" t="s">
        <v>187</v>
      </c>
      <c r="S969" s="1" t="s">
        <v>123</v>
      </c>
      <c r="T969" s="1" t="s">
        <v>78</v>
      </c>
      <c r="U969" s="1" t="s">
        <v>658</v>
      </c>
      <c r="V969" s="1" t="s">
        <v>655</v>
      </c>
      <c r="W969" s="1">
        <v>50</v>
      </c>
      <c r="X969" s="1" t="s">
        <v>88</v>
      </c>
      <c r="Y969" s="1" t="s">
        <v>645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0.874</v>
      </c>
      <c r="AM969" s="1">
        <v>0.125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4.8346228890000003</v>
      </c>
      <c r="CN969" s="83">
        <v>63.21205278</v>
      </c>
    </row>
    <row r="970" spans="1:92" s="3" customFormat="1" x14ac:dyDescent="0.25">
      <c r="A970" s="72">
        <v>1018</v>
      </c>
      <c r="B970" s="81" t="s">
        <v>928</v>
      </c>
      <c r="C970" s="1" t="s">
        <v>162</v>
      </c>
      <c r="D970" s="1" t="s">
        <v>73</v>
      </c>
      <c r="E970" s="1" t="s">
        <v>74</v>
      </c>
      <c r="F970" s="1" t="s">
        <v>84</v>
      </c>
      <c r="G970" s="1" t="s">
        <v>86</v>
      </c>
      <c r="H970" s="1" t="s">
        <v>85</v>
      </c>
      <c r="I970" s="1"/>
      <c r="J970" s="9" t="s">
        <v>544</v>
      </c>
      <c r="K970" s="10">
        <v>0.60914800000000102</v>
      </c>
      <c r="L970" s="1" t="s">
        <v>76</v>
      </c>
      <c r="M970" s="1" t="s">
        <v>506</v>
      </c>
      <c r="N970" s="1" t="s">
        <v>645</v>
      </c>
      <c r="O970" s="1" t="s">
        <v>17</v>
      </c>
      <c r="P970" s="82">
        <v>0.98899999999999999</v>
      </c>
      <c r="Q970" s="1" t="s">
        <v>76</v>
      </c>
      <c r="R970" s="81" t="s">
        <v>114</v>
      </c>
      <c r="S970" s="1" t="s">
        <v>123</v>
      </c>
      <c r="T970" s="1" t="s">
        <v>78</v>
      </c>
      <c r="U970" s="1" t="s">
        <v>658</v>
      </c>
      <c r="V970" s="1" t="s">
        <v>655</v>
      </c>
      <c r="W970" s="1">
        <v>36</v>
      </c>
      <c r="X970" s="1" t="s">
        <v>286</v>
      </c>
      <c r="Y970" s="1" t="s">
        <v>645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0.98899999999999999</v>
      </c>
      <c r="AM970" s="1">
        <v>0.01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-3.8443706839999998</v>
      </c>
      <c r="CN970" s="83">
        <v>67.520862829999999</v>
      </c>
    </row>
    <row r="971" spans="1:92" s="3" customFormat="1" x14ac:dyDescent="0.25">
      <c r="A971" s="72">
        <v>1019</v>
      </c>
      <c r="B971" s="81" t="s">
        <v>990</v>
      </c>
      <c r="C971" s="1" t="s">
        <v>162</v>
      </c>
      <c r="D971" s="1" t="s">
        <v>73</v>
      </c>
      <c r="E971" s="1" t="s">
        <v>99</v>
      </c>
      <c r="F971" s="1" t="s">
        <v>84</v>
      </c>
      <c r="G971" s="1" t="s">
        <v>86</v>
      </c>
      <c r="H971" s="1" t="s">
        <v>85</v>
      </c>
      <c r="I971" s="1"/>
      <c r="J971" s="9" t="s">
        <v>544</v>
      </c>
      <c r="K971" s="10">
        <v>0.26828816666666699</v>
      </c>
      <c r="L971" s="1" t="s">
        <v>510</v>
      </c>
      <c r="M971" s="1" t="s">
        <v>76</v>
      </c>
      <c r="N971" s="1" t="s">
        <v>644</v>
      </c>
      <c r="O971" s="1" t="s">
        <v>39</v>
      </c>
      <c r="P971" s="82">
        <v>0.78800000000000003</v>
      </c>
      <c r="Q971" s="1">
        <f>SUM(AK971:AN971)</f>
        <v>1.6E-2</v>
      </c>
      <c r="R971" s="81" t="s">
        <v>81</v>
      </c>
      <c r="S971" s="1">
        <v>1</v>
      </c>
      <c r="T971" s="1" t="s">
        <v>78</v>
      </c>
      <c r="U971" s="1" t="s">
        <v>658</v>
      </c>
      <c r="V971" s="1" t="s">
        <v>655</v>
      </c>
      <c r="W971" s="1">
        <v>50</v>
      </c>
      <c r="X971" s="1" t="s">
        <v>288</v>
      </c>
      <c r="Y971" s="1" t="s">
        <v>644</v>
      </c>
      <c r="Z971" s="1">
        <v>2E-3</v>
      </c>
      <c r="AA971" s="1">
        <v>1E-3</v>
      </c>
      <c r="AB971" s="1">
        <v>1E-3</v>
      </c>
      <c r="AC971" s="1">
        <v>3.9E-2</v>
      </c>
      <c r="AD971" s="1">
        <v>2E-3</v>
      </c>
      <c r="AE971" s="1">
        <v>2E-3</v>
      </c>
      <c r="AF971" s="1">
        <v>1E-3</v>
      </c>
      <c r="AG971" s="1">
        <v>0</v>
      </c>
      <c r="AH971" s="1">
        <v>8.9999999999999993E-3</v>
      </c>
      <c r="AI971" s="1">
        <v>4.0000000000000001E-3</v>
      </c>
      <c r="AJ971" s="1">
        <v>1E-3</v>
      </c>
      <c r="AK971" s="1">
        <v>3.0000000000000001E-3</v>
      </c>
      <c r="AL971" s="1">
        <v>0</v>
      </c>
      <c r="AM971" s="1">
        <v>1E-3</v>
      </c>
      <c r="AN971" s="1">
        <v>1.2E-2</v>
      </c>
      <c r="AO971" s="1">
        <v>2E-3</v>
      </c>
      <c r="AP971" s="1">
        <v>6.0000000000000001E-3</v>
      </c>
      <c r="AQ971" s="1">
        <v>1E-3</v>
      </c>
      <c r="AR971" s="1">
        <v>0</v>
      </c>
      <c r="AS971" s="1">
        <v>4.0000000000000001E-3</v>
      </c>
      <c r="AT971" s="1">
        <v>2E-3</v>
      </c>
      <c r="AU971" s="1">
        <v>1E-3</v>
      </c>
      <c r="AV971" s="1">
        <v>1E-3</v>
      </c>
      <c r="AW971" s="1">
        <v>2E-3</v>
      </c>
      <c r="AX971" s="1">
        <v>1E-3</v>
      </c>
      <c r="AY971" s="1">
        <v>3.0000000000000001E-3</v>
      </c>
      <c r="AZ971" s="1">
        <v>2E-3</v>
      </c>
      <c r="BA971" s="1">
        <v>6.0000000000000001E-3</v>
      </c>
      <c r="BB971" s="1">
        <v>1E-3</v>
      </c>
      <c r="BC971" s="1">
        <v>1E-3</v>
      </c>
      <c r="BD971" s="1">
        <v>8.0000000000000002E-3</v>
      </c>
      <c r="BE971" s="1">
        <v>1E-3</v>
      </c>
      <c r="BF971" s="1">
        <v>0.03</v>
      </c>
      <c r="BG971" s="1">
        <v>1E-3</v>
      </c>
      <c r="BH971" s="1">
        <v>0.78800000000000003</v>
      </c>
      <c r="BI971" s="1">
        <v>1E-3</v>
      </c>
      <c r="BJ971" s="1">
        <v>0</v>
      </c>
      <c r="BK971" s="1">
        <v>1E-3</v>
      </c>
      <c r="BL971" s="1">
        <v>2E-3</v>
      </c>
      <c r="BM971" s="1">
        <v>1E-3</v>
      </c>
      <c r="BN971" s="1">
        <v>2E-3</v>
      </c>
      <c r="BO971" s="1">
        <v>1E-3</v>
      </c>
      <c r="BP971" s="1">
        <v>0</v>
      </c>
      <c r="BQ971" s="1">
        <v>2E-3</v>
      </c>
      <c r="BR971" s="1">
        <v>2E-3</v>
      </c>
      <c r="BS971" s="1">
        <v>1E-3</v>
      </c>
      <c r="BT971" s="1">
        <v>1E-3</v>
      </c>
      <c r="BU971" s="1">
        <v>1E-3</v>
      </c>
      <c r="BV971" s="1">
        <v>1E-3</v>
      </c>
      <c r="BW971" s="1">
        <v>1E-3</v>
      </c>
      <c r="BX971" s="1">
        <v>8.0000000000000002E-3</v>
      </c>
      <c r="BY971" s="1">
        <v>4.0000000000000001E-3</v>
      </c>
      <c r="BZ971" s="1">
        <v>2E-3</v>
      </c>
      <c r="CA971" s="1">
        <v>1E-3</v>
      </c>
      <c r="CB971" s="1">
        <v>0</v>
      </c>
      <c r="CC971" s="1">
        <v>1E-3</v>
      </c>
      <c r="CD971" s="1">
        <v>0</v>
      </c>
      <c r="CE971" s="1">
        <v>1E-3</v>
      </c>
      <c r="CF971" s="1">
        <v>2E-3</v>
      </c>
      <c r="CG971" s="1">
        <v>2E-3</v>
      </c>
      <c r="CH971" s="1">
        <v>2E-3</v>
      </c>
      <c r="CI971" s="1">
        <v>2E-3</v>
      </c>
      <c r="CJ971" s="1">
        <v>4.0000000000000001E-3</v>
      </c>
      <c r="CK971" s="1">
        <v>8.9999999999999993E-3</v>
      </c>
      <c r="CL971" s="1">
        <v>3.0000000000000001E-3</v>
      </c>
      <c r="CM971" s="1">
        <v>-40.472445110000002</v>
      </c>
      <c r="CN971" s="83">
        <v>-68.401665440000002</v>
      </c>
    </row>
    <row r="972" spans="1:92" s="3" customFormat="1" x14ac:dyDescent="0.25">
      <c r="A972" s="72">
        <v>1020</v>
      </c>
      <c r="B972" s="81" t="s">
        <v>991</v>
      </c>
      <c r="C972" s="1" t="s">
        <v>162</v>
      </c>
      <c r="D972" s="1" t="s">
        <v>73</v>
      </c>
      <c r="E972" s="1" t="s">
        <v>99</v>
      </c>
      <c r="F972" s="1" t="s">
        <v>84</v>
      </c>
      <c r="G972" s="1" t="s">
        <v>86</v>
      </c>
      <c r="H972" s="1" t="s">
        <v>85</v>
      </c>
      <c r="I972" s="1"/>
      <c r="J972" s="9" t="s">
        <v>544</v>
      </c>
      <c r="K972" s="10">
        <v>0.44247383333333301</v>
      </c>
      <c r="L972" s="1" t="s">
        <v>641</v>
      </c>
      <c r="M972" s="1" t="s">
        <v>76</v>
      </c>
      <c r="N972" s="1" t="s">
        <v>649</v>
      </c>
      <c r="O972" s="1" t="s">
        <v>19</v>
      </c>
      <c r="P972" s="82">
        <v>0.45700000000000002</v>
      </c>
      <c r="Q972" s="1">
        <f>SUM(AK972:AN972)</f>
        <v>0.99500000000000011</v>
      </c>
      <c r="R972" s="81" t="s">
        <v>87</v>
      </c>
      <c r="S972" s="1">
        <v>2</v>
      </c>
      <c r="T972" s="1" t="s">
        <v>78</v>
      </c>
      <c r="U972" s="1" t="s">
        <v>658</v>
      </c>
      <c r="V972" s="1" t="s">
        <v>655</v>
      </c>
      <c r="W972" s="1">
        <v>78</v>
      </c>
      <c r="X972" s="1" t="s">
        <v>497</v>
      </c>
      <c r="Y972" s="1" t="s">
        <v>649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1E-3</v>
      </c>
      <c r="AI972" s="1">
        <v>0</v>
      </c>
      <c r="AJ972" s="1">
        <v>0</v>
      </c>
      <c r="AK972" s="1">
        <v>0.314</v>
      </c>
      <c r="AL972" s="1">
        <v>0.08</v>
      </c>
      <c r="AM972" s="1">
        <v>0.14399999999999999</v>
      </c>
      <c r="AN972" s="1">
        <v>0.45700000000000002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6.1772557109999999</v>
      </c>
      <c r="CN972" s="83">
        <v>101.0659332</v>
      </c>
    </row>
    <row r="973" spans="1:92" s="3" customFormat="1" x14ac:dyDescent="0.25">
      <c r="A973" s="72">
        <v>1021</v>
      </c>
      <c r="B973" s="81" t="s">
        <v>1187</v>
      </c>
      <c r="C973" s="1" t="s">
        <v>162</v>
      </c>
      <c r="D973" s="1" t="s">
        <v>73</v>
      </c>
      <c r="E973" s="1" t="s">
        <v>99</v>
      </c>
      <c r="F973" s="1" t="s">
        <v>84</v>
      </c>
      <c r="G973" s="1" t="s">
        <v>86</v>
      </c>
      <c r="H973" s="1" t="s">
        <v>85</v>
      </c>
      <c r="I973" s="1"/>
      <c r="J973" s="9" t="s">
        <v>544</v>
      </c>
      <c r="K973" s="10">
        <v>0.58767016666666705</v>
      </c>
      <c r="L973" s="1" t="s">
        <v>641</v>
      </c>
      <c r="M973" s="1" t="s">
        <v>76</v>
      </c>
      <c r="N973" s="1" t="s">
        <v>649</v>
      </c>
      <c r="O973" s="1" t="s">
        <v>17</v>
      </c>
      <c r="P973" s="82">
        <v>0.89</v>
      </c>
      <c r="Q973" s="1">
        <f>SUM(AK973:AN973)</f>
        <v>0.99099999999999999</v>
      </c>
      <c r="R973" s="81" t="s">
        <v>77</v>
      </c>
      <c r="S973" s="1">
        <v>3</v>
      </c>
      <c r="T973" s="1" t="s">
        <v>78</v>
      </c>
      <c r="U973" s="1" t="s">
        <v>659</v>
      </c>
      <c r="V973" s="1" t="s">
        <v>655</v>
      </c>
      <c r="W973" s="1">
        <v>77</v>
      </c>
      <c r="X973" s="1" t="s">
        <v>498</v>
      </c>
      <c r="Y973" s="1" t="s">
        <v>645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0.89</v>
      </c>
      <c r="AM973" s="1">
        <v>0.10100000000000001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3.0000000000000001E-3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1E-3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-2.4832131469999998</v>
      </c>
      <c r="CN973" s="83">
        <v>68.116006389999995</v>
      </c>
    </row>
    <row r="974" spans="1:92" s="3" customFormat="1" x14ac:dyDescent="0.25">
      <c r="A974" s="72">
        <v>257</v>
      </c>
      <c r="B974" s="81" t="s">
        <v>1375</v>
      </c>
      <c r="C974" s="1" t="s">
        <v>83</v>
      </c>
      <c r="D974" s="1" t="s">
        <v>73</v>
      </c>
      <c r="E974" s="1" t="s">
        <v>74</v>
      </c>
      <c r="F974" s="1" t="s">
        <v>669</v>
      </c>
      <c r="G974" s="1" t="s">
        <v>76</v>
      </c>
      <c r="H974" s="1" t="s">
        <v>68</v>
      </c>
      <c r="I974" s="1"/>
      <c r="J974" s="9" t="s">
        <v>544</v>
      </c>
      <c r="K974" s="10">
        <v>0.41298299999999999</v>
      </c>
      <c r="L974" s="1" t="s">
        <v>622</v>
      </c>
      <c r="M974" s="1" t="s">
        <v>506</v>
      </c>
      <c r="N974" s="1" t="s">
        <v>647</v>
      </c>
      <c r="O974" s="1" t="s">
        <v>69</v>
      </c>
      <c r="P974" s="82">
        <v>0.95</v>
      </c>
      <c r="Q974" s="1" t="s">
        <v>76</v>
      </c>
      <c r="R974" s="81" t="s">
        <v>251</v>
      </c>
      <c r="S974" s="1">
        <v>1</v>
      </c>
      <c r="T974" s="1" t="s">
        <v>120</v>
      </c>
      <c r="U974" s="1" t="s">
        <v>658</v>
      </c>
      <c r="V974" s="1" t="s">
        <v>655</v>
      </c>
      <c r="W974" s="1">
        <v>41</v>
      </c>
      <c r="X974" s="1" t="s">
        <v>76</v>
      </c>
      <c r="Y974" s="1" t="s">
        <v>647</v>
      </c>
      <c r="Z974" s="1">
        <v>1E-3</v>
      </c>
      <c r="AA974" s="1">
        <v>0</v>
      </c>
      <c r="AB974" s="1">
        <v>0</v>
      </c>
      <c r="AC974" s="1">
        <v>0</v>
      </c>
      <c r="AD974" s="1">
        <v>1E-3</v>
      </c>
      <c r="AE974" s="1">
        <v>0</v>
      </c>
      <c r="AF974" s="1">
        <v>0</v>
      </c>
      <c r="AG974" s="1">
        <v>0</v>
      </c>
      <c r="AH974" s="1">
        <v>1E-3</v>
      </c>
      <c r="AI974" s="1">
        <v>0</v>
      </c>
      <c r="AJ974" s="1">
        <v>0</v>
      </c>
      <c r="AK974" s="1">
        <v>1E-3</v>
      </c>
      <c r="AL974" s="1">
        <v>0</v>
      </c>
      <c r="AM974" s="1">
        <v>0</v>
      </c>
      <c r="AN974" s="1">
        <v>1E-3</v>
      </c>
      <c r="AO974" s="1">
        <v>0</v>
      </c>
      <c r="AP974" s="1">
        <v>0</v>
      </c>
      <c r="AQ974" s="1">
        <v>0</v>
      </c>
      <c r="AR974" s="1">
        <v>1E-3</v>
      </c>
      <c r="AS974" s="1">
        <v>1E-3</v>
      </c>
      <c r="AT974" s="1">
        <v>0</v>
      </c>
      <c r="AU974" s="1">
        <v>1E-3</v>
      </c>
      <c r="AV974" s="1">
        <v>0</v>
      </c>
      <c r="AW974" s="1">
        <v>0</v>
      </c>
      <c r="AX974" s="1">
        <v>1E-3</v>
      </c>
      <c r="AY974" s="1">
        <v>1E-3</v>
      </c>
      <c r="AZ974" s="1">
        <v>2E-3</v>
      </c>
      <c r="BA974" s="1">
        <v>1E-3</v>
      </c>
      <c r="BB974" s="1">
        <v>0</v>
      </c>
      <c r="BC974" s="1">
        <v>0</v>
      </c>
      <c r="BD974" s="1">
        <v>2E-3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2E-3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1E-3</v>
      </c>
      <c r="BQ974" s="1">
        <v>1E-3</v>
      </c>
      <c r="BR974" s="1">
        <v>0</v>
      </c>
      <c r="BS974" s="1">
        <v>0</v>
      </c>
      <c r="BT974" s="1">
        <v>0</v>
      </c>
      <c r="BU974" s="1">
        <v>1.4999999999999999E-2</v>
      </c>
      <c r="BV974" s="1">
        <v>0</v>
      </c>
      <c r="BW974" s="1">
        <v>0</v>
      </c>
      <c r="BX974" s="1">
        <v>0</v>
      </c>
      <c r="BY974" s="1">
        <v>1E-3</v>
      </c>
      <c r="BZ974" s="1">
        <v>1E-3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1E-3</v>
      </c>
      <c r="CI974" s="1">
        <v>0</v>
      </c>
      <c r="CJ974" s="1">
        <v>1E-3</v>
      </c>
      <c r="CK974" s="1">
        <v>4.0000000000000001E-3</v>
      </c>
      <c r="CL974" s="1">
        <v>0.95</v>
      </c>
      <c r="CM974" s="1">
        <v>-59.312491319999999</v>
      </c>
      <c r="CN974" s="83">
        <v>-20.683301409999999</v>
      </c>
    </row>
    <row r="975" spans="1:92" s="3" customFormat="1" x14ac:dyDescent="0.25">
      <c r="A975" s="72">
        <v>1023</v>
      </c>
      <c r="B975" s="81" t="s">
        <v>1130</v>
      </c>
      <c r="C975" s="1" t="s">
        <v>162</v>
      </c>
      <c r="D975" s="1" t="s">
        <v>73</v>
      </c>
      <c r="E975" s="1" t="s">
        <v>74</v>
      </c>
      <c r="F975" s="1" t="s">
        <v>84</v>
      </c>
      <c r="G975" s="1" t="s">
        <v>86</v>
      </c>
      <c r="H975" s="1" t="s">
        <v>85</v>
      </c>
      <c r="I975" s="1"/>
      <c r="J975" s="9" t="s">
        <v>544</v>
      </c>
      <c r="K975" s="10">
        <v>0.26113166666666698</v>
      </c>
      <c r="L975" s="1" t="s">
        <v>510</v>
      </c>
      <c r="M975" s="1" t="s">
        <v>76</v>
      </c>
      <c r="N975" s="1" t="s">
        <v>644</v>
      </c>
      <c r="O975" s="1" t="s">
        <v>39</v>
      </c>
      <c r="P975" s="82">
        <v>0.753</v>
      </c>
      <c r="Q975" s="1">
        <f>SUM(AK975:AN975)</f>
        <v>2.3E-2</v>
      </c>
      <c r="R975" s="81" t="s">
        <v>87</v>
      </c>
      <c r="S975" s="1">
        <v>1</v>
      </c>
      <c r="T975" s="1" t="s">
        <v>78</v>
      </c>
      <c r="U975" s="1" t="s">
        <v>658</v>
      </c>
      <c r="V975" s="1" t="s">
        <v>655</v>
      </c>
      <c r="W975" s="1">
        <v>67</v>
      </c>
      <c r="X975" s="1" t="s">
        <v>288</v>
      </c>
      <c r="Y975" s="1" t="s">
        <v>644</v>
      </c>
      <c r="Z975" s="1">
        <v>2E-3</v>
      </c>
      <c r="AA975" s="1">
        <v>1E-3</v>
      </c>
      <c r="AB975" s="1">
        <v>1E-3</v>
      </c>
      <c r="AC975" s="1">
        <v>3.7999999999999999E-2</v>
      </c>
      <c r="AD975" s="1">
        <v>2E-3</v>
      </c>
      <c r="AE975" s="1">
        <v>2E-3</v>
      </c>
      <c r="AF975" s="1">
        <v>1E-3</v>
      </c>
      <c r="AG975" s="1">
        <v>0</v>
      </c>
      <c r="AH975" s="1">
        <v>8.9999999999999993E-3</v>
      </c>
      <c r="AI975" s="1">
        <v>6.0000000000000001E-3</v>
      </c>
      <c r="AJ975" s="1">
        <v>1E-3</v>
      </c>
      <c r="AK975" s="1">
        <v>3.0000000000000001E-3</v>
      </c>
      <c r="AL975" s="1">
        <v>0</v>
      </c>
      <c r="AM975" s="1">
        <v>1E-3</v>
      </c>
      <c r="AN975" s="1">
        <v>1.9E-2</v>
      </c>
      <c r="AO975" s="1">
        <v>2E-3</v>
      </c>
      <c r="AP975" s="1">
        <v>5.0000000000000001E-3</v>
      </c>
      <c r="AQ975" s="1">
        <v>1E-3</v>
      </c>
      <c r="AR975" s="1">
        <v>0</v>
      </c>
      <c r="AS975" s="1">
        <v>3.0000000000000001E-3</v>
      </c>
      <c r="AT975" s="1">
        <v>2E-3</v>
      </c>
      <c r="AU975" s="1">
        <v>1E-3</v>
      </c>
      <c r="AV975" s="1">
        <v>1E-3</v>
      </c>
      <c r="AW975" s="1">
        <v>2E-3</v>
      </c>
      <c r="AX975" s="1">
        <v>1E-3</v>
      </c>
      <c r="AY975" s="1">
        <v>2E-3</v>
      </c>
      <c r="AZ975" s="1">
        <v>2E-3</v>
      </c>
      <c r="BA975" s="1">
        <v>6.0000000000000001E-3</v>
      </c>
      <c r="BB975" s="1">
        <v>1E-3</v>
      </c>
      <c r="BC975" s="1">
        <v>1E-3</v>
      </c>
      <c r="BD975" s="1">
        <v>8.0000000000000002E-3</v>
      </c>
      <c r="BE975" s="1">
        <v>1E-3</v>
      </c>
      <c r="BF975" s="1">
        <v>5.8999999999999997E-2</v>
      </c>
      <c r="BG975" s="1">
        <v>0</v>
      </c>
      <c r="BH975" s="1">
        <v>0.753</v>
      </c>
      <c r="BI975" s="1">
        <v>1E-3</v>
      </c>
      <c r="BJ975" s="1">
        <v>0</v>
      </c>
      <c r="BK975" s="1">
        <v>1E-3</v>
      </c>
      <c r="BL975" s="1">
        <v>2E-3</v>
      </c>
      <c r="BM975" s="1">
        <v>1E-3</v>
      </c>
      <c r="BN975" s="1">
        <v>2E-3</v>
      </c>
      <c r="BO975" s="1">
        <v>1E-3</v>
      </c>
      <c r="BP975" s="1">
        <v>0</v>
      </c>
      <c r="BQ975" s="1">
        <v>2E-3</v>
      </c>
      <c r="BR975" s="1">
        <v>2E-3</v>
      </c>
      <c r="BS975" s="1">
        <v>1E-3</v>
      </c>
      <c r="BT975" s="1">
        <v>1E-3</v>
      </c>
      <c r="BU975" s="1">
        <v>2E-3</v>
      </c>
      <c r="BV975" s="1">
        <v>1E-3</v>
      </c>
      <c r="BW975" s="1">
        <v>1E-3</v>
      </c>
      <c r="BX975" s="1">
        <v>8.9999999999999993E-3</v>
      </c>
      <c r="BY975" s="1">
        <v>4.0000000000000001E-3</v>
      </c>
      <c r="BZ975" s="1">
        <v>2E-3</v>
      </c>
      <c r="CA975" s="1">
        <v>1E-3</v>
      </c>
      <c r="CB975" s="1">
        <v>0</v>
      </c>
      <c r="CC975" s="1">
        <v>1E-3</v>
      </c>
      <c r="CD975" s="1">
        <v>0</v>
      </c>
      <c r="CE975" s="1">
        <v>1E-3</v>
      </c>
      <c r="CF975" s="1">
        <v>2E-3</v>
      </c>
      <c r="CG975" s="1">
        <v>2E-3</v>
      </c>
      <c r="CH975" s="1">
        <v>2E-3</v>
      </c>
      <c r="CI975" s="1">
        <v>3.0000000000000001E-3</v>
      </c>
      <c r="CJ975" s="1">
        <v>4.0000000000000001E-3</v>
      </c>
      <c r="CK975" s="1">
        <v>8.0000000000000002E-3</v>
      </c>
      <c r="CL975" s="1">
        <v>3.0000000000000001E-3</v>
      </c>
      <c r="CM975" s="1">
        <v>-40.573501319999998</v>
      </c>
      <c r="CN975" s="83">
        <v>-69.155103010000005</v>
      </c>
    </row>
    <row r="976" spans="1:92" s="3" customFormat="1" x14ac:dyDescent="0.25">
      <c r="A976" s="72">
        <v>266</v>
      </c>
      <c r="B976" s="81" t="s">
        <v>1374</v>
      </c>
      <c r="C976" s="1" t="s">
        <v>83</v>
      </c>
      <c r="D976" s="1" t="s">
        <v>73</v>
      </c>
      <c r="E976" s="1" t="s">
        <v>99</v>
      </c>
      <c r="F976" s="1" t="s">
        <v>669</v>
      </c>
      <c r="G976" s="1" t="s">
        <v>76</v>
      </c>
      <c r="H976" s="1" t="s">
        <v>68</v>
      </c>
      <c r="I976" s="1"/>
      <c r="J976" s="9" t="s">
        <v>544</v>
      </c>
      <c r="K976" s="10">
        <v>0.63973000000000002</v>
      </c>
      <c r="L976" s="1" t="s">
        <v>518</v>
      </c>
      <c r="M976" s="1" t="s">
        <v>506</v>
      </c>
      <c r="N976" s="1" t="s">
        <v>648</v>
      </c>
      <c r="O976" s="1" t="s">
        <v>20</v>
      </c>
      <c r="P976" s="82">
        <v>1</v>
      </c>
      <c r="Q976" s="1" t="s">
        <v>76</v>
      </c>
      <c r="R976" s="81" t="s">
        <v>169</v>
      </c>
      <c r="S976" s="1">
        <v>3</v>
      </c>
      <c r="T976" s="1" t="s">
        <v>120</v>
      </c>
      <c r="U976" s="1" t="s">
        <v>658</v>
      </c>
      <c r="V976" s="1" t="s">
        <v>655</v>
      </c>
      <c r="W976" s="1">
        <v>30</v>
      </c>
      <c r="X976" s="1" t="s">
        <v>255</v>
      </c>
      <c r="Y976" s="1" t="s">
        <v>648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1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-35.731196650000001</v>
      </c>
      <c r="CN976" s="83">
        <v>24.489404929999999</v>
      </c>
    </row>
    <row r="977" spans="1:92" s="3" customFormat="1" x14ac:dyDescent="0.25">
      <c r="A977" s="72">
        <v>1025</v>
      </c>
      <c r="B977" s="81" t="s">
        <v>1140</v>
      </c>
      <c r="C977" s="1" t="s">
        <v>162</v>
      </c>
      <c r="D977" s="1" t="s">
        <v>73</v>
      </c>
      <c r="E977" s="1" t="s">
        <v>74</v>
      </c>
      <c r="F977" s="1" t="s">
        <v>84</v>
      </c>
      <c r="G977" s="1" t="s">
        <v>86</v>
      </c>
      <c r="H977" s="1" t="s">
        <v>85</v>
      </c>
      <c r="I977" s="1"/>
      <c r="J977" s="9" t="s">
        <v>544</v>
      </c>
      <c r="K977" s="10">
        <v>0.61808416666666699</v>
      </c>
      <c r="L977" s="1" t="s">
        <v>76</v>
      </c>
      <c r="M977" s="1" t="s">
        <v>506</v>
      </c>
      <c r="N977" s="1" t="s">
        <v>645</v>
      </c>
      <c r="O977" s="1" t="s">
        <v>17</v>
      </c>
      <c r="P977" s="82">
        <v>0.97899999999999998</v>
      </c>
      <c r="Q977" s="1" t="s">
        <v>76</v>
      </c>
      <c r="R977" s="81" t="s">
        <v>110</v>
      </c>
      <c r="S977" s="1">
        <v>2</v>
      </c>
      <c r="T977" s="1" t="s">
        <v>78</v>
      </c>
      <c r="U977" s="1" t="s">
        <v>658</v>
      </c>
      <c r="V977" s="1" t="s">
        <v>655</v>
      </c>
      <c r="W977" s="1">
        <v>62</v>
      </c>
      <c r="X977" s="1" t="s">
        <v>88</v>
      </c>
      <c r="Y977" s="1" t="s">
        <v>645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0.97899999999999998</v>
      </c>
      <c r="AM977" s="1">
        <v>2.1000000000000001E-2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3.3435245980000001</v>
      </c>
      <c r="CN977" s="83">
        <v>65.411385229999993</v>
      </c>
    </row>
    <row r="978" spans="1:92" s="3" customFormat="1" x14ac:dyDescent="0.25">
      <c r="A978" s="72">
        <v>1026</v>
      </c>
      <c r="B978" s="81" t="s">
        <v>1182</v>
      </c>
      <c r="C978" s="1" t="s">
        <v>162</v>
      </c>
      <c r="D978" s="1" t="s">
        <v>73</v>
      </c>
      <c r="E978" s="1" t="s">
        <v>74</v>
      </c>
      <c r="F978" s="1" t="s">
        <v>84</v>
      </c>
      <c r="G978" s="1" t="s">
        <v>86</v>
      </c>
      <c r="H978" s="1" t="s">
        <v>85</v>
      </c>
      <c r="I978" s="1"/>
      <c r="J978" s="9" t="s">
        <v>544</v>
      </c>
      <c r="K978" s="10">
        <v>0.49102699999999999</v>
      </c>
      <c r="L978" s="1" t="s">
        <v>641</v>
      </c>
      <c r="M978" s="1" t="s">
        <v>76</v>
      </c>
      <c r="N978" s="1" t="s">
        <v>649</v>
      </c>
      <c r="O978" s="1" t="s">
        <v>17</v>
      </c>
      <c r="P978" s="82">
        <v>0.55700000000000005</v>
      </c>
      <c r="Q978" s="1">
        <f>SUM(AK978:AN978)</f>
        <v>0.99900000000000011</v>
      </c>
      <c r="R978" s="81" t="s">
        <v>499</v>
      </c>
      <c r="S978" s="1">
        <v>3</v>
      </c>
      <c r="T978" s="1" t="s">
        <v>78</v>
      </c>
      <c r="U978" s="1" t="s">
        <v>658</v>
      </c>
      <c r="V978" s="1" t="s">
        <v>655</v>
      </c>
      <c r="W978" s="1">
        <v>69</v>
      </c>
      <c r="X978" s="1" t="s">
        <v>88</v>
      </c>
      <c r="Y978" s="1" t="s">
        <v>649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0.4</v>
      </c>
      <c r="AL978" s="1">
        <v>0.55700000000000005</v>
      </c>
      <c r="AM978" s="1">
        <v>4.1000000000000002E-2</v>
      </c>
      <c r="AN978" s="1">
        <v>1E-3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5.7149869349999998</v>
      </c>
      <c r="CN978" s="83">
        <v>100.3460943</v>
      </c>
    </row>
    <row r="979" spans="1:92" s="3" customFormat="1" x14ac:dyDescent="0.25">
      <c r="A979" s="72">
        <v>1027</v>
      </c>
      <c r="B979" s="81" t="s">
        <v>1152</v>
      </c>
      <c r="C979" s="1" t="s">
        <v>162</v>
      </c>
      <c r="D979" s="1" t="s">
        <v>73</v>
      </c>
      <c r="E979" s="1" t="s">
        <v>74</v>
      </c>
      <c r="F979" s="1" t="s">
        <v>84</v>
      </c>
      <c r="G979" s="1" t="s">
        <v>86</v>
      </c>
      <c r="H979" s="1" t="s">
        <v>85</v>
      </c>
      <c r="I979" s="1"/>
      <c r="J979" s="9" t="s">
        <v>544</v>
      </c>
      <c r="K979" s="10">
        <v>0.37417133333333302</v>
      </c>
      <c r="L979" s="1" t="s">
        <v>641</v>
      </c>
      <c r="M979" s="1" t="s">
        <v>76</v>
      </c>
      <c r="N979" s="1" t="s">
        <v>649</v>
      </c>
      <c r="O979" s="1" t="s">
        <v>19</v>
      </c>
      <c r="P979" s="82">
        <v>0.626</v>
      </c>
      <c r="Q979" s="1">
        <f>SUM(AK979:AN979)</f>
        <v>0.80700000000000005</v>
      </c>
      <c r="R979" s="81" t="s">
        <v>114</v>
      </c>
      <c r="S979" s="1">
        <v>1</v>
      </c>
      <c r="T979" s="1" t="s">
        <v>78</v>
      </c>
      <c r="U979" s="1" t="s">
        <v>658</v>
      </c>
      <c r="V979" s="1" t="s">
        <v>655</v>
      </c>
      <c r="W979" s="1">
        <v>65</v>
      </c>
      <c r="X979" s="1" t="s">
        <v>288</v>
      </c>
      <c r="Y979" s="1" t="s">
        <v>649</v>
      </c>
      <c r="Z979" s="1">
        <v>1E-3</v>
      </c>
      <c r="AA979" s="1">
        <v>1E-3</v>
      </c>
      <c r="AB979" s="1">
        <v>1E-3</v>
      </c>
      <c r="AC979" s="1">
        <v>2E-3</v>
      </c>
      <c r="AD979" s="1">
        <v>2E-3</v>
      </c>
      <c r="AE979" s="1">
        <v>3.0000000000000001E-3</v>
      </c>
      <c r="AF979" s="1">
        <v>2E-3</v>
      </c>
      <c r="AG979" s="1">
        <v>0</v>
      </c>
      <c r="AH979" s="1">
        <v>6.7000000000000004E-2</v>
      </c>
      <c r="AI979" s="1">
        <v>2E-3</v>
      </c>
      <c r="AJ979" s="1">
        <v>1.6E-2</v>
      </c>
      <c r="AK979" s="1">
        <v>0.16500000000000001</v>
      </c>
      <c r="AL979" s="1">
        <v>2E-3</v>
      </c>
      <c r="AM979" s="1">
        <v>1.4E-2</v>
      </c>
      <c r="AN979" s="1">
        <v>0.626</v>
      </c>
      <c r="AO979" s="1">
        <v>1E-3</v>
      </c>
      <c r="AP979" s="1">
        <v>1E-3</v>
      </c>
      <c r="AQ979" s="1">
        <v>1E-3</v>
      </c>
      <c r="AR979" s="1">
        <v>5.0000000000000001E-3</v>
      </c>
      <c r="AS979" s="1">
        <v>3.0000000000000001E-3</v>
      </c>
      <c r="AT979" s="1">
        <v>1E-3</v>
      </c>
      <c r="AU979" s="1">
        <v>1E-3</v>
      </c>
      <c r="AV979" s="1">
        <v>1E-3</v>
      </c>
      <c r="AW979" s="1">
        <v>3.0000000000000001E-3</v>
      </c>
      <c r="AX979" s="1">
        <v>3.0000000000000001E-3</v>
      </c>
      <c r="AY979" s="1">
        <v>1E-3</v>
      </c>
      <c r="AZ979" s="1">
        <v>4.0000000000000001E-3</v>
      </c>
      <c r="BA979" s="1">
        <v>5.0000000000000001E-3</v>
      </c>
      <c r="BB979" s="1">
        <v>1E-3</v>
      </c>
      <c r="BC979" s="1">
        <v>1E-3</v>
      </c>
      <c r="BD979" s="1">
        <v>7.0000000000000001E-3</v>
      </c>
      <c r="BE979" s="1">
        <v>1E-3</v>
      </c>
      <c r="BF979" s="1">
        <v>0</v>
      </c>
      <c r="BG979" s="1">
        <v>1E-3</v>
      </c>
      <c r="BH979" s="1">
        <v>1E-3</v>
      </c>
      <c r="BI979" s="1">
        <v>1E-3</v>
      </c>
      <c r="BJ979" s="1">
        <v>1E-3</v>
      </c>
      <c r="BK979" s="1">
        <v>1E-3</v>
      </c>
      <c r="BL979" s="1">
        <v>1E-3</v>
      </c>
      <c r="BM979" s="1">
        <v>1E-3</v>
      </c>
      <c r="BN979" s="1">
        <v>1E-3</v>
      </c>
      <c r="BO979" s="1">
        <v>1E-3</v>
      </c>
      <c r="BP979" s="1">
        <v>1E-3</v>
      </c>
      <c r="BQ979" s="1">
        <v>2E-3</v>
      </c>
      <c r="BR979" s="1">
        <v>1E-3</v>
      </c>
      <c r="BS979" s="1">
        <v>1E-3</v>
      </c>
      <c r="BT979" s="1">
        <v>1E-3</v>
      </c>
      <c r="BU979" s="1">
        <v>2E-3</v>
      </c>
      <c r="BV979" s="1">
        <v>2E-3</v>
      </c>
      <c r="BW979" s="1">
        <v>1E-3</v>
      </c>
      <c r="BX979" s="1">
        <v>4.0000000000000001E-3</v>
      </c>
      <c r="BY979" s="1">
        <v>2E-3</v>
      </c>
      <c r="BZ979" s="1">
        <v>3.0000000000000001E-3</v>
      </c>
      <c r="CA979" s="1">
        <v>1E-3</v>
      </c>
      <c r="CB979" s="1">
        <v>1E-3</v>
      </c>
      <c r="CC979" s="1">
        <v>1E-3</v>
      </c>
      <c r="CD979" s="1">
        <v>0</v>
      </c>
      <c r="CE979" s="1">
        <v>1E-3</v>
      </c>
      <c r="CF979" s="1">
        <v>1E-3</v>
      </c>
      <c r="CG979" s="1">
        <v>5.0000000000000001E-3</v>
      </c>
      <c r="CH979" s="1">
        <v>2E-3</v>
      </c>
      <c r="CI979" s="1">
        <v>1E-3</v>
      </c>
      <c r="CJ979" s="1">
        <v>3.0000000000000001E-3</v>
      </c>
      <c r="CK979" s="1">
        <v>6.0000000000000001E-3</v>
      </c>
      <c r="CL979" s="1">
        <v>8.0000000000000002E-3</v>
      </c>
      <c r="CM979" s="1">
        <v>7.0792432649999997</v>
      </c>
      <c r="CN979" s="83">
        <v>108.800625</v>
      </c>
    </row>
    <row r="980" spans="1:92" s="3" customFormat="1" x14ac:dyDescent="0.25">
      <c r="A980" s="72">
        <v>1028</v>
      </c>
      <c r="B980" s="81" t="s">
        <v>1090</v>
      </c>
      <c r="C980" s="1" t="s">
        <v>162</v>
      </c>
      <c r="D980" s="1" t="s">
        <v>73</v>
      </c>
      <c r="E980" s="1" t="s">
        <v>99</v>
      </c>
      <c r="F980" s="1" t="s">
        <v>84</v>
      </c>
      <c r="G980" s="1" t="s">
        <v>86</v>
      </c>
      <c r="H980" s="1" t="s">
        <v>85</v>
      </c>
      <c r="I980" s="1"/>
      <c r="J980" s="9" t="s">
        <v>544</v>
      </c>
      <c r="K980" s="10">
        <v>0.415269833333334</v>
      </c>
      <c r="L980" s="1" t="s">
        <v>641</v>
      </c>
      <c r="M980" s="1" t="s">
        <v>76</v>
      </c>
      <c r="N980" s="1" t="s">
        <v>649</v>
      </c>
      <c r="O980" s="1" t="s">
        <v>19</v>
      </c>
      <c r="P980" s="82">
        <v>0.78600000000000003</v>
      </c>
      <c r="Q980" s="1">
        <f>SUM(AK980:AN980)</f>
        <v>0.98799999999999999</v>
      </c>
      <c r="R980" s="81" t="s">
        <v>87</v>
      </c>
      <c r="S980" s="1">
        <v>2</v>
      </c>
      <c r="T980" s="1" t="s">
        <v>78</v>
      </c>
      <c r="U980" s="1" t="s">
        <v>658</v>
      </c>
      <c r="V980" s="1" t="s">
        <v>655</v>
      </c>
      <c r="W980" s="1">
        <v>81</v>
      </c>
      <c r="X980" s="1" t="s">
        <v>88</v>
      </c>
      <c r="Y980" s="1" t="s">
        <v>649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1E-3</v>
      </c>
      <c r="AI980" s="1">
        <v>0</v>
      </c>
      <c r="AJ980" s="1">
        <v>0</v>
      </c>
      <c r="AK980" s="1">
        <v>1E-3</v>
      </c>
      <c r="AL980" s="1">
        <v>8.4000000000000005E-2</v>
      </c>
      <c r="AM980" s="1">
        <v>0.11700000000000001</v>
      </c>
      <c r="AN980" s="1">
        <v>0.78600000000000003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1E-3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1E-3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1E-3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1E-3</v>
      </c>
      <c r="CH980" s="1">
        <v>0</v>
      </c>
      <c r="CI980" s="1">
        <v>0</v>
      </c>
      <c r="CJ980" s="1">
        <v>0</v>
      </c>
      <c r="CK980" s="1">
        <v>3.0000000000000001E-3</v>
      </c>
      <c r="CL980" s="1">
        <v>0</v>
      </c>
      <c r="CM980" s="1">
        <v>7.6720482890000001</v>
      </c>
      <c r="CN980" s="83">
        <v>97.615622029999997</v>
      </c>
    </row>
    <row r="981" spans="1:92" s="3" customFormat="1" x14ac:dyDescent="0.25">
      <c r="A981" s="72">
        <v>1029</v>
      </c>
      <c r="B981" s="81" t="s">
        <v>1111</v>
      </c>
      <c r="C981" s="1" t="s">
        <v>162</v>
      </c>
      <c r="D981" s="1" t="s">
        <v>73</v>
      </c>
      <c r="E981" s="1" t="s">
        <v>99</v>
      </c>
      <c r="F981" s="1" t="s">
        <v>84</v>
      </c>
      <c r="G981" s="1" t="s">
        <v>86</v>
      </c>
      <c r="H981" s="1" t="s">
        <v>85</v>
      </c>
      <c r="I981" s="1"/>
      <c r="J981" s="9" t="s">
        <v>544</v>
      </c>
      <c r="K981" s="10">
        <v>0.46648066666666599</v>
      </c>
      <c r="L981" s="1" t="s">
        <v>641</v>
      </c>
      <c r="M981" s="1" t="s">
        <v>76</v>
      </c>
      <c r="N981" s="1" t="s">
        <v>649</v>
      </c>
      <c r="O981" s="1" t="s">
        <v>17</v>
      </c>
      <c r="P981" s="82">
        <v>0.45</v>
      </c>
      <c r="Q981" s="1">
        <f>SUM(AK981:AN981)</f>
        <v>0.98599999999999999</v>
      </c>
      <c r="R981" s="81" t="s">
        <v>500</v>
      </c>
      <c r="S981" s="1">
        <v>2</v>
      </c>
      <c r="T981" s="1" t="s">
        <v>78</v>
      </c>
      <c r="U981" s="1" t="s">
        <v>658</v>
      </c>
      <c r="V981" s="1" t="s">
        <v>655</v>
      </c>
      <c r="W981" s="1">
        <v>65</v>
      </c>
      <c r="X981" s="1" t="s">
        <v>498</v>
      </c>
      <c r="Y981" s="1" t="s">
        <v>649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1E-3</v>
      </c>
      <c r="AI981" s="1">
        <v>0</v>
      </c>
      <c r="AJ981" s="1">
        <v>0</v>
      </c>
      <c r="AK981" s="1">
        <v>2.1000000000000001E-2</v>
      </c>
      <c r="AL981" s="1">
        <v>0.45</v>
      </c>
      <c r="AM981" s="1">
        <v>0.36</v>
      </c>
      <c r="AN981" s="1">
        <v>0.155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1E-3</v>
      </c>
      <c r="AX981" s="1">
        <v>1E-3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2E-3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1E-3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1E-3</v>
      </c>
      <c r="CH981" s="1">
        <v>0</v>
      </c>
      <c r="CI981" s="1">
        <v>0</v>
      </c>
      <c r="CJ981" s="1">
        <v>0</v>
      </c>
      <c r="CK981" s="1">
        <v>1E-3</v>
      </c>
      <c r="CL981" s="1">
        <v>1E-3</v>
      </c>
      <c r="CM981" s="1">
        <v>7.3051583579999999</v>
      </c>
      <c r="CN981" s="83">
        <v>99.02141202</v>
      </c>
    </row>
    <row r="982" spans="1:92" s="3" customFormat="1" x14ac:dyDescent="0.25">
      <c r="A982" s="72">
        <v>1030</v>
      </c>
      <c r="B982" s="81" t="s">
        <v>1165</v>
      </c>
      <c r="C982" s="1" t="s">
        <v>162</v>
      </c>
      <c r="D982" s="1" t="s">
        <v>73</v>
      </c>
      <c r="E982" s="1" t="s">
        <v>74</v>
      </c>
      <c r="F982" s="1" t="s">
        <v>84</v>
      </c>
      <c r="G982" s="1" t="s">
        <v>86</v>
      </c>
      <c r="H982" s="1" t="s">
        <v>85</v>
      </c>
      <c r="I982" s="1"/>
      <c r="J982" s="9" t="s">
        <v>544</v>
      </c>
      <c r="K982" s="10">
        <v>0.45851950000000002</v>
      </c>
      <c r="L982" s="1" t="s">
        <v>76</v>
      </c>
      <c r="M982" s="1" t="s">
        <v>506</v>
      </c>
      <c r="N982" s="1" t="s">
        <v>645</v>
      </c>
      <c r="O982" s="1" t="s">
        <v>17</v>
      </c>
      <c r="P982" s="82">
        <v>0.99</v>
      </c>
      <c r="Q982" s="1" t="s">
        <v>76</v>
      </c>
      <c r="R982" s="81" t="s">
        <v>77</v>
      </c>
      <c r="S982" s="1">
        <v>2</v>
      </c>
      <c r="T982" s="1" t="s">
        <v>78</v>
      </c>
      <c r="U982" s="1" t="s">
        <v>658</v>
      </c>
      <c r="V982" s="1" t="s">
        <v>655</v>
      </c>
      <c r="W982" s="1">
        <v>81</v>
      </c>
      <c r="X982" s="1" t="s">
        <v>286</v>
      </c>
      <c r="Y982" s="1" t="s">
        <v>645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0.99</v>
      </c>
      <c r="AM982" s="1">
        <v>0.01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5.510190572</v>
      </c>
      <c r="CN982" s="83">
        <v>98.509320259999996</v>
      </c>
    </row>
    <row r="983" spans="1:92" s="3" customFormat="1" x14ac:dyDescent="0.25">
      <c r="A983" s="72">
        <v>1031</v>
      </c>
      <c r="B983" s="81" t="s">
        <v>1114</v>
      </c>
      <c r="C983" s="1" t="s">
        <v>162</v>
      </c>
      <c r="D983" s="1" t="s">
        <v>73</v>
      </c>
      <c r="E983" s="1" t="s">
        <v>74</v>
      </c>
      <c r="F983" s="1" t="s">
        <v>84</v>
      </c>
      <c r="G983" s="1" t="s">
        <v>86</v>
      </c>
      <c r="H983" s="1" t="s">
        <v>85</v>
      </c>
      <c r="I983" s="1"/>
      <c r="J983" s="9" t="s">
        <v>544</v>
      </c>
      <c r="K983" s="10">
        <v>0.506087333333334</v>
      </c>
      <c r="L983" s="1" t="s">
        <v>76</v>
      </c>
      <c r="M983" s="1" t="s">
        <v>506</v>
      </c>
      <c r="N983" s="1" t="s">
        <v>645</v>
      </c>
      <c r="O983" s="1" t="s">
        <v>16</v>
      </c>
      <c r="P983" s="82">
        <v>0.96599999999999997</v>
      </c>
      <c r="Q983" s="1" t="s">
        <v>76</v>
      </c>
      <c r="R983" s="81" t="s">
        <v>157</v>
      </c>
      <c r="S983" s="1">
        <v>2</v>
      </c>
      <c r="T983" s="1" t="s">
        <v>120</v>
      </c>
      <c r="U983" s="1" t="s">
        <v>659</v>
      </c>
      <c r="V983" s="1" t="s">
        <v>655</v>
      </c>
      <c r="W983" s="1">
        <v>30</v>
      </c>
      <c r="X983" s="1" t="s">
        <v>288</v>
      </c>
      <c r="Y983" s="1" t="s">
        <v>645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1E-3</v>
      </c>
      <c r="AI983" s="1">
        <v>0</v>
      </c>
      <c r="AJ983" s="1">
        <v>0</v>
      </c>
      <c r="AK983" s="1">
        <v>0.96599999999999997</v>
      </c>
      <c r="AL983" s="1">
        <v>1.4999999999999999E-2</v>
      </c>
      <c r="AM983" s="1">
        <v>2E-3</v>
      </c>
      <c r="AN983" s="1">
        <v>1E-3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1E-3</v>
      </c>
      <c r="AX983" s="1">
        <v>0</v>
      </c>
      <c r="AY983" s="1">
        <v>0</v>
      </c>
      <c r="AZ983" s="1">
        <v>1E-3</v>
      </c>
      <c r="BA983" s="1">
        <v>1E-3</v>
      </c>
      <c r="BB983" s="1">
        <v>0</v>
      </c>
      <c r="BC983" s="1">
        <v>0</v>
      </c>
      <c r="BD983" s="1">
        <v>1E-3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2E-3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1E-3</v>
      </c>
      <c r="CK983" s="1">
        <v>1E-3</v>
      </c>
      <c r="CL983" s="1">
        <v>2E-3</v>
      </c>
      <c r="CM983" s="1">
        <v>-79.734678959999997</v>
      </c>
      <c r="CN983" s="83">
        <v>3.2573127350000002</v>
      </c>
    </row>
    <row r="984" spans="1:92" s="3" customFormat="1" x14ac:dyDescent="0.25">
      <c r="A984" s="72">
        <v>1032</v>
      </c>
      <c r="B984" s="81" t="s">
        <v>874</v>
      </c>
      <c r="C984" s="1" t="s">
        <v>162</v>
      </c>
      <c r="D984" s="1" t="s">
        <v>73</v>
      </c>
      <c r="E984" s="1" t="s">
        <v>99</v>
      </c>
      <c r="F984" s="1" t="s">
        <v>84</v>
      </c>
      <c r="G984" s="1" t="s">
        <v>86</v>
      </c>
      <c r="H984" s="1" t="s">
        <v>85</v>
      </c>
      <c r="I984" s="1"/>
      <c r="J984" s="9" t="s">
        <v>544</v>
      </c>
      <c r="K984" s="10">
        <v>0.59298633333333295</v>
      </c>
      <c r="L984" s="1" t="s">
        <v>76</v>
      </c>
      <c r="M984" s="1" t="s">
        <v>506</v>
      </c>
      <c r="N984" s="1" t="s">
        <v>645</v>
      </c>
      <c r="O984" s="1" t="s">
        <v>17</v>
      </c>
      <c r="P984" s="82">
        <v>0.999</v>
      </c>
      <c r="Q984" s="1" t="s">
        <v>76</v>
      </c>
      <c r="R984" s="81" t="s">
        <v>292</v>
      </c>
      <c r="S984" s="1">
        <v>2</v>
      </c>
      <c r="T984" s="1" t="s">
        <v>78</v>
      </c>
      <c r="U984" s="1" t="s">
        <v>658</v>
      </c>
      <c r="V984" s="1" t="s">
        <v>655</v>
      </c>
      <c r="W984" s="1">
        <v>73</v>
      </c>
      <c r="X984" s="1" t="s">
        <v>498</v>
      </c>
      <c r="Y984" s="1" t="s">
        <v>645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0.999</v>
      </c>
      <c r="AM984" s="1">
        <v>1E-3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3.120961291</v>
      </c>
      <c r="CN984" s="83">
        <v>67.440224150000006</v>
      </c>
    </row>
    <row r="985" spans="1:92" s="3" customFormat="1" x14ac:dyDescent="0.25">
      <c r="A985" s="72">
        <v>1033</v>
      </c>
      <c r="B985" s="81" t="s">
        <v>927</v>
      </c>
      <c r="C985" s="1" t="s">
        <v>162</v>
      </c>
      <c r="D985" s="1" t="s">
        <v>73</v>
      </c>
      <c r="E985" s="1" t="s">
        <v>99</v>
      </c>
      <c r="F985" s="1" t="s">
        <v>84</v>
      </c>
      <c r="G985" s="1" t="s">
        <v>503</v>
      </c>
      <c r="H985" s="1" t="s">
        <v>85</v>
      </c>
      <c r="I985" s="1"/>
      <c r="J985" s="9" t="s">
        <v>544</v>
      </c>
      <c r="K985" s="10">
        <v>0.506788666666667</v>
      </c>
      <c r="L985" s="1" t="s">
        <v>545</v>
      </c>
      <c r="M985" s="1" t="s">
        <v>76</v>
      </c>
      <c r="N985" s="1" t="s">
        <v>644</v>
      </c>
      <c r="O985" s="1" t="s">
        <v>55</v>
      </c>
      <c r="P985" s="82">
        <v>0.65600000000000003</v>
      </c>
      <c r="Q985" s="1">
        <f>SUM(AK985:AN985)</f>
        <v>0.33800000000000002</v>
      </c>
      <c r="R985" s="81" t="s">
        <v>87</v>
      </c>
      <c r="S985" s="1" t="s">
        <v>123</v>
      </c>
      <c r="T985" s="1" t="s">
        <v>78</v>
      </c>
      <c r="U985" s="1" t="s">
        <v>658</v>
      </c>
      <c r="V985" s="1" t="s">
        <v>655</v>
      </c>
      <c r="W985" s="1">
        <v>66</v>
      </c>
      <c r="X985" s="1" t="s">
        <v>498</v>
      </c>
      <c r="Y985" s="1" t="s">
        <v>644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0.33500000000000002</v>
      </c>
      <c r="AM985" s="1">
        <v>3.0000000000000001E-3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1E-3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0.65600000000000003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0</v>
      </c>
      <c r="CM985" s="1">
        <v>42.924789599999997</v>
      </c>
      <c r="CN985" s="83">
        <v>49.11974627</v>
      </c>
    </row>
    <row r="986" spans="1:92" s="3" customFormat="1" x14ac:dyDescent="0.25">
      <c r="A986" s="72">
        <v>957</v>
      </c>
      <c r="B986" s="81" t="s">
        <v>811</v>
      </c>
      <c r="C986" s="1" t="s">
        <v>83</v>
      </c>
      <c r="D986" s="1" t="s">
        <v>79</v>
      </c>
      <c r="E986" s="1" t="s">
        <v>99</v>
      </c>
      <c r="F986" s="1" t="s">
        <v>669</v>
      </c>
      <c r="G986" s="1" t="s">
        <v>76</v>
      </c>
      <c r="H986" s="1" t="s">
        <v>68</v>
      </c>
      <c r="I986" s="1"/>
      <c r="J986" s="9" t="s">
        <v>544</v>
      </c>
      <c r="K986" s="10">
        <v>0.49323916666666701</v>
      </c>
      <c r="L986" s="1" t="s">
        <v>590</v>
      </c>
      <c r="M986" s="1" t="s">
        <v>506</v>
      </c>
      <c r="N986" s="1" t="s">
        <v>648</v>
      </c>
      <c r="O986" s="1" t="s">
        <v>62</v>
      </c>
      <c r="P986" s="82">
        <v>0.98899999999999999</v>
      </c>
      <c r="Q986" s="1" t="s">
        <v>76</v>
      </c>
      <c r="R986" s="81" t="s">
        <v>169</v>
      </c>
      <c r="S986" s="1">
        <v>3</v>
      </c>
      <c r="T986" s="1" t="s">
        <v>120</v>
      </c>
      <c r="U986" s="1" t="s">
        <v>658</v>
      </c>
      <c r="V986" s="1" t="s">
        <v>655</v>
      </c>
      <c r="W986" s="1">
        <v>31</v>
      </c>
      <c r="X986" s="1" t="s">
        <v>471</v>
      </c>
      <c r="Y986" s="1" t="s">
        <v>648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1E-3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0.98899999999999999</v>
      </c>
      <c r="CF986" s="1">
        <v>0</v>
      </c>
      <c r="CG986" s="1">
        <v>1E-3</v>
      </c>
      <c r="CH986" s="1">
        <v>0</v>
      </c>
      <c r="CI986" s="1">
        <v>0</v>
      </c>
      <c r="CJ986" s="1">
        <v>0</v>
      </c>
      <c r="CK986" s="1">
        <v>2E-3</v>
      </c>
      <c r="CL986" s="1">
        <v>0</v>
      </c>
      <c r="CM986" s="1">
        <v>-54.6863466</v>
      </c>
      <c r="CN986" s="83">
        <v>19.643515650000001</v>
      </c>
    </row>
    <row r="987" spans="1:92" s="3" customFormat="1" x14ac:dyDescent="0.25">
      <c r="A987" s="72">
        <v>1035</v>
      </c>
      <c r="B987" s="81" t="s">
        <v>903</v>
      </c>
      <c r="C987" s="1" t="s">
        <v>162</v>
      </c>
      <c r="D987" s="1" t="s">
        <v>73</v>
      </c>
      <c r="E987" s="1" t="s">
        <v>74</v>
      </c>
      <c r="F987" s="1" t="s">
        <v>84</v>
      </c>
      <c r="G987" s="1" t="s">
        <v>86</v>
      </c>
      <c r="H987" s="1" t="s">
        <v>85</v>
      </c>
      <c r="I987" s="1"/>
      <c r="J987" s="9" t="s">
        <v>544</v>
      </c>
      <c r="K987" s="10">
        <v>0.63907083333333303</v>
      </c>
      <c r="L987" s="1" t="s">
        <v>641</v>
      </c>
      <c r="M987" s="1" t="s">
        <v>76</v>
      </c>
      <c r="N987" s="1" t="s">
        <v>649</v>
      </c>
      <c r="O987" s="1" t="s">
        <v>18</v>
      </c>
      <c r="P987" s="82">
        <v>0.84299999999999997</v>
      </c>
      <c r="Q987" s="1">
        <f>SUM(AK987:AN987)</f>
        <v>0.98299999999999998</v>
      </c>
      <c r="R987" s="81" t="s">
        <v>81</v>
      </c>
      <c r="S987" s="1">
        <v>2</v>
      </c>
      <c r="T987" s="1" t="s">
        <v>78</v>
      </c>
      <c r="U987" s="1" t="s">
        <v>658</v>
      </c>
      <c r="V987" s="1" t="s">
        <v>655</v>
      </c>
      <c r="W987" s="1">
        <v>70</v>
      </c>
      <c r="X987" s="1" t="s">
        <v>501</v>
      </c>
      <c r="Y987" s="1" t="s">
        <v>649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1E-3</v>
      </c>
      <c r="AL987" s="1">
        <v>0.13900000000000001</v>
      </c>
      <c r="AM987" s="1">
        <v>0.84299999999999997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1E-3</v>
      </c>
      <c r="AX987" s="1">
        <v>1E-3</v>
      </c>
      <c r="AY987" s="1">
        <v>1E-3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4.0000000000000001E-3</v>
      </c>
      <c r="BM987" s="1">
        <v>0</v>
      </c>
      <c r="BN987" s="1">
        <v>0</v>
      </c>
      <c r="BO987" s="1">
        <v>0</v>
      </c>
      <c r="BP987" s="1">
        <v>0</v>
      </c>
      <c r="BQ987" s="1">
        <v>1E-3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1E-3</v>
      </c>
      <c r="BY987" s="1">
        <v>0</v>
      </c>
      <c r="BZ987" s="1">
        <v>1E-3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1E-3</v>
      </c>
      <c r="CH987" s="1">
        <v>0</v>
      </c>
      <c r="CI987" s="1">
        <v>0</v>
      </c>
      <c r="CJ987" s="1">
        <v>0</v>
      </c>
      <c r="CK987" s="1">
        <v>1E-3</v>
      </c>
      <c r="CL987" s="1">
        <v>0</v>
      </c>
      <c r="CM987" s="1">
        <v>1.8953411419999999</v>
      </c>
      <c r="CN987" s="83">
        <v>63.982039210000003</v>
      </c>
    </row>
    <row r="988" spans="1:92" s="3" customFormat="1" x14ac:dyDescent="0.25">
      <c r="A988" s="72">
        <v>1036</v>
      </c>
      <c r="B988" s="81" t="s">
        <v>955</v>
      </c>
      <c r="C988" s="1" t="s">
        <v>162</v>
      </c>
      <c r="D988" s="1" t="s">
        <v>73</v>
      </c>
      <c r="E988" s="1" t="s">
        <v>99</v>
      </c>
      <c r="F988" s="1" t="s">
        <v>84</v>
      </c>
      <c r="G988" s="1" t="s">
        <v>505</v>
      </c>
      <c r="H988" s="1" t="s">
        <v>85</v>
      </c>
      <c r="I988" s="1"/>
      <c r="J988" s="9" t="s">
        <v>544</v>
      </c>
      <c r="K988" s="10">
        <v>0.54915849999999999</v>
      </c>
      <c r="L988" s="1" t="s">
        <v>76</v>
      </c>
      <c r="M988" s="1" t="s">
        <v>506</v>
      </c>
      <c r="N988" s="1" t="s">
        <v>645</v>
      </c>
      <c r="O988" s="1" t="s">
        <v>17</v>
      </c>
      <c r="P988" s="82">
        <v>0.97499999999999998</v>
      </c>
      <c r="Q988" s="1" t="s">
        <v>76</v>
      </c>
      <c r="R988" s="81" t="s">
        <v>87</v>
      </c>
      <c r="S988" s="1" t="s">
        <v>123</v>
      </c>
      <c r="T988" s="1" t="s">
        <v>78</v>
      </c>
      <c r="U988" s="1" t="s">
        <v>658</v>
      </c>
      <c r="V988" s="1" t="s">
        <v>655</v>
      </c>
      <c r="W988" s="1">
        <v>71</v>
      </c>
      <c r="X988" s="1" t="s">
        <v>291</v>
      </c>
      <c r="Y988" s="1" t="s">
        <v>645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0.97499999999999998</v>
      </c>
      <c r="AM988" s="1">
        <v>6.0000000000000001E-3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2E-3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1.2E-2</v>
      </c>
      <c r="BY988" s="1">
        <v>0</v>
      </c>
      <c r="BZ988" s="1">
        <v>1E-3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1E-3</v>
      </c>
      <c r="CL988" s="1">
        <v>0</v>
      </c>
      <c r="CM988" s="1">
        <v>15.932913340000001</v>
      </c>
      <c r="CN988" s="83">
        <v>51.117255440000001</v>
      </c>
    </row>
    <row r="989" spans="1:92" s="99" customFormat="1" ht="16.5" thickBot="1" x14ac:dyDescent="0.3">
      <c r="A989" s="73">
        <v>1037</v>
      </c>
      <c r="B989" s="81" t="s">
        <v>1173</v>
      </c>
      <c r="C989" s="74" t="s">
        <v>162</v>
      </c>
      <c r="D989" s="74" t="s">
        <v>73</v>
      </c>
      <c r="E989" s="74" t="s">
        <v>99</v>
      </c>
      <c r="F989" s="74" t="s">
        <v>84</v>
      </c>
      <c r="G989" s="74" t="s">
        <v>86</v>
      </c>
      <c r="H989" s="74" t="s">
        <v>85</v>
      </c>
      <c r="I989" s="74"/>
      <c r="J989" s="75" t="s">
        <v>544</v>
      </c>
      <c r="K989" s="76">
        <v>0.34843400000000002</v>
      </c>
      <c r="L989" s="74" t="s">
        <v>641</v>
      </c>
      <c r="M989" s="74" t="s">
        <v>76</v>
      </c>
      <c r="N989" s="74" t="s">
        <v>649</v>
      </c>
      <c r="O989" s="74" t="s">
        <v>19</v>
      </c>
      <c r="P989" s="84">
        <v>0.749</v>
      </c>
      <c r="Q989" s="74">
        <f>SUM(AK989:AN989)</f>
        <v>0.78300000000000003</v>
      </c>
      <c r="R989" s="85" t="s">
        <v>502</v>
      </c>
      <c r="S989" s="74">
        <v>2</v>
      </c>
      <c r="T989" s="74" t="s">
        <v>78</v>
      </c>
      <c r="U989" s="74" t="s">
        <v>658</v>
      </c>
      <c r="V989" s="74" t="s">
        <v>655</v>
      </c>
      <c r="W989" s="74">
        <v>66</v>
      </c>
      <c r="X989" s="74" t="s">
        <v>288</v>
      </c>
      <c r="Y989" s="74" t="s">
        <v>649</v>
      </c>
      <c r="Z989" s="74">
        <v>1E-3</v>
      </c>
      <c r="AA989" s="74">
        <v>1E-3</v>
      </c>
      <c r="AB989" s="74">
        <v>1E-3</v>
      </c>
      <c r="AC989" s="74">
        <v>1E-3</v>
      </c>
      <c r="AD989" s="74">
        <v>1E-3</v>
      </c>
      <c r="AE989" s="74">
        <v>2E-3</v>
      </c>
      <c r="AF989" s="74">
        <v>2E-3</v>
      </c>
      <c r="AG989" s="74">
        <v>0</v>
      </c>
      <c r="AH989" s="74">
        <v>6.0000000000000001E-3</v>
      </c>
      <c r="AI989" s="74">
        <v>0</v>
      </c>
      <c r="AJ989" s="74">
        <v>2.5999999999999999E-2</v>
      </c>
      <c r="AK989" s="74">
        <v>2.7E-2</v>
      </c>
      <c r="AL989" s="74">
        <v>0</v>
      </c>
      <c r="AM989" s="74">
        <v>7.0000000000000001E-3</v>
      </c>
      <c r="AN989" s="74">
        <v>0.749</v>
      </c>
      <c r="AO989" s="74">
        <v>0</v>
      </c>
      <c r="AP989" s="74">
        <v>0</v>
      </c>
      <c r="AQ989" s="74">
        <v>1E-3</v>
      </c>
      <c r="AR989" s="74">
        <v>3.0000000000000001E-3</v>
      </c>
      <c r="AS989" s="74">
        <v>2E-3</v>
      </c>
      <c r="AT989" s="74">
        <v>1E-3</v>
      </c>
      <c r="AU989" s="74">
        <v>1E-3</v>
      </c>
      <c r="AV989" s="74">
        <v>1E-3</v>
      </c>
      <c r="AW989" s="74">
        <v>1E-3</v>
      </c>
      <c r="AX989" s="74">
        <v>1E-3</v>
      </c>
      <c r="AY989" s="74">
        <v>1E-3</v>
      </c>
      <c r="AZ989" s="74">
        <v>4.0000000000000001E-3</v>
      </c>
      <c r="BA989" s="74">
        <v>4.0000000000000001E-3</v>
      </c>
      <c r="BB989" s="74">
        <v>1E-3</v>
      </c>
      <c r="BC989" s="74">
        <v>0</v>
      </c>
      <c r="BD989" s="74">
        <v>5.0000000000000001E-3</v>
      </c>
      <c r="BE989" s="74">
        <v>1E-3</v>
      </c>
      <c r="BF989" s="74">
        <v>0</v>
      </c>
      <c r="BG989" s="74">
        <v>0</v>
      </c>
      <c r="BH989" s="74">
        <v>0</v>
      </c>
      <c r="BI989" s="74">
        <v>0</v>
      </c>
      <c r="BJ989" s="74">
        <v>1E-3</v>
      </c>
      <c r="BK989" s="74">
        <v>0</v>
      </c>
      <c r="BL989" s="74">
        <v>1E-3</v>
      </c>
      <c r="BM989" s="74">
        <v>0</v>
      </c>
      <c r="BN989" s="74">
        <v>1E-3</v>
      </c>
      <c r="BO989" s="74">
        <v>1E-3</v>
      </c>
      <c r="BP989" s="74">
        <v>0</v>
      </c>
      <c r="BQ989" s="74">
        <v>1E-3</v>
      </c>
      <c r="BR989" s="74">
        <v>1E-3</v>
      </c>
      <c r="BS989" s="74">
        <v>1E-3</v>
      </c>
      <c r="BT989" s="74">
        <v>1E-3</v>
      </c>
      <c r="BU989" s="74">
        <v>0.107</v>
      </c>
      <c r="BV989" s="74">
        <v>1E-3</v>
      </c>
      <c r="BW989" s="74">
        <v>1E-3</v>
      </c>
      <c r="BX989" s="74">
        <v>2E-3</v>
      </c>
      <c r="BY989" s="74">
        <v>2E-3</v>
      </c>
      <c r="BZ989" s="74">
        <v>2E-3</v>
      </c>
      <c r="CA989" s="74">
        <v>1E-3</v>
      </c>
      <c r="CB989" s="74">
        <v>1E-3</v>
      </c>
      <c r="CC989" s="74">
        <v>1E-3</v>
      </c>
      <c r="CD989" s="74">
        <v>0</v>
      </c>
      <c r="CE989" s="74">
        <v>1E-3</v>
      </c>
      <c r="CF989" s="74">
        <v>1E-3</v>
      </c>
      <c r="CG989" s="74">
        <v>1E-3</v>
      </c>
      <c r="CH989" s="74">
        <v>1E-3</v>
      </c>
      <c r="CI989" s="74">
        <v>1E-3</v>
      </c>
      <c r="CJ989" s="74">
        <v>2E-3</v>
      </c>
      <c r="CK989" s="74">
        <v>1.0999999999999999E-2</v>
      </c>
      <c r="CL989" s="74">
        <v>5.0000000000000001E-3</v>
      </c>
      <c r="CM989" s="74">
        <v>7.5416820590000002</v>
      </c>
      <c r="CN989" s="86">
        <v>110.0460848</v>
      </c>
    </row>
    <row r="990" spans="1:92" x14ac:dyDescent="0.25">
      <c r="Q990" s="62"/>
    </row>
    <row r="995" spans="12:12" x14ac:dyDescent="0.25">
      <c r="L995" s="7"/>
    </row>
  </sheetData>
  <autoFilter ref="A3:CN989" xr:uid="{AB84AE4E-5649-A247-909A-30E1A5817823}">
    <filterColumn colId="7">
      <filters>
        <filter val="ABC"/>
        <filter val="Adamantinoma"/>
        <filter val="AFH"/>
        <filter val="Angiosarcoma"/>
        <filter val="ASPS"/>
        <filter val="BCOR"/>
        <filter val="Carcinoma"/>
        <filter val="CB"/>
        <filter val="CD34FT"/>
        <filter val="Chondromyxoid Fibroma"/>
        <filter val="CHORD"/>
        <filter val="CIC"/>
        <filter val="CSA"/>
        <filter val="CSA-CC"/>
        <filter val="CSA-MES"/>
        <filter val="DFSP"/>
        <filter val="ES"/>
        <filter val="EWSR1-NFATC2"/>
        <filter val="FAILED"/>
        <filter val="FDY"/>
        <filter val="GCTB"/>
        <filter val="H3.3mut"/>
        <filter val="IFS"/>
        <filter val="LMS"/>
        <filter val="MEL (CUT)"/>
        <filter val="MFS"/>
        <filter val="MIFS"/>
        <filter val="MPNST"/>
        <filter val="MPNST-like"/>
        <filter val="Myxoma"/>
        <filter val="NFB"/>
        <filter val="NOF"/>
        <filter val="OB"/>
        <filter val="OFD"/>
        <filter val="OFMT"/>
        <filter val="OS (HG)"/>
        <filter val="OS (LG)"/>
        <filter val="OS (ST)"/>
        <filter val="OS (Surface)"/>
        <filter val="PEComa"/>
        <filter val="PHAT"/>
        <filter val="Pleo LPS"/>
        <filter val="PMT"/>
        <filter val="PRDM10"/>
        <filter val="PVNS/GCTTS"/>
        <filter val="RMS"/>
        <filter val="SBRCT"/>
        <filter val="SEF"/>
        <filter val="SFT"/>
        <filter val="SYSA"/>
        <filter val="USARC"/>
        <filter val="WDLS/DDLS"/>
      </filters>
    </filterColumn>
  </autoFilter>
  <mergeCells count="1">
    <mergeCell ref="A1:CN1"/>
  </mergeCells>
  <conditionalFormatting sqref="K4:K989">
    <cfRule type="duplicateValues" dxfId="3" priority="80"/>
  </conditionalFormatting>
  <conditionalFormatting sqref="A1:A1048576">
    <cfRule type="duplicateValues" dxfId="2" priority="3"/>
  </conditionalFormatting>
  <conditionalFormatting sqref="B172">
    <cfRule type="duplicateValues" dxfId="1" priority="2"/>
  </conditionalFormatting>
  <conditionalFormatting sqref="B768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opLeftCell="A15" workbookViewId="0">
      <selection activeCell="A28" sqref="A28"/>
    </sheetView>
  </sheetViews>
  <sheetFormatPr defaultColWidth="10.625" defaultRowHeight="15.75" x14ac:dyDescent="0.25"/>
  <cols>
    <col min="1" max="1" width="15.125" customWidth="1"/>
    <col min="2" max="2" width="18" customWidth="1"/>
    <col min="3" max="3" width="18.125" customWidth="1"/>
    <col min="4" max="4" width="17.875" customWidth="1"/>
    <col min="5" max="5" width="19.375" customWidth="1"/>
    <col min="6" max="6" width="16.875" customWidth="1"/>
    <col min="7" max="7" width="17.625" customWidth="1"/>
    <col min="8" max="8" width="15.875" customWidth="1"/>
    <col min="9" max="9" width="21.5" customWidth="1"/>
  </cols>
  <sheetData>
    <row r="1" spans="1:9" ht="21" x14ac:dyDescent="0.35">
      <c r="A1" s="121" t="s">
        <v>1770</v>
      </c>
      <c r="B1" s="121"/>
      <c r="C1" s="121"/>
      <c r="D1" s="121"/>
      <c r="E1" s="121"/>
      <c r="F1" s="121"/>
      <c r="G1" s="121"/>
      <c r="H1" s="121"/>
      <c r="I1" s="121"/>
    </row>
    <row r="2" spans="1:9" ht="21.75" thickBot="1" x14ac:dyDescent="0.4">
      <c r="A2" s="111"/>
      <c r="B2" s="111"/>
      <c r="C2" s="111"/>
      <c r="D2" s="111"/>
      <c r="E2" s="111"/>
      <c r="F2" s="111"/>
      <c r="G2" s="111"/>
      <c r="H2" s="111"/>
      <c r="I2" s="111"/>
    </row>
    <row r="3" spans="1:9" ht="48" thickBot="1" x14ac:dyDescent="0.3">
      <c r="A3" s="22"/>
      <c r="B3" s="23" t="s">
        <v>708</v>
      </c>
      <c r="C3" s="24" t="s">
        <v>709</v>
      </c>
      <c r="D3" s="25" t="s">
        <v>710</v>
      </c>
      <c r="E3" s="26" t="s">
        <v>711</v>
      </c>
      <c r="F3" s="27" t="s">
        <v>712</v>
      </c>
      <c r="G3" s="28" t="s">
        <v>713</v>
      </c>
      <c r="H3" s="29" t="s">
        <v>714</v>
      </c>
      <c r="I3" s="30" t="s">
        <v>715</v>
      </c>
    </row>
    <row r="4" spans="1:9" x14ac:dyDescent="0.25">
      <c r="A4" s="31" t="s">
        <v>538</v>
      </c>
      <c r="B4" s="32">
        <v>8</v>
      </c>
      <c r="C4" s="33">
        <f>7/8*100</f>
        <v>87.5</v>
      </c>
      <c r="D4" s="34">
        <v>8</v>
      </c>
      <c r="E4" s="35">
        <f t="shared" ref="E4:E25" si="0">(B4-D4)/B4*100</f>
        <v>0</v>
      </c>
      <c r="F4" s="36">
        <f>7/8*100</f>
        <v>87.5</v>
      </c>
      <c r="G4" s="37">
        <v>7</v>
      </c>
      <c r="H4" s="38">
        <f t="shared" ref="H4:H25" si="1">(B4-G4)/B4*100</f>
        <v>12.5</v>
      </c>
      <c r="I4" s="39">
        <f>7/7*100</f>
        <v>100</v>
      </c>
    </row>
    <row r="5" spans="1:9" x14ac:dyDescent="0.25">
      <c r="A5" s="40" t="s">
        <v>67</v>
      </c>
      <c r="B5" s="41">
        <v>3</v>
      </c>
      <c r="C5" s="42">
        <f>3/3*100</f>
        <v>100</v>
      </c>
      <c r="D5" s="43">
        <v>3</v>
      </c>
      <c r="E5" s="44">
        <f t="shared" si="0"/>
        <v>0</v>
      </c>
      <c r="F5" s="45">
        <f>3/3*100</f>
        <v>100</v>
      </c>
      <c r="G5" s="46">
        <v>3</v>
      </c>
      <c r="H5" s="47">
        <f t="shared" si="1"/>
        <v>0</v>
      </c>
      <c r="I5" s="48">
        <f>3/3*100</f>
        <v>100</v>
      </c>
    </row>
    <row r="6" spans="1:9" x14ac:dyDescent="0.25">
      <c r="A6" s="40" t="s">
        <v>13</v>
      </c>
      <c r="B6" s="41">
        <v>88</v>
      </c>
      <c r="C6" s="42">
        <f>76/88*100</f>
        <v>86.36363636363636</v>
      </c>
      <c r="D6" s="43">
        <v>60</v>
      </c>
      <c r="E6" s="44">
        <f t="shared" si="0"/>
        <v>31.818181818181817</v>
      </c>
      <c r="F6" s="45">
        <f>56/60*100</f>
        <v>93.333333333333329</v>
      </c>
      <c r="G6" s="46">
        <v>47</v>
      </c>
      <c r="H6" s="47">
        <f t="shared" si="1"/>
        <v>46.590909090909086</v>
      </c>
      <c r="I6" s="48">
        <f>44/47*100</f>
        <v>93.61702127659575</v>
      </c>
    </row>
    <row r="7" spans="1:9" x14ac:dyDescent="0.25">
      <c r="A7" s="40" t="s">
        <v>29</v>
      </c>
      <c r="B7" s="41">
        <v>8</v>
      </c>
      <c r="C7" s="42">
        <f>7/8*100</f>
        <v>87.5</v>
      </c>
      <c r="D7" s="43">
        <v>5</v>
      </c>
      <c r="E7" s="44">
        <f t="shared" si="0"/>
        <v>37.5</v>
      </c>
      <c r="F7" s="45">
        <f>4/5*100</f>
        <v>80</v>
      </c>
      <c r="G7" s="46">
        <v>4</v>
      </c>
      <c r="H7" s="47">
        <f t="shared" si="1"/>
        <v>50</v>
      </c>
      <c r="I7" s="48">
        <f>3/4*100</f>
        <v>75</v>
      </c>
    </row>
    <row r="8" spans="1:9" x14ac:dyDescent="0.25">
      <c r="A8" s="40" t="s">
        <v>203</v>
      </c>
      <c r="B8" s="41">
        <v>7</v>
      </c>
      <c r="C8" s="42">
        <f>4/7*100</f>
        <v>57.142857142857139</v>
      </c>
      <c r="D8" s="43">
        <v>6</v>
      </c>
      <c r="E8" s="44">
        <f t="shared" si="0"/>
        <v>14.285714285714285</v>
      </c>
      <c r="F8" s="45">
        <f>4/6*100</f>
        <v>66.666666666666657</v>
      </c>
      <c r="G8" s="46">
        <v>5</v>
      </c>
      <c r="H8" s="47">
        <f t="shared" si="1"/>
        <v>28.571428571428569</v>
      </c>
      <c r="I8" s="48">
        <f>4/5*100</f>
        <v>80</v>
      </c>
    </row>
    <row r="9" spans="1:9" x14ac:dyDescent="0.25">
      <c r="A9" s="40" t="s">
        <v>9</v>
      </c>
      <c r="B9" s="41">
        <v>11</v>
      </c>
      <c r="C9" s="42">
        <f>9/11*100</f>
        <v>81.818181818181827</v>
      </c>
      <c r="D9" s="43">
        <v>8</v>
      </c>
      <c r="E9" s="44">
        <f t="shared" si="0"/>
        <v>27.27272727272727</v>
      </c>
      <c r="F9" s="45">
        <f>8/8*100</f>
        <v>100</v>
      </c>
      <c r="G9" s="46">
        <v>3</v>
      </c>
      <c r="H9" s="47">
        <f t="shared" si="1"/>
        <v>72.727272727272734</v>
      </c>
      <c r="I9" s="48">
        <f>3/3*100</f>
        <v>100</v>
      </c>
    </row>
    <row r="10" spans="1:9" x14ac:dyDescent="0.25">
      <c r="A10" s="40" t="s">
        <v>569</v>
      </c>
      <c r="B10" s="41">
        <v>4</v>
      </c>
      <c r="C10" s="42">
        <f>3/4*100</f>
        <v>75</v>
      </c>
      <c r="D10" s="43">
        <v>3</v>
      </c>
      <c r="E10" s="44">
        <f t="shared" si="0"/>
        <v>25</v>
      </c>
      <c r="F10" s="45">
        <f>3/3*100</f>
        <v>100</v>
      </c>
      <c r="G10" s="46">
        <v>3</v>
      </c>
      <c r="H10" s="47">
        <f t="shared" si="1"/>
        <v>25</v>
      </c>
      <c r="I10" s="48">
        <f>3/3*100</f>
        <v>100</v>
      </c>
    </row>
    <row r="11" spans="1:9" x14ac:dyDescent="0.25">
      <c r="A11" s="40" t="s">
        <v>53</v>
      </c>
      <c r="B11" s="41">
        <v>13</v>
      </c>
      <c r="C11" s="42">
        <f>10/13*100</f>
        <v>76.923076923076934</v>
      </c>
      <c r="D11" s="43">
        <v>11</v>
      </c>
      <c r="E11" s="44">
        <f t="shared" si="0"/>
        <v>15.384615384615385</v>
      </c>
      <c r="F11" s="45">
        <f>9/11*100</f>
        <v>81.818181818181827</v>
      </c>
      <c r="G11" s="46">
        <v>3</v>
      </c>
      <c r="H11" s="47">
        <f t="shared" si="1"/>
        <v>76.923076923076934</v>
      </c>
      <c r="I11" s="48">
        <f>3/3*100</f>
        <v>100</v>
      </c>
    </row>
    <row r="12" spans="1:9" x14ac:dyDescent="0.25">
      <c r="A12" s="40" t="s">
        <v>33</v>
      </c>
      <c r="B12" s="41">
        <v>6</v>
      </c>
      <c r="C12" s="42">
        <f>5/6*100</f>
        <v>83.333333333333343</v>
      </c>
      <c r="D12" s="43">
        <v>6</v>
      </c>
      <c r="E12" s="44">
        <f t="shared" si="0"/>
        <v>0</v>
      </c>
      <c r="F12" s="45">
        <f>5/6*100</f>
        <v>83.333333333333343</v>
      </c>
      <c r="G12" s="46">
        <v>4</v>
      </c>
      <c r="H12" s="47">
        <f t="shared" si="1"/>
        <v>33.333333333333329</v>
      </c>
      <c r="I12" s="48">
        <f>4/4*100</f>
        <v>100</v>
      </c>
    </row>
    <row r="13" spans="1:9" x14ac:dyDescent="0.25">
      <c r="A13" s="40" t="s">
        <v>34</v>
      </c>
      <c r="B13" s="41">
        <v>36</v>
      </c>
      <c r="C13" s="42">
        <f>25/36*100</f>
        <v>69.444444444444443</v>
      </c>
      <c r="D13" s="43">
        <v>29</v>
      </c>
      <c r="E13" s="44">
        <f t="shared" si="0"/>
        <v>19.444444444444446</v>
      </c>
      <c r="F13" s="45">
        <f>22/29*100</f>
        <v>75.862068965517238</v>
      </c>
      <c r="G13" s="46">
        <v>12</v>
      </c>
      <c r="H13" s="47">
        <f t="shared" si="1"/>
        <v>66.666666666666657</v>
      </c>
      <c r="I13" s="48">
        <f>8/12*100</f>
        <v>66.666666666666657</v>
      </c>
    </row>
    <row r="14" spans="1:9" x14ac:dyDescent="0.25">
      <c r="A14" s="40" t="s">
        <v>570</v>
      </c>
      <c r="B14" s="41">
        <v>195</v>
      </c>
      <c r="C14" s="42">
        <f>124/195*100</f>
        <v>63.589743589743584</v>
      </c>
      <c r="D14" s="43">
        <v>175</v>
      </c>
      <c r="E14" s="44">
        <f t="shared" si="0"/>
        <v>10.256410256410255</v>
      </c>
      <c r="F14" s="45">
        <f>120/175*100</f>
        <v>68.571428571428569</v>
      </c>
      <c r="G14" s="46">
        <v>147</v>
      </c>
      <c r="H14" s="47">
        <f t="shared" si="1"/>
        <v>24.615384615384617</v>
      </c>
      <c r="I14" s="48">
        <f>104/147*100</f>
        <v>70.748299319727892</v>
      </c>
    </row>
    <row r="15" spans="1:9" x14ac:dyDescent="0.25">
      <c r="A15" s="40" t="s">
        <v>537</v>
      </c>
      <c r="B15" s="41">
        <v>51</v>
      </c>
      <c r="C15" s="42">
        <f>34/51*100</f>
        <v>66.666666666666657</v>
      </c>
      <c r="D15" s="43">
        <v>20</v>
      </c>
      <c r="E15" s="44">
        <f t="shared" si="0"/>
        <v>60.784313725490193</v>
      </c>
      <c r="F15" s="45">
        <f>13/20*100</f>
        <v>65</v>
      </c>
      <c r="G15" s="46">
        <v>14</v>
      </c>
      <c r="H15" s="47">
        <f t="shared" si="1"/>
        <v>72.549019607843135</v>
      </c>
      <c r="I15" s="48">
        <f>11/14*100</f>
        <v>78.571428571428569</v>
      </c>
    </row>
    <row r="16" spans="1:9" x14ac:dyDescent="0.25">
      <c r="A16" s="40" t="s">
        <v>327</v>
      </c>
      <c r="B16" s="41">
        <v>10</v>
      </c>
      <c r="C16" s="42">
        <f>6/10*100</f>
        <v>60</v>
      </c>
      <c r="D16" s="43">
        <v>7</v>
      </c>
      <c r="E16" s="44">
        <f t="shared" si="0"/>
        <v>30</v>
      </c>
      <c r="F16" s="45">
        <f>5/7*100</f>
        <v>71.428571428571431</v>
      </c>
      <c r="G16" s="46">
        <v>3</v>
      </c>
      <c r="H16" s="47">
        <f t="shared" si="1"/>
        <v>70</v>
      </c>
      <c r="I16" s="48">
        <f>1/3*100</f>
        <v>33.333333333333329</v>
      </c>
    </row>
    <row r="17" spans="1:9" x14ac:dyDescent="0.25">
      <c r="A17" s="40" t="s">
        <v>10</v>
      </c>
      <c r="B17" s="41">
        <v>17</v>
      </c>
      <c r="C17" s="42">
        <f>11/17*100</f>
        <v>64.705882352941174</v>
      </c>
      <c r="D17" s="43">
        <v>14</v>
      </c>
      <c r="E17" s="44">
        <f t="shared" si="0"/>
        <v>17.647058823529413</v>
      </c>
      <c r="F17" s="45">
        <f>10/14*100</f>
        <v>71.428571428571431</v>
      </c>
      <c r="G17" s="46">
        <v>13</v>
      </c>
      <c r="H17" s="47">
        <f t="shared" si="1"/>
        <v>23.52941176470588</v>
      </c>
      <c r="I17" s="48">
        <f>9/13*100</f>
        <v>69.230769230769226</v>
      </c>
    </row>
    <row r="18" spans="1:9" x14ac:dyDescent="0.25">
      <c r="A18" s="40" t="s">
        <v>68</v>
      </c>
      <c r="B18" s="41">
        <v>80</v>
      </c>
      <c r="C18" s="42">
        <f>47/80*100</f>
        <v>58.75</v>
      </c>
      <c r="D18" s="43">
        <v>67</v>
      </c>
      <c r="E18" s="44">
        <f t="shared" si="0"/>
        <v>16.25</v>
      </c>
      <c r="F18" s="45">
        <f>46/67*100</f>
        <v>68.656716417910445</v>
      </c>
      <c r="G18" s="46">
        <v>53</v>
      </c>
      <c r="H18" s="47">
        <f t="shared" si="1"/>
        <v>33.75</v>
      </c>
      <c r="I18" s="48">
        <f>38/53*100</f>
        <v>71.698113207547166</v>
      </c>
    </row>
    <row r="19" spans="1:9" x14ac:dyDescent="0.25">
      <c r="A19" s="40" t="s">
        <v>539</v>
      </c>
      <c r="B19" s="41">
        <v>7</v>
      </c>
      <c r="C19" s="42">
        <f>4/7*100</f>
        <v>57.142857142857139</v>
      </c>
      <c r="D19" s="43">
        <v>7</v>
      </c>
      <c r="E19" s="44">
        <f t="shared" si="0"/>
        <v>0</v>
      </c>
      <c r="F19" s="45">
        <f>4/7*100</f>
        <v>57.142857142857139</v>
      </c>
      <c r="G19" s="46">
        <v>7</v>
      </c>
      <c r="H19" s="47">
        <f t="shared" si="1"/>
        <v>0</v>
      </c>
      <c r="I19" s="48">
        <f>4/7*100</f>
        <v>57.142857142857139</v>
      </c>
    </row>
    <row r="20" spans="1:9" x14ac:dyDescent="0.25">
      <c r="A20" s="40" t="s">
        <v>212</v>
      </c>
      <c r="B20" s="41">
        <v>56</v>
      </c>
      <c r="C20" s="42">
        <f>29/56*100</f>
        <v>51.785714285714292</v>
      </c>
      <c r="D20" s="43">
        <v>37</v>
      </c>
      <c r="E20" s="44">
        <f t="shared" si="0"/>
        <v>33.928571428571431</v>
      </c>
      <c r="F20" s="45">
        <f>22/37*100</f>
        <v>59.45945945945946</v>
      </c>
      <c r="G20" s="46">
        <v>27</v>
      </c>
      <c r="H20" s="47">
        <f t="shared" si="1"/>
        <v>51.785714285714292</v>
      </c>
      <c r="I20" s="48">
        <f>13/27*100</f>
        <v>48.148148148148145</v>
      </c>
    </row>
    <row r="21" spans="1:9" x14ac:dyDescent="0.25">
      <c r="A21" s="40" t="s">
        <v>85</v>
      </c>
      <c r="B21" s="41">
        <v>97</v>
      </c>
      <c r="C21" s="42">
        <f>42/97*100</f>
        <v>43.298969072164951</v>
      </c>
      <c r="D21" s="43">
        <v>85</v>
      </c>
      <c r="E21" s="44">
        <f t="shared" si="0"/>
        <v>12.371134020618557</v>
      </c>
      <c r="F21" s="45">
        <f>40/85*100</f>
        <v>47.058823529411761</v>
      </c>
      <c r="G21" s="46">
        <v>71</v>
      </c>
      <c r="H21" s="47">
        <f t="shared" si="1"/>
        <v>26.804123711340207</v>
      </c>
      <c r="I21" s="48">
        <f>39/71*100</f>
        <v>54.929577464788736</v>
      </c>
    </row>
    <row r="22" spans="1:9" x14ac:dyDescent="0.25">
      <c r="A22" s="40" t="s">
        <v>43</v>
      </c>
      <c r="B22" s="41">
        <v>5</v>
      </c>
      <c r="C22" s="42">
        <f>2/5*100</f>
        <v>40</v>
      </c>
      <c r="D22" s="43">
        <v>5</v>
      </c>
      <c r="E22" s="44">
        <f t="shared" si="0"/>
        <v>0</v>
      </c>
      <c r="F22" s="45">
        <f>3/5*100</f>
        <v>60</v>
      </c>
      <c r="G22" s="46">
        <v>5</v>
      </c>
      <c r="H22" s="47">
        <f t="shared" si="1"/>
        <v>0</v>
      </c>
      <c r="I22" s="48">
        <f>3/5*100</f>
        <v>60</v>
      </c>
    </row>
    <row r="23" spans="1:9" x14ac:dyDescent="0.25">
      <c r="A23" s="40" t="s">
        <v>527</v>
      </c>
      <c r="B23" s="41">
        <v>14</v>
      </c>
      <c r="C23" s="42">
        <f>6/14*100</f>
        <v>42.857142857142854</v>
      </c>
      <c r="D23" s="43">
        <v>12</v>
      </c>
      <c r="E23" s="44">
        <f t="shared" si="0"/>
        <v>14.285714285714285</v>
      </c>
      <c r="F23" s="45">
        <f>5/12*100</f>
        <v>41.666666666666671</v>
      </c>
      <c r="G23" s="46">
        <v>11</v>
      </c>
      <c r="H23" s="47">
        <f t="shared" si="1"/>
        <v>21.428571428571427</v>
      </c>
      <c r="I23" s="48">
        <f>4/11*100</f>
        <v>36.363636363636367</v>
      </c>
    </row>
    <row r="24" spans="1:9" x14ac:dyDescent="0.25">
      <c r="A24" s="40" t="s">
        <v>48</v>
      </c>
      <c r="B24" s="41">
        <v>79</v>
      </c>
      <c r="C24" s="42">
        <f>32/79*100</f>
        <v>40.506329113924053</v>
      </c>
      <c r="D24" s="43">
        <v>76</v>
      </c>
      <c r="E24" s="44">
        <f t="shared" si="0"/>
        <v>3.79746835443038</v>
      </c>
      <c r="F24" s="45">
        <f>32/76*100</f>
        <v>42.105263157894733</v>
      </c>
      <c r="G24" s="46">
        <v>69</v>
      </c>
      <c r="H24" s="47">
        <f t="shared" si="1"/>
        <v>12.658227848101266</v>
      </c>
      <c r="I24" s="48">
        <f>30/69*100</f>
        <v>43.478260869565219</v>
      </c>
    </row>
    <row r="25" spans="1:9" ht="16.5" thickBot="1" x14ac:dyDescent="0.3">
      <c r="A25" s="49" t="s">
        <v>51</v>
      </c>
      <c r="B25" s="50">
        <v>6</v>
      </c>
      <c r="C25" s="51">
        <f>1/6*100</f>
        <v>16.666666666666664</v>
      </c>
      <c r="D25" s="52">
        <v>4</v>
      </c>
      <c r="E25" s="53">
        <f t="shared" si="0"/>
        <v>33.333333333333329</v>
      </c>
      <c r="F25" s="54">
        <v>0</v>
      </c>
      <c r="G25" s="55">
        <v>0</v>
      </c>
      <c r="H25" s="56">
        <f t="shared" si="1"/>
        <v>100</v>
      </c>
      <c r="I25" s="57">
        <v>0</v>
      </c>
    </row>
    <row r="26" spans="1:9" x14ac:dyDescent="0.25">
      <c r="A26" s="80" t="s">
        <v>1794</v>
      </c>
    </row>
    <row r="27" spans="1:9" x14ac:dyDescent="0.25">
      <c r="A27" s="80" t="s">
        <v>1795</v>
      </c>
    </row>
    <row r="28" spans="1:9" x14ac:dyDescent="0.25">
      <c r="A28" s="80" t="s">
        <v>1791</v>
      </c>
    </row>
  </sheetData>
  <mergeCells count="1">
    <mergeCell ref="A1:I1"/>
  </mergeCells>
  <conditionalFormatting sqref="C4:C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sqref="A1:E1"/>
    </sheetView>
  </sheetViews>
  <sheetFormatPr defaultColWidth="10.625" defaultRowHeight="15.75" x14ac:dyDescent="0.25"/>
  <cols>
    <col min="1" max="1" width="71.5" bestFit="1" customWidth="1"/>
    <col min="2" max="2" width="32.125" customWidth="1"/>
    <col min="3" max="3" width="33.625" customWidth="1"/>
    <col min="4" max="4" width="35.625" customWidth="1"/>
    <col min="5" max="5" width="33.125" customWidth="1"/>
  </cols>
  <sheetData>
    <row r="1" spans="1:5" ht="21" x14ac:dyDescent="0.35">
      <c r="A1" s="122" t="s">
        <v>1771</v>
      </c>
      <c r="B1" s="122"/>
      <c r="C1" s="122"/>
      <c r="D1" s="122"/>
      <c r="E1" s="122"/>
    </row>
    <row r="2" spans="1:5" s="110" customFormat="1" ht="16.5" thickBot="1" x14ac:dyDescent="0.3"/>
    <row r="3" spans="1:5" ht="42.75" thickBot="1" x14ac:dyDescent="0.4">
      <c r="A3" s="11"/>
      <c r="B3" s="12" t="s">
        <v>676</v>
      </c>
      <c r="C3" s="12" t="s">
        <v>677</v>
      </c>
      <c r="D3" s="12" t="s">
        <v>678</v>
      </c>
      <c r="E3" s="12" t="s">
        <v>679</v>
      </c>
    </row>
    <row r="4" spans="1:5" ht="21.75" thickBot="1" x14ac:dyDescent="0.3">
      <c r="A4" s="13" t="s">
        <v>680</v>
      </c>
      <c r="B4" s="14">
        <v>983</v>
      </c>
      <c r="C4" s="14">
        <v>983</v>
      </c>
      <c r="D4" s="14">
        <v>821</v>
      </c>
      <c r="E4" s="14">
        <v>821</v>
      </c>
    </row>
    <row r="5" spans="1:5" ht="21.75" thickBot="1" x14ac:dyDescent="0.3">
      <c r="A5" s="77" t="s">
        <v>681</v>
      </c>
      <c r="B5" s="14">
        <v>541</v>
      </c>
      <c r="C5" s="14">
        <v>585</v>
      </c>
      <c r="D5" s="14">
        <v>500</v>
      </c>
      <c r="E5" s="14">
        <v>529</v>
      </c>
    </row>
    <row r="6" spans="1:5" ht="21.75" thickBot="1" x14ac:dyDescent="0.3">
      <c r="A6" s="77" t="s">
        <v>682</v>
      </c>
      <c r="B6" s="15">
        <v>0.55000000000000004</v>
      </c>
      <c r="C6" s="15">
        <v>0.6</v>
      </c>
      <c r="D6" s="15">
        <v>0.61</v>
      </c>
      <c r="E6" s="15">
        <v>0.64</v>
      </c>
    </row>
    <row r="7" spans="1:5" ht="21.75" thickBot="1" x14ac:dyDescent="0.3">
      <c r="A7" s="13" t="s">
        <v>683</v>
      </c>
      <c r="B7" s="14">
        <v>441</v>
      </c>
      <c r="C7" s="14">
        <v>464</v>
      </c>
      <c r="D7" s="14">
        <v>441</v>
      </c>
      <c r="E7" s="14">
        <v>462</v>
      </c>
    </row>
    <row r="8" spans="1:5" ht="21.75" thickBot="1" x14ac:dyDescent="0.3">
      <c r="A8" s="78" t="s">
        <v>684</v>
      </c>
      <c r="B8" s="15">
        <v>0.82</v>
      </c>
      <c r="C8" s="15">
        <v>0.79</v>
      </c>
      <c r="D8" s="15">
        <v>0.88</v>
      </c>
      <c r="E8" s="15">
        <v>0.87</v>
      </c>
    </row>
    <row r="9" spans="1:5" ht="21.75" thickBot="1" x14ac:dyDescent="0.3">
      <c r="A9" s="77" t="s">
        <v>685</v>
      </c>
      <c r="B9" s="14">
        <v>100</v>
      </c>
      <c r="C9" s="14">
        <v>121</v>
      </c>
      <c r="D9" s="14">
        <v>59</v>
      </c>
      <c r="E9" s="14">
        <v>67</v>
      </c>
    </row>
    <row r="10" spans="1:5" ht="21.75" thickBot="1" x14ac:dyDescent="0.3">
      <c r="A10" s="77" t="s">
        <v>686</v>
      </c>
      <c r="B10" s="16">
        <v>0.18</v>
      </c>
      <c r="C10" s="16">
        <v>0.21</v>
      </c>
      <c r="D10" s="16">
        <v>0.12</v>
      </c>
      <c r="E10" s="16">
        <v>0.13</v>
      </c>
    </row>
    <row r="11" spans="1:5" ht="21.75" thickBot="1" x14ac:dyDescent="0.3">
      <c r="A11" s="79" t="s">
        <v>687</v>
      </c>
      <c r="B11" s="14">
        <v>442</v>
      </c>
      <c r="C11" s="14">
        <v>398</v>
      </c>
      <c r="D11" s="14">
        <v>321</v>
      </c>
      <c r="E11" s="14">
        <v>292</v>
      </c>
    </row>
    <row r="12" spans="1:5" ht="21.75" thickBot="1" x14ac:dyDescent="0.3">
      <c r="A12" s="79" t="s">
        <v>688</v>
      </c>
      <c r="B12" s="16">
        <v>0.45</v>
      </c>
      <c r="C12" s="16">
        <v>0.4</v>
      </c>
      <c r="D12" s="16">
        <v>0.39</v>
      </c>
      <c r="E12" s="16">
        <v>0.36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opLeftCell="A14" workbookViewId="0">
      <selection activeCell="A27" sqref="A27"/>
    </sheetView>
  </sheetViews>
  <sheetFormatPr defaultColWidth="10.625" defaultRowHeight="15.75" x14ac:dyDescent="0.25"/>
  <cols>
    <col min="1" max="1" width="45.125" bestFit="1" customWidth="1"/>
    <col min="3" max="3" width="25.875" bestFit="1" customWidth="1"/>
    <col min="4" max="4" width="30.625" customWidth="1"/>
    <col min="5" max="5" width="18.5" bestFit="1" customWidth="1"/>
    <col min="8" max="8" width="26.875" bestFit="1" customWidth="1"/>
  </cols>
  <sheetData>
    <row r="1" spans="1:8" ht="21" x14ac:dyDescent="0.35">
      <c r="A1" s="122" t="s">
        <v>1772</v>
      </c>
      <c r="B1" s="122"/>
      <c r="C1" s="122"/>
      <c r="D1" s="122"/>
      <c r="E1" s="122"/>
      <c r="F1" s="122"/>
      <c r="G1" s="122"/>
      <c r="H1" s="122"/>
    </row>
    <row r="2" spans="1:8" s="110" customFormat="1" ht="21.75" thickBot="1" x14ac:dyDescent="0.4">
      <c r="A2" s="109"/>
      <c r="B2" s="109"/>
      <c r="C2" s="109"/>
      <c r="D2" s="109"/>
      <c r="E2" s="109"/>
      <c r="F2" s="109"/>
      <c r="G2" s="109"/>
      <c r="H2" s="109"/>
    </row>
    <row r="3" spans="1:8" ht="32.25" thickBot="1" x14ac:dyDescent="0.3">
      <c r="A3" s="58" t="s">
        <v>1764</v>
      </c>
      <c r="B3" s="59" t="s">
        <v>689</v>
      </c>
      <c r="C3" s="60" t="s">
        <v>690</v>
      </c>
      <c r="D3" s="59" t="s">
        <v>691</v>
      </c>
      <c r="E3" s="60" t="s">
        <v>692</v>
      </c>
      <c r="F3" s="60" t="s">
        <v>693</v>
      </c>
      <c r="G3" s="60" t="s">
        <v>694</v>
      </c>
      <c r="H3" s="60" t="s">
        <v>695</v>
      </c>
    </row>
    <row r="4" spans="1:8" ht="16.5" thickBot="1" x14ac:dyDescent="0.3">
      <c r="A4" s="17" t="s">
        <v>340</v>
      </c>
      <c r="B4" s="18">
        <v>1</v>
      </c>
      <c r="C4" s="19">
        <v>1</v>
      </c>
      <c r="D4" s="18">
        <v>1</v>
      </c>
      <c r="E4" s="20">
        <v>1</v>
      </c>
      <c r="F4" s="20">
        <v>1</v>
      </c>
      <c r="G4" s="20">
        <v>1</v>
      </c>
      <c r="H4" s="20">
        <v>0.32</v>
      </c>
    </row>
    <row r="5" spans="1:8" ht="16.5" thickBot="1" x14ac:dyDescent="0.3">
      <c r="A5" s="17" t="s">
        <v>327</v>
      </c>
      <c r="B5" s="18">
        <v>10</v>
      </c>
      <c r="C5" s="19">
        <v>6</v>
      </c>
      <c r="D5" s="18">
        <v>5</v>
      </c>
      <c r="E5" s="20">
        <v>0.6</v>
      </c>
      <c r="F5" s="20">
        <v>0.83</v>
      </c>
      <c r="G5" s="20">
        <v>0.5</v>
      </c>
      <c r="H5" s="20">
        <v>0.39</v>
      </c>
    </row>
    <row r="6" spans="1:8" ht="16.5" thickBot="1" x14ac:dyDescent="0.3">
      <c r="A6" s="17" t="s">
        <v>704</v>
      </c>
      <c r="B6" s="18">
        <v>11</v>
      </c>
      <c r="C6" s="19">
        <v>9</v>
      </c>
      <c r="D6" s="18">
        <v>9</v>
      </c>
      <c r="E6" s="20">
        <v>0.82</v>
      </c>
      <c r="F6" s="20">
        <v>1</v>
      </c>
      <c r="G6" s="20">
        <v>0.82</v>
      </c>
      <c r="H6" s="20">
        <v>0.37</v>
      </c>
    </row>
    <row r="7" spans="1:8" ht="16.5" thickBot="1" x14ac:dyDescent="0.3">
      <c r="A7" s="17" t="s">
        <v>560</v>
      </c>
      <c r="B7" s="18">
        <v>1</v>
      </c>
      <c r="C7" s="19">
        <v>1</v>
      </c>
      <c r="D7" s="18">
        <v>1</v>
      </c>
      <c r="E7" s="20">
        <v>1</v>
      </c>
      <c r="F7" s="20">
        <v>1</v>
      </c>
      <c r="G7" s="20">
        <v>1</v>
      </c>
      <c r="H7" s="20">
        <v>0.62</v>
      </c>
    </row>
    <row r="8" spans="1:8" ht="16.5" thickBot="1" x14ac:dyDescent="0.3">
      <c r="A8" s="17" t="s">
        <v>108</v>
      </c>
      <c r="B8" s="18">
        <v>17</v>
      </c>
      <c r="C8" s="19">
        <v>11</v>
      </c>
      <c r="D8" s="18">
        <v>10</v>
      </c>
      <c r="E8" s="20">
        <v>0.65</v>
      </c>
      <c r="F8" s="20">
        <v>0.91</v>
      </c>
      <c r="G8" s="20">
        <v>0.59</v>
      </c>
      <c r="H8" s="20">
        <v>0.43</v>
      </c>
    </row>
    <row r="9" spans="1:8" ht="16.5" thickBot="1" x14ac:dyDescent="0.3">
      <c r="A9" s="17" t="s">
        <v>267</v>
      </c>
      <c r="B9" s="18">
        <v>88</v>
      </c>
      <c r="C9" s="19">
        <v>76</v>
      </c>
      <c r="D9" s="18">
        <v>75</v>
      </c>
      <c r="E9" s="20">
        <v>0.86</v>
      </c>
      <c r="F9" s="20">
        <v>0.99</v>
      </c>
      <c r="G9" s="20">
        <v>0.85</v>
      </c>
      <c r="H9" s="20">
        <v>0.41</v>
      </c>
    </row>
    <row r="10" spans="1:8" ht="16.5" thickBot="1" x14ac:dyDescent="0.3">
      <c r="A10" s="17" t="s">
        <v>559</v>
      </c>
      <c r="B10" s="18">
        <v>1</v>
      </c>
      <c r="C10" s="19">
        <v>1</v>
      </c>
      <c r="D10" s="18">
        <v>1</v>
      </c>
      <c r="E10" s="20">
        <v>1</v>
      </c>
      <c r="F10" s="20">
        <v>1</v>
      </c>
      <c r="G10" s="20">
        <v>1</v>
      </c>
      <c r="H10" s="20">
        <v>0.49</v>
      </c>
    </row>
    <row r="11" spans="1:8" ht="16.5" thickBot="1" x14ac:dyDescent="0.3">
      <c r="A11" s="17" t="s">
        <v>696</v>
      </c>
      <c r="B11" s="18">
        <v>97</v>
      </c>
      <c r="C11" s="19">
        <v>42</v>
      </c>
      <c r="D11" s="18">
        <v>35</v>
      </c>
      <c r="E11" s="20">
        <v>0.43</v>
      </c>
      <c r="F11" s="20">
        <v>0.83</v>
      </c>
      <c r="G11" s="20">
        <v>0.36</v>
      </c>
      <c r="H11" s="20">
        <v>0.47</v>
      </c>
    </row>
    <row r="12" spans="1:8" ht="16.5" thickBot="1" x14ac:dyDescent="0.3">
      <c r="A12" s="17" t="s">
        <v>697</v>
      </c>
      <c r="B12" s="18">
        <v>7</v>
      </c>
      <c r="C12" s="19">
        <v>4</v>
      </c>
      <c r="D12" s="18">
        <v>1</v>
      </c>
      <c r="E12" s="20">
        <v>0.56999999999999995</v>
      </c>
      <c r="F12" s="20">
        <v>0.25</v>
      </c>
      <c r="G12" s="20">
        <v>0.14000000000000001</v>
      </c>
      <c r="H12" s="20">
        <v>0.44</v>
      </c>
    </row>
    <row r="13" spans="1:8" ht="16.5" thickBot="1" x14ac:dyDescent="0.3">
      <c r="A13" s="17" t="s">
        <v>1742</v>
      </c>
      <c r="B13" s="18">
        <v>8</v>
      </c>
      <c r="C13" s="19">
        <v>7</v>
      </c>
      <c r="D13" s="18">
        <v>7</v>
      </c>
      <c r="E13" s="20">
        <v>0.88</v>
      </c>
      <c r="F13" s="20">
        <v>1</v>
      </c>
      <c r="G13" s="20">
        <v>0.88</v>
      </c>
      <c r="H13" s="20">
        <v>0.56999999999999995</v>
      </c>
    </row>
    <row r="14" spans="1:8" ht="16.5" thickBot="1" x14ac:dyDescent="0.3">
      <c r="A14" s="17" t="s">
        <v>698</v>
      </c>
      <c r="B14" s="18">
        <v>51</v>
      </c>
      <c r="C14" s="19">
        <v>34</v>
      </c>
      <c r="D14" s="18">
        <v>32</v>
      </c>
      <c r="E14" s="20">
        <v>0.67</v>
      </c>
      <c r="F14" s="20">
        <v>0.94</v>
      </c>
      <c r="G14" s="20">
        <v>0.63</v>
      </c>
      <c r="H14" s="20">
        <v>0.35</v>
      </c>
    </row>
    <row r="15" spans="1:8" ht="16.5" thickBot="1" x14ac:dyDescent="0.3">
      <c r="A15" s="17" t="s">
        <v>380</v>
      </c>
      <c r="B15" s="18">
        <v>2</v>
      </c>
      <c r="C15" s="19">
        <v>1</v>
      </c>
      <c r="D15" s="18">
        <v>1</v>
      </c>
      <c r="E15" s="20">
        <v>0.5</v>
      </c>
      <c r="F15" s="20">
        <v>1</v>
      </c>
      <c r="G15" s="20">
        <v>0.5</v>
      </c>
      <c r="H15" s="20">
        <v>0.49</v>
      </c>
    </row>
    <row r="16" spans="1:8" ht="16.5" thickBot="1" x14ac:dyDescent="0.3">
      <c r="A16" s="17" t="s">
        <v>208</v>
      </c>
      <c r="B16" s="18">
        <v>8</v>
      </c>
      <c r="C16" s="19">
        <v>7</v>
      </c>
      <c r="D16" s="18">
        <v>5</v>
      </c>
      <c r="E16" s="20">
        <v>0.88</v>
      </c>
      <c r="F16" s="20">
        <v>0.71</v>
      </c>
      <c r="G16" s="20">
        <v>0.63</v>
      </c>
      <c r="H16" s="20">
        <v>0.43</v>
      </c>
    </row>
    <row r="17" spans="1:8" ht="16.5" thickBot="1" x14ac:dyDescent="0.3">
      <c r="A17" s="17" t="s">
        <v>699</v>
      </c>
      <c r="B17" s="18">
        <v>6</v>
      </c>
      <c r="C17" s="19">
        <v>5</v>
      </c>
      <c r="D17" s="18">
        <v>5</v>
      </c>
      <c r="E17" s="20">
        <v>0.83</v>
      </c>
      <c r="F17" s="20">
        <v>1</v>
      </c>
      <c r="G17" s="20">
        <v>0.83</v>
      </c>
      <c r="H17" s="20">
        <v>0.41</v>
      </c>
    </row>
    <row r="18" spans="1:8" ht="16.5" thickBot="1" x14ac:dyDescent="0.3">
      <c r="A18" s="17" t="s">
        <v>705</v>
      </c>
      <c r="B18" s="18">
        <v>40</v>
      </c>
      <c r="C18" s="19">
        <v>30</v>
      </c>
      <c r="D18" s="18">
        <v>29</v>
      </c>
      <c r="E18" s="20">
        <v>0.75</v>
      </c>
      <c r="F18" s="20">
        <v>0.97</v>
      </c>
      <c r="G18" s="20">
        <v>0.73</v>
      </c>
      <c r="H18" s="20">
        <v>0.39</v>
      </c>
    </row>
    <row r="19" spans="1:8" ht="16.5" thickBot="1" x14ac:dyDescent="0.3">
      <c r="A19" s="17" t="s">
        <v>351</v>
      </c>
      <c r="B19" s="18">
        <v>1</v>
      </c>
      <c r="C19" s="19">
        <v>1</v>
      </c>
      <c r="D19" s="18">
        <v>1</v>
      </c>
      <c r="E19" s="20">
        <v>1</v>
      </c>
      <c r="F19" s="20">
        <v>1</v>
      </c>
      <c r="G19" s="20">
        <v>1</v>
      </c>
      <c r="H19" s="20">
        <v>0.4</v>
      </c>
    </row>
    <row r="20" spans="1:8" ht="16.5" thickBot="1" x14ac:dyDescent="0.3">
      <c r="A20" s="17" t="s">
        <v>140</v>
      </c>
      <c r="B20" s="18">
        <v>6</v>
      </c>
      <c r="C20" s="19">
        <v>3</v>
      </c>
      <c r="D20" s="18">
        <v>3</v>
      </c>
      <c r="E20" s="20">
        <v>0.5</v>
      </c>
      <c r="F20" s="20">
        <v>1</v>
      </c>
      <c r="G20" s="20">
        <v>0.5</v>
      </c>
      <c r="H20" s="20">
        <v>0.53</v>
      </c>
    </row>
    <row r="21" spans="1:8" ht="16.5" thickBot="1" x14ac:dyDescent="0.3">
      <c r="A21" s="17" t="s">
        <v>221</v>
      </c>
      <c r="B21" s="18">
        <v>4</v>
      </c>
      <c r="C21" s="19">
        <v>3</v>
      </c>
      <c r="D21" s="18">
        <v>3</v>
      </c>
      <c r="E21" s="20">
        <v>0.75</v>
      </c>
      <c r="F21" s="20">
        <v>1</v>
      </c>
      <c r="G21" s="20">
        <v>0.75</v>
      </c>
      <c r="H21" s="20">
        <v>0.47</v>
      </c>
    </row>
    <row r="22" spans="1:8" ht="16.5" thickBot="1" x14ac:dyDescent="0.3">
      <c r="A22" s="17" t="s">
        <v>211</v>
      </c>
      <c r="B22" s="18">
        <v>56</v>
      </c>
      <c r="C22" s="19">
        <v>29</v>
      </c>
      <c r="D22" s="18">
        <v>24</v>
      </c>
      <c r="E22" s="20">
        <v>0.52</v>
      </c>
      <c r="F22" s="20">
        <v>0.83</v>
      </c>
      <c r="G22" s="20">
        <v>0.43</v>
      </c>
      <c r="H22" s="20">
        <v>0.4</v>
      </c>
    </row>
    <row r="23" spans="1:8" ht="16.5" thickBot="1" x14ac:dyDescent="0.3">
      <c r="A23" s="17" t="s">
        <v>706</v>
      </c>
      <c r="B23" s="18">
        <v>79</v>
      </c>
      <c r="C23" s="19">
        <v>32</v>
      </c>
      <c r="D23" s="18">
        <v>20</v>
      </c>
      <c r="E23" s="20">
        <v>0.41</v>
      </c>
      <c r="F23" s="20">
        <v>0.63</v>
      </c>
      <c r="G23" s="20">
        <v>0.25</v>
      </c>
      <c r="H23" s="20">
        <v>0.52</v>
      </c>
    </row>
    <row r="24" spans="1:8" ht="16.5" thickBot="1" x14ac:dyDescent="0.3">
      <c r="A24" s="17" t="s">
        <v>1765</v>
      </c>
      <c r="B24" s="18">
        <v>1</v>
      </c>
      <c r="C24" s="19">
        <v>1</v>
      </c>
      <c r="D24" s="18">
        <v>1</v>
      </c>
      <c r="E24" s="20">
        <v>1</v>
      </c>
      <c r="F24" s="20">
        <v>1</v>
      </c>
      <c r="G24" s="20">
        <v>1</v>
      </c>
      <c r="H24" s="20">
        <v>0.5</v>
      </c>
    </row>
    <row r="25" spans="1:8" ht="16.5" thickBot="1" x14ac:dyDescent="0.3">
      <c r="A25" s="17" t="s">
        <v>700</v>
      </c>
      <c r="B25" s="18">
        <v>6</v>
      </c>
      <c r="C25" s="19">
        <v>1</v>
      </c>
      <c r="D25" s="18">
        <v>0</v>
      </c>
      <c r="E25" s="20">
        <v>0.17</v>
      </c>
      <c r="F25" s="20">
        <v>0</v>
      </c>
      <c r="G25" s="20">
        <v>0</v>
      </c>
      <c r="H25" s="20">
        <v>0.35</v>
      </c>
    </row>
    <row r="26" spans="1:8" ht="16.5" thickBot="1" x14ac:dyDescent="0.3">
      <c r="A26" s="17" t="s">
        <v>102</v>
      </c>
      <c r="B26" s="18">
        <v>12</v>
      </c>
      <c r="C26" s="19">
        <v>9</v>
      </c>
      <c r="D26" s="18">
        <v>9</v>
      </c>
      <c r="E26" s="20">
        <v>0.75</v>
      </c>
      <c r="F26" s="20">
        <v>1</v>
      </c>
      <c r="G26" s="20">
        <v>0.75</v>
      </c>
      <c r="H26" s="20">
        <v>0.38</v>
      </c>
    </row>
    <row r="27" spans="1:8" ht="16.5" thickBot="1" x14ac:dyDescent="0.3">
      <c r="A27" s="17" t="s">
        <v>483</v>
      </c>
      <c r="B27" s="18">
        <v>1</v>
      </c>
      <c r="C27" s="19">
        <v>0</v>
      </c>
      <c r="D27" s="18">
        <v>0</v>
      </c>
      <c r="E27" s="20">
        <v>0</v>
      </c>
      <c r="F27" s="21" t="s">
        <v>504</v>
      </c>
      <c r="G27" s="19" t="s">
        <v>504</v>
      </c>
      <c r="H27" s="20">
        <v>0.49</v>
      </c>
    </row>
    <row r="28" spans="1:8" ht="16.5" thickBot="1" x14ac:dyDescent="0.3">
      <c r="A28" s="17" t="s">
        <v>701</v>
      </c>
      <c r="B28" s="18">
        <v>198</v>
      </c>
      <c r="C28" s="19">
        <v>125</v>
      </c>
      <c r="D28" s="18">
        <v>109</v>
      </c>
      <c r="E28" s="20">
        <v>0.63</v>
      </c>
      <c r="F28" s="20">
        <v>0.87</v>
      </c>
      <c r="G28" s="20">
        <v>0.55000000000000004</v>
      </c>
      <c r="H28" s="20">
        <v>0.47</v>
      </c>
    </row>
    <row r="29" spans="1:8" ht="16.5" thickBot="1" x14ac:dyDescent="0.3">
      <c r="A29" s="17" t="s">
        <v>702</v>
      </c>
      <c r="B29" s="18">
        <v>14</v>
      </c>
      <c r="C29" s="19">
        <v>6</v>
      </c>
      <c r="D29" s="18">
        <v>4</v>
      </c>
      <c r="E29" s="20">
        <v>0.43</v>
      </c>
      <c r="F29" s="20">
        <v>0.67</v>
      </c>
      <c r="G29" s="20">
        <v>0.28999999999999998</v>
      </c>
      <c r="H29" s="20">
        <v>0.47</v>
      </c>
    </row>
    <row r="30" spans="1:8" ht="16.5" thickBot="1" x14ac:dyDescent="0.3">
      <c r="A30" s="17" t="s">
        <v>202</v>
      </c>
      <c r="B30" s="18">
        <v>7</v>
      </c>
      <c r="C30" s="19">
        <v>4</v>
      </c>
      <c r="D30" s="18">
        <v>4</v>
      </c>
      <c r="E30" s="20">
        <v>0.56999999999999995</v>
      </c>
      <c r="F30" s="20">
        <v>1</v>
      </c>
      <c r="G30" s="20">
        <v>0.56999999999999995</v>
      </c>
      <c r="H30" s="20">
        <v>0.46</v>
      </c>
    </row>
    <row r="31" spans="1:8" ht="16.5" thickBot="1" x14ac:dyDescent="0.3">
      <c r="A31" s="17" t="s">
        <v>561</v>
      </c>
      <c r="B31" s="18">
        <v>1</v>
      </c>
      <c r="C31" s="19">
        <v>1</v>
      </c>
      <c r="D31" s="18">
        <v>1</v>
      </c>
      <c r="E31" s="20">
        <v>1</v>
      </c>
      <c r="F31" s="20">
        <v>1</v>
      </c>
      <c r="G31" s="20">
        <v>1</v>
      </c>
      <c r="H31" s="20">
        <v>0.64</v>
      </c>
    </row>
    <row r="32" spans="1:8" ht="16.5" thickBot="1" x14ac:dyDescent="0.3">
      <c r="A32" s="17" t="s">
        <v>1766</v>
      </c>
      <c r="B32" s="18">
        <v>2</v>
      </c>
      <c r="C32" s="19">
        <v>0</v>
      </c>
      <c r="D32" s="18">
        <v>0</v>
      </c>
      <c r="E32" s="20">
        <v>0</v>
      </c>
      <c r="F32" s="20">
        <v>0</v>
      </c>
      <c r="G32" s="20">
        <v>0</v>
      </c>
      <c r="H32" s="20">
        <v>0.5</v>
      </c>
    </row>
    <row r="33" spans="1:8" ht="16.5" thickBot="1" x14ac:dyDescent="0.3">
      <c r="A33" s="17" t="s">
        <v>262</v>
      </c>
      <c r="B33" s="18">
        <v>1</v>
      </c>
      <c r="C33" s="19">
        <v>0</v>
      </c>
      <c r="D33" s="18">
        <v>0</v>
      </c>
      <c r="E33" s="20">
        <v>0</v>
      </c>
      <c r="F33" s="21" t="s">
        <v>504</v>
      </c>
      <c r="G33" s="19" t="s">
        <v>504</v>
      </c>
      <c r="H33" s="20">
        <v>0.59</v>
      </c>
    </row>
    <row r="34" spans="1:8" ht="16.5" thickBot="1" x14ac:dyDescent="0.3">
      <c r="A34" s="17" t="s">
        <v>205</v>
      </c>
      <c r="B34" s="18">
        <v>3</v>
      </c>
      <c r="C34" s="19">
        <v>3</v>
      </c>
      <c r="D34" s="18">
        <v>3</v>
      </c>
      <c r="E34" s="20">
        <v>1</v>
      </c>
      <c r="F34" s="20">
        <v>1</v>
      </c>
      <c r="G34" s="20">
        <v>1</v>
      </c>
      <c r="H34" s="20">
        <v>0.53</v>
      </c>
    </row>
    <row r="35" spans="1:8" ht="16.5" thickBot="1" x14ac:dyDescent="0.3">
      <c r="A35" s="17" t="s">
        <v>703</v>
      </c>
      <c r="B35" s="18">
        <v>79</v>
      </c>
      <c r="C35" s="19">
        <v>46</v>
      </c>
      <c r="D35" s="18">
        <v>41</v>
      </c>
      <c r="E35" s="20">
        <v>0.57999999999999996</v>
      </c>
      <c r="F35" s="20">
        <v>0.89</v>
      </c>
      <c r="G35" s="20">
        <v>0.52</v>
      </c>
      <c r="H35" s="20">
        <v>0.44</v>
      </c>
    </row>
    <row r="36" spans="1:8" ht="16.5" thickBot="1" x14ac:dyDescent="0.3">
      <c r="A36" s="17" t="s">
        <v>707</v>
      </c>
      <c r="B36" s="18">
        <v>1</v>
      </c>
      <c r="C36" s="19">
        <v>0</v>
      </c>
      <c r="D36" s="18">
        <v>0</v>
      </c>
      <c r="E36" s="20">
        <v>0</v>
      </c>
      <c r="F36" s="21" t="s">
        <v>504</v>
      </c>
      <c r="G36" s="19" t="s">
        <v>504</v>
      </c>
      <c r="H36" s="20">
        <v>0.31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31D1-D820-EB44-A098-DAF8708C1794}">
  <dimension ref="A1:C22"/>
  <sheetViews>
    <sheetView tabSelected="1" workbookViewId="0">
      <selection activeCell="B11" sqref="B11"/>
    </sheetView>
  </sheetViews>
  <sheetFormatPr defaultColWidth="11" defaultRowHeight="15.75" x14ac:dyDescent="0.25"/>
  <cols>
    <col min="1" max="1" width="50.125" customWidth="1"/>
    <col min="2" max="3" width="51" style="100" customWidth="1"/>
  </cols>
  <sheetData>
    <row r="1" spans="1:3" ht="21" x14ac:dyDescent="0.35">
      <c r="A1" s="123" t="s">
        <v>1779</v>
      </c>
      <c r="B1" s="122"/>
      <c r="C1" s="122"/>
    </row>
    <row r="2" spans="1:3" ht="24" thickBot="1" x14ac:dyDescent="0.4">
      <c r="A2" s="124"/>
      <c r="B2" s="125"/>
      <c r="C2" s="125"/>
    </row>
    <row r="3" spans="1:3" ht="32.25" thickBot="1" x14ac:dyDescent="0.3">
      <c r="A3" s="58" t="s">
        <v>1764</v>
      </c>
      <c r="B3" s="101" t="s">
        <v>1773</v>
      </c>
      <c r="C3" s="101" t="s">
        <v>1774</v>
      </c>
    </row>
    <row r="4" spans="1:3" ht="16.5" thickBot="1" x14ac:dyDescent="0.3">
      <c r="A4" s="102" t="s">
        <v>202</v>
      </c>
      <c r="B4" s="106" t="s">
        <v>1733</v>
      </c>
      <c r="C4" s="103" t="s">
        <v>1761</v>
      </c>
    </row>
    <row r="5" spans="1:3" ht="16.5" thickBot="1" x14ac:dyDescent="0.3">
      <c r="A5" s="102" t="s">
        <v>706</v>
      </c>
      <c r="B5" s="105" t="s">
        <v>1734</v>
      </c>
      <c r="C5" s="103" t="s">
        <v>1758</v>
      </c>
    </row>
    <row r="6" spans="1:3" ht="16.5" thickBot="1" x14ac:dyDescent="0.3">
      <c r="A6" s="102" t="s">
        <v>262</v>
      </c>
      <c r="B6" s="107" t="s">
        <v>1734</v>
      </c>
      <c r="C6" s="103" t="s">
        <v>1762</v>
      </c>
    </row>
    <row r="7" spans="1:3" ht="16.5" thickBot="1" x14ac:dyDescent="0.3">
      <c r="A7" s="102" t="s">
        <v>140</v>
      </c>
      <c r="B7" s="106" t="s">
        <v>1745</v>
      </c>
      <c r="C7" s="103" t="s">
        <v>1756</v>
      </c>
    </row>
    <row r="8" spans="1:3" ht="16.5" thickBot="1" x14ac:dyDescent="0.3">
      <c r="A8" s="102" t="s">
        <v>267</v>
      </c>
      <c r="B8" s="106" t="s">
        <v>1737</v>
      </c>
      <c r="C8" s="103" t="s">
        <v>1750</v>
      </c>
    </row>
    <row r="9" spans="1:3" ht="16.5" thickBot="1" x14ac:dyDescent="0.3">
      <c r="A9" s="102" t="s">
        <v>707</v>
      </c>
      <c r="B9" s="107" t="s">
        <v>1737</v>
      </c>
      <c r="C9" s="103" t="s">
        <v>1762</v>
      </c>
    </row>
    <row r="10" spans="1:3" ht="16.5" thickBot="1" x14ac:dyDescent="0.3">
      <c r="A10" s="102" t="s">
        <v>380</v>
      </c>
      <c r="B10" s="106" t="s">
        <v>1744</v>
      </c>
      <c r="C10" s="103" t="s">
        <v>1753</v>
      </c>
    </row>
    <row r="11" spans="1:3" ht="16.5" thickBot="1" x14ac:dyDescent="0.3">
      <c r="A11" s="102" t="s">
        <v>208</v>
      </c>
      <c r="B11" s="106" t="s">
        <v>1744</v>
      </c>
      <c r="C11" s="103" t="s">
        <v>1754</v>
      </c>
    </row>
    <row r="12" spans="1:3" ht="16.5" thickBot="1" x14ac:dyDescent="0.3">
      <c r="A12" s="102" t="s">
        <v>701</v>
      </c>
      <c r="B12" s="105" t="s">
        <v>1747</v>
      </c>
      <c r="C12" s="103" t="s">
        <v>1759</v>
      </c>
    </row>
    <row r="13" spans="1:3" ht="16.5" thickBot="1" x14ac:dyDescent="0.3">
      <c r="A13" s="102" t="s">
        <v>327</v>
      </c>
      <c r="B13" s="104" t="s">
        <v>1739</v>
      </c>
      <c r="C13" s="103" t="s">
        <v>1748</v>
      </c>
    </row>
    <row r="14" spans="1:3" ht="16.5" thickBot="1" x14ac:dyDescent="0.3">
      <c r="A14" s="102" t="s">
        <v>703</v>
      </c>
      <c r="B14" s="107" t="s">
        <v>1736</v>
      </c>
      <c r="C14" s="103" t="s">
        <v>1763</v>
      </c>
    </row>
    <row r="15" spans="1:3" ht="16.5" thickBot="1" x14ac:dyDescent="0.3">
      <c r="A15" s="102" t="s">
        <v>696</v>
      </c>
      <c r="B15" s="106" t="s">
        <v>1741</v>
      </c>
      <c r="C15" s="103" t="s">
        <v>1751</v>
      </c>
    </row>
    <row r="16" spans="1:3" ht="16.5" thickBot="1" x14ac:dyDescent="0.3">
      <c r="A16" s="102" t="s">
        <v>211</v>
      </c>
      <c r="B16" s="106" t="s">
        <v>1746</v>
      </c>
      <c r="C16" s="103" t="s">
        <v>1757</v>
      </c>
    </row>
    <row r="17" spans="1:3" ht="16.5" thickBot="1" x14ac:dyDescent="0.3">
      <c r="A17" s="102" t="s">
        <v>704</v>
      </c>
      <c r="B17" s="105" t="s">
        <v>1738</v>
      </c>
      <c r="C17" s="103" t="s">
        <v>1749</v>
      </c>
    </row>
    <row r="18" spans="1:3" ht="16.5" thickBot="1" x14ac:dyDescent="0.3">
      <c r="A18" s="102" t="s">
        <v>1742</v>
      </c>
      <c r="B18" s="105" t="s">
        <v>1743</v>
      </c>
      <c r="C18" s="103" t="s">
        <v>1752</v>
      </c>
    </row>
    <row r="19" spans="1:3" ht="16.5" thickBot="1" x14ac:dyDescent="0.3">
      <c r="A19" s="102" t="s">
        <v>205</v>
      </c>
      <c r="B19" s="107" t="s">
        <v>1735</v>
      </c>
      <c r="C19" s="103" t="s">
        <v>1743</v>
      </c>
    </row>
    <row r="20" spans="1:3" ht="16.5" thickBot="1" x14ac:dyDescent="0.3">
      <c r="A20" s="102" t="s">
        <v>340</v>
      </c>
      <c r="B20" s="103" t="s">
        <v>1740</v>
      </c>
      <c r="C20" s="103" t="s">
        <v>1740</v>
      </c>
    </row>
    <row r="21" spans="1:3" ht="16.5" thickBot="1" x14ac:dyDescent="0.3">
      <c r="A21" s="102" t="s">
        <v>705</v>
      </c>
      <c r="B21" s="105" t="s">
        <v>1740</v>
      </c>
      <c r="C21" s="103" t="s">
        <v>1755</v>
      </c>
    </row>
    <row r="22" spans="1:3" ht="16.5" thickBot="1" x14ac:dyDescent="0.3">
      <c r="A22" s="102" t="s">
        <v>702</v>
      </c>
      <c r="B22" s="107" t="s">
        <v>1732</v>
      </c>
      <c r="C22" s="103" t="s">
        <v>1760</v>
      </c>
    </row>
  </sheetData>
  <autoFilter ref="A3:C3" xr:uid="{C1438FBE-B1A3-A343-B40F-03DCE2662F5D}">
    <sortState xmlns:xlrd2="http://schemas.microsoft.com/office/spreadsheetml/2017/richdata2" ref="A4:C22">
      <sortCondition descending="1" ref="B3:B22"/>
    </sortState>
  </autoFilter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Table S1</vt:lpstr>
      <vt:lpstr>Table S2</vt:lpstr>
      <vt:lpstr>Table S3</vt:lpstr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S3G_Floating_Sequence</cp:lastModifiedBy>
  <dcterms:created xsi:type="dcterms:W3CDTF">2020-03-02T13:22:37Z</dcterms:created>
  <dcterms:modified xsi:type="dcterms:W3CDTF">2021-03-29T10:30:16Z</dcterms:modified>
</cp:coreProperties>
</file>